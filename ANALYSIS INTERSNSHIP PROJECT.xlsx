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0" documentId="13_ncr:1_{B21996E5-8A65-4AF6-899C-7D1E8C5C4ED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aw_Data" sheetId="1" r:id="rId1"/>
    <sheet name="Cleaned_Data" sheetId="2" r:id="rId2"/>
    <sheet name="Cleaning_Log" sheetId="3" r:id="rId3"/>
    <sheet name="Data_Dictionary" sheetId="4" r:id="rId4"/>
    <sheet name="Beginner_Analysis" sheetId="5" r:id="rId5"/>
    <sheet name="Beginner_Dashboard" sheetId="6" r:id="rId6"/>
    <sheet name="Intermediate_Analysis" sheetId="7" r:id="rId7"/>
    <sheet name="Intermediate_Insights" sheetId="10" r:id="rId8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5" l="1"/>
  <c r="D69" i="7"/>
  <c r="C69" i="7"/>
  <c r="B69" i="7"/>
  <c r="D68" i="7"/>
  <c r="C68" i="7"/>
  <c r="B68" i="7"/>
  <c r="D67" i="7"/>
  <c r="C67" i="7"/>
  <c r="B67" i="7"/>
  <c r="D66" i="7"/>
  <c r="C66" i="7"/>
  <c r="B66" i="7"/>
  <c r="D65" i="7"/>
  <c r="C65" i="7"/>
  <c r="B65" i="7"/>
  <c r="D64" i="7"/>
  <c r="C64" i="7"/>
  <c r="B64" i="7"/>
  <c r="D63" i="7"/>
  <c r="C63" i="7"/>
  <c r="B63" i="7"/>
  <c r="D62" i="7"/>
  <c r="C62" i="7"/>
  <c r="B62" i="7"/>
  <c r="E53" i="7"/>
  <c r="D53" i="7"/>
  <c r="C53" i="7"/>
  <c r="B53" i="7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F42" i="7"/>
  <c r="E42" i="7"/>
  <c r="D42" i="7"/>
  <c r="C42" i="7"/>
  <c r="F41" i="7"/>
  <c r="E41" i="7"/>
  <c r="D41" i="7"/>
  <c r="C41" i="7"/>
  <c r="F40" i="7"/>
  <c r="E40" i="7"/>
  <c r="D40" i="7"/>
  <c r="C40" i="7"/>
  <c r="F39" i="7"/>
  <c r="E39" i="7"/>
  <c r="D39" i="7"/>
  <c r="C39" i="7"/>
  <c r="F38" i="7"/>
  <c r="E38" i="7"/>
  <c r="D38" i="7"/>
  <c r="C38" i="7"/>
  <c r="F37" i="7"/>
  <c r="E37" i="7"/>
  <c r="D37" i="7"/>
  <c r="C37" i="7"/>
  <c r="F36" i="7"/>
  <c r="E36" i="7"/>
  <c r="D36" i="7"/>
  <c r="C36" i="7"/>
  <c r="F35" i="7"/>
  <c r="E35" i="7"/>
  <c r="D35" i="7"/>
  <c r="C35" i="7"/>
  <c r="F34" i="7"/>
  <c r="E34" i="7"/>
  <c r="D34" i="7"/>
  <c r="C34" i="7"/>
  <c r="F33" i="7"/>
  <c r="E33" i="7"/>
  <c r="D33" i="7"/>
  <c r="C33" i="7"/>
  <c r="F32" i="7"/>
  <c r="E32" i="7"/>
  <c r="D32" i="7"/>
  <c r="C32" i="7"/>
  <c r="F31" i="7"/>
  <c r="E31" i="7"/>
  <c r="D31" i="7"/>
  <c r="C31" i="7"/>
  <c r="F30" i="7"/>
  <c r="E30" i="7"/>
  <c r="D30" i="7"/>
  <c r="C30" i="7"/>
  <c r="F29" i="7"/>
  <c r="E29" i="7"/>
  <c r="D29" i="7"/>
  <c r="C29" i="7"/>
  <c r="F28" i="7"/>
  <c r="E28" i="7"/>
  <c r="D28" i="7"/>
  <c r="C28" i="7"/>
  <c r="E22" i="7"/>
  <c r="D22" i="7"/>
  <c r="C22" i="7"/>
  <c r="B22" i="7"/>
  <c r="F22" i="7" s="1"/>
  <c r="E21" i="7"/>
  <c r="D21" i="7"/>
  <c r="C21" i="7"/>
  <c r="B21" i="7"/>
  <c r="F21" i="7" s="1"/>
  <c r="E20" i="7"/>
  <c r="D20" i="7"/>
  <c r="C20" i="7"/>
  <c r="B20" i="7"/>
  <c r="F20" i="7" s="1"/>
  <c r="E19" i="7"/>
  <c r="D19" i="7"/>
  <c r="C19" i="7"/>
  <c r="B19" i="7"/>
  <c r="F19" i="7" s="1"/>
  <c r="E18" i="7"/>
  <c r="D18" i="7"/>
  <c r="C18" i="7"/>
  <c r="B18" i="7"/>
  <c r="F18" i="7" s="1"/>
  <c r="E17" i="7"/>
  <c r="D17" i="7"/>
  <c r="C17" i="7"/>
  <c r="B17" i="7"/>
  <c r="F17" i="7" s="1"/>
  <c r="E16" i="7"/>
  <c r="D16" i="7"/>
  <c r="C16" i="7"/>
  <c r="B16" i="7"/>
  <c r="F16" i="7" s="1"/>
  <c r="E15" i="7"/>
  <c r="D15" i="7"/>
  <c r="C15" i="7"/>
  <c r="B15" i="7"/>
  <c r="F15" i="7" s="1"/>
  <c r="B8" i="7"/>
  <c r="B7" i="7"/>
  <c r="B5" i="7"/>
  <c r="B4" i="7"/>
  <c r="B9" i="7" s="1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F19" i="6"/>
  <c r="A19" i="6"/>
  <c r="F18" i="6"/>
  <c r="A18" i="6"/>
  <c r="F17" i="6"/>
  <c r="A17" i="6"/>
  <c r="F16" i="6"/>
  <c r="A16" i="6"/>
  <c r="F15" i="6"/>
  <c r="A15" i="6"/>
  <c r="F14" i="6"/>
  <c r="A14" i="6"/>
  <c r="F13" i="6"/>
  <c r="A13" i="6"/>
  <c r="F12" i="6"/>
  <c r="A12" i="6"/>
  <c r="G85" i="5"/>
  <c r="F85" i="5"/>
  <c r="E85" i="5"/>
  <c r="D85" i="5"/>
  <c r="C85" i="5"/>
  <c r="G84" i="5"/>
  <c r="F84" i="5"/>
  <c r="E84" i="5"/>
  <c r="D84" i="5"/>
  <c r="C84" i="5"/>
  <c r="G83" i="5"/>
  <c r="F83" i="5"/>
  <c r="E83" i="5"/>
  <c r="D83" i="5"/>
  <c r="C83" i="5"/>
  <c r="G82" i="5"/>
  <c r="F82" i="5"/>
  <c r="E82" i="5"/>
  <c r="D82" i="5"/>
  <c r="C82" i="5"/>
  <c r="G81" i="5"/>
  <c r="F81" i="5"/>
  <c r="E81" i="5"/>
  <c r="D81" i="5"/>
  <c r="C81" i="5"/>
  <c r="E77" i="5"/>
  <c r="D77" i="5"/>
  <c r="C77" i="5"/>
  <c r="B77" i="5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2" i="5"/>
  <c r="D72" i="5"/>
  <c r="C72" i="5"/>
  <c r="B72" i="5"/>
  <c r="E71" i="5"/>
  <c r="D71" i="5"/>
  <c r="C71" i="5"/>
  <c r="B71" i="5"/>
  <c r="D67" i="5"/>
  <c r="C67" i="5"/>
  <c r="B67" i="5"/>
  <c r="D66" i="5"/>
  <c r="C66" i="5"/>
  <c r="B66" i="5"/>
  <c r="E62" i="5"/>
  <c r="D62" i="5"/>
  <c r="C62" i="5"/>
  <c r="B62" i="5"/>
  <c r="E61" i="5"/>
  <c r="D61" i="5"/>
  <c r="C61" i="5"/>
  <c r="B61" i="5"/>
  <c r="E60" i="5"/>
  <c r="D60" i="5"/>
  <c r="C60" i="5"/>
  <c r="B60" i="5"/>
  <c r="E59" i="5"/>
  <c r="D59" i="5"/>
  <c r="C59" i="5"/>
  <c r="B59" i="5"/>
  <c r="E58" i="5"/>
  <c r="D58" i="5"/>
  <c r="C58" i="5"/>
  <c r="B58" i="5"/>
  <c r="E57" i="5"/>
  <c r="D57" i="5"/>
  <c r="C57" i="5"/>
  <c r="B57" i="5"/>
  <c r="E56" i="5"/>
  <c r="D56" i="5"/>
  <c r="C56" i="5"/>
  <c r="B56" i="5"/>
  <c r="E55" i="5"/>
  <c r="D55" i="5"/>
  <c r="C55" i="5"/>
  <c r="B55" i="5"/>
  <c r="E54" i="5"/>
  <c r="D54" i="5"/>
  <c r="C54" i="5"/>
  <c r="B54" i="5"/>
  <c r="E49" i="5"/>
  <c r="D49" i="5"/>
  <c r="C49" i="5"/>
  <c r="H19" i="6" s="1"/>
  <c r="B49" i="5"/>
  <c r="E48" i="5"/>
  <c r="D48" i="5"/>
  <c r="C48" i="5"/>
  <c r="H18" i="6" s="1"/>
  <c r="B48" i="5"/>
  <c r="G18" i="6" s="1"/>
  <c r="E47" i="5"/>
  <c r="D47" i="5"/>
  <c r="C47" i="5"/>
  <c r="H17" i="6" s="1"/>
  <c r="B47" i="5"/>
  <c r="G17" i="6" s="1"/>
  <c r="E46" i="5"/>
  <c r="D46" i="5"/>
  <c r="C46" i="5"/>
  <c r="H16" i="6" s="1"/>
  <c r="B46" i="5"/>
  <c r="G16" i="6" s="1"/>
  <c r="E45" i="5"/>
  <c r="D45" i="5"/>
  <c r="C45" i="5"/>
  <c r="H15" i="6" s="1"/>
  <c r="B45" i="5"/>
  <c r="G15" i="6" s="1"/>
  <c r="E44" i="5"/>
  <c r="D44" i="5"/>
  <c r="C44" i="5"/>
  <c r="H14" i="6" s="1"/>
  <c r="B44" i="5"/>
  <c r="G14" i="6" s="1"/>
  <c r="E43" i="5"/>
  <c r="D43" i="5"/>
  <c r="C43" i="5"/>
  <c r="H13" i="6" s="1"/>
  <c r="B43" i="5"/>
  <c r="G13" i="6" s="1"/>
  <c r="E42" i="5"/>
  <c r="D42" i="5"/>
  <c r="C42" i="5"/>
  <c r="H12" i="6" s="1"/>
  <c r="B42" i="5"/>
  <c r="E38" i="5"/>
  <c r="D38" i="5"/>
  <c r="C38" i="5"/>
  <c r="C35" i="6" s="1"/>
  <c r="B38" i="5"/>
  <c r="B35" i="6" s="1"/>
  <c r="E37" i="5"/>
  <c r="D37" i="5"/>
  <c r="C37" i="5"/>
  <c r="C34" i="6" s="1"/>
  <c r="B37" i="5"/>
  <c r="B34" i="6" s="1"/>
  <c r="E36" i="5"/>
  <c r="D36" i="5"/>
  <c r="C36" i="5"/>
  <c r="C33" i="6" s="1"/>
  <c r="B36" i="5"/>
  <c r="B33" i="6" s="1"/>
  <c r="E35" i="5"/>
  <c r="D35" i="5"/>
  <c r="C35" i="5"/>
  <c r="C32" i="6" s="1"/>
  <c r="B35" i="5"/>
  <c r="B32" i="6" s="1"/>
  <c r="E34" i="5"/>
  <c r="D34" i="5"/>
  <c r="C34" i="5"/>
  <c r="C31" i="6" s="1"/>
  <c r="B34" i="5"/>
  <c r="B31" i="6" s="1"/>
  <c r="E33" i="5"/>
  <c r="D33" i="5"/>
  <c r="C33" i="5"/>
  <c r="C30" i="6" s="1"/>
  <c r="B33" i="5"/>
  <c r="B30" i="6" s="1"/>
  <c r="E32" i="5"/>
  <c r="D32" i="5"/>
  <c r="C32" i="5"/>
  <c r="C29" i="6" s="1"/>
  <c r="B32" i="5"/>
  <c r="B29" i="6" s="1"/>
  <c r="E31" i="5"/>
  <c r="D31" i="5"/>
  <c r="C31" i="5"/>
  <c r="C28" i="6" s="1"/>
  <c r="B31" i="5"/>
  <c r="B28" i="6" s="1"/>
  <c r="E30" i="5"/>
  <c r="D30" i="5"/>
  <c r="C30" i="5"/>
  <c r="C27" i="6" s="1"/>
  <c r="B30" i="5"/>
  <c r="B27" i="6" s="1"/>
  <c r="E29" i="5"/>
  <c r="D29" i="5"/>
  <c r="C29" i="5"/>
  <c r="C26" i="6" s="1"/>
  <c r="B29" i="5"/>
  <c r="B26" i="6" s="1"/>
  <c r="E28" i="5"/>
  <c r="D28" i="5"/>
  <c r="C28" i="5"/>
  <c r="C25" i="6" s="1"/>
  <c r="B28" i="5"/>
  <c r="B25" i="6" s="1"/>
  <c r="E27" i="5"/>
  <c r="D27" i="5"/>
  <c r="C27" i="5"/>
  <c r="C24" i="6" s="1"/>
  <c r="B27" i="5"/>
  <c r="B24" i="6" s="1"/>
  <c r="E26" i="5"/>
  <c r="D26" i="5"/>
  <c r="C26" i="5"/>
  <c r="C23" i="6" s="1"/>
  <c r="B26" i="5"/>
  <c r="B23" i="6" s="1"/>
  <c r="E25" i="5"/>
  <c r="D25" i="5"/>
  <c r="C25" i="5"/>
  <c r="C22" i="6" s="1"/>
  <c r="B25" i="5"/>
  <c r="B22" i="6" s="1"/>
  <c r="E24" i="5"/>
  <c r="D24" i="5"/>
  <c r="C24" i="5"/>
  <c r="C21" i="6" s="1"/>
  <c r="B24" i="5"/>
  <c r="B21" i="6" s="1"/>
  <c r="E23" i="5"/>
  <c r="D23" i="5"/>
  <c r="C23" i="5"/>
  <c r="C20" i="6" s="1"/>
  <c r="B23" i="5"/>
  <c r="B20" i="6" s="1"/>
  <c r="E22" i="5"/>
  <c r="D22" i="5"/>
  <c r="C22" i="5"/>
  <c r="C19" i="6" s="1"/>
  <c r="B22" i="5"/>
  <c r="B19" i="6" s="1"/>
  <c r="E21" i="5"/>
  <c r="D21" i="5"/>
  <c r="C21" i="5"/>
  <c r="C18" i="6" s="1"/>
  <c r="B21" i="5"/>
  <c r="B18" i="6" s="1"/>
  <c r="E20" i="5"/>
  <c r="D20" i="5"/>
  <c r="C20" i="5"/>
  <c r="C17" i="6" s="1"/>
  <c r="B20" i="5"/>
  <c r="B17" i="6" s="1"/>
  <c r="E19" i="5"/>
  <c r="D19" i="5"/>
  <c r="C19" i="5"/>
  <c r="C16" i="6" s="1"/>
  <c r="B19" i="5"/>
  <c r="B16" i="6" s="1"/>
  <c r="E18" i="5"/>
  <c r="D18" i="5"/>
  <c r="C18" i="5"/>
  <c r="C15" i="6" s="1"/>
  <c r="B18" i="5"/>
  <c r="B15" i="6" s="1"/>
  <c r="E17" i="5"/>
  <c r="D17" i="5"/>
  <c r="C17" i="5"/>
  <c r="C14" i="6" s="1"/>
  <c r="B17" i="5"/>
  <c r="B14" i="6" s="1"/>
  <c r="E16" i="5"/>
  <c r="D16" i="5"/>
  <c r="C16" i="5"/>
  <c r="C13" i="6" s="1"/>
  <c r="B16" i="5"/>
  <c r="B13" i="6" s="1"/>
  <c r="E15" i="5"/>
  <c r="D15" i="5"/>
  <c r="C15" i="5"/>
  <c r="C12" i="6" s="1"/>
  <c r="B15" i="5"/>
  <c r="B12" i="6" s="1"/>
  <c r="B10" i="5"/>
  <c r="G8" i="6" s="1"/>
  <c r="D8" i="6"/>
  <c r="B8" i="5"/>
  <c r="A8" i="6" s="1"/>
  <c r="B7" i="5"/>
  <c r="J5" i="6" s="1"/>
  <c r="B6" i="5"/>
  <c r="G5" i="6" s="1"/>
  <c r="B5" i="5"/>
  <c r="D5" i="6" s="1"/>
  <c r="B4" i="5"/>
  <c r="A5" i="6" s="1"/>
  <c r="F52" i="7" l="1"/>
  <c r="F48" i="7"/>
  <c r="F77" i="5"/>
  <c r="F74" i="5"/>
  <c r="F76" i="5"/>
  <c r="F49" i="7"/>
  <c r="F51" i="7"/>
  <c r="F73" i="5"/>
  <c r="F71" i="5"/>
  <c r="F75" i="5"/>
  <c r="F42" i="5"/>
  <c r="F45" i="5"/>
  <c r="F44" i="5"/>
  <c r="F53" i="7"/>
  <c r="F48" i="5"/>
  <c r="F49" i="5"/>
  <c r="B6" i="7"/>
  <c r="F50" i="7"/>
  <c r="F46" i="5"/>
  <c r="F72" i="5"/>
  <c r="F47" i="7"/>
  <c r="F47" i="5"/>
  <c r="G19" i="6"/>
  <c r="F43" i="5"/>
  <c r="G12" i="6"/>
</calcChain>
</file>

<file path=xl/sharedStrings.xml><?xml version="1.0" encoding="utf-8"?>
<sst xmlns="http://schemas.openxmlformats.org/spreadsheetml/2006/main" count="50082" uniqueCount="5600">
  <si>
    <t>Project_ID</t>
  </si>
  <si>
    <t>Client_ID</t>
  </si>
  <si>
    <t>Client_Name</t>
  </si>
  <si>
    <t>Project_Date</t>
  </si>
  <si>
    <t>Service</t>
  </si>
  <si>
    <t>Service_Category</t>
  </si>
  <si>
    <t>Industry</t>
  </si>
  <si>
    <t>Region</t>
  </si>
  <si>
    <t>Client_Type</t>
  </si>
  <si>
    <t>Project_Status</t>
  </si>
  <si>
    <t>Team_Size</t>
  </si>
  <si>
    <t>Project_Duration_Days</t>
  </si>
  <si>
    <t>Quoted_Value</t>
  </si>
  <si>
    <t>Discount</t>
  </si>
  <si>
    <t>Revenue</t>
  </si>
  <si>
    <t>Project_Cost</t>
  </si>
  <si>
    <t>Profit</t>
  </si>
  <si>
    <t>Profit_Margin_Pct</t>
  </si>
  <si>
    <t>Lead_Source</t>
  </si>
  <si>
    <t>Marketing_Spend</t>
  </si>
  <si>
    <t>Customer_Rating</t>
  </si>
  <si>
    <t>Acquisition_Channel</t>
  </si>
  <si>
    <t>JSM10001</t>
  </si>
  <si>
    <t>C0013</t>
  </si>
  <si>
    <t>Client 0013</t>
  </si>
  <si>
    <t>2025-10-09</t>
  </si>
  <si>
    <t>Social Media Marketing</t>
  </si>
  <si>
    <t>Education</t>
  </si>
  <si>
    <t>Ahmedabad</t>
  </si>
  <si>
    <t>Returning</t>
  </si>
  <si>
    <t>Completed</t>
  </si>
  <si>
    <t>5</t>
  </si>
  <si>
    <t>46.0</t>
  </si>
  <si>
    <t>41100.0</t>
  </si>
  <si>
    <t>6200.0</t>
  </si>
  <si>
    <t>34900.0</t>
  </si>
  <si>
    <t>29300.0</t>
  </si>
  <si>
    <t>5600.0</t>
  </si>
  <si>
    <t>16.05</t>
  </si>
  <si>
    <t>Google</t>
  </si>
  <si>
    <t>4300.0</t>
  </si>
  <si>
    <t>3.5</t>
  </si>
  <si>
    <t>Organic Search</t>
  </si>
  <si>
    <t>JSM10002</t>
  </si>
  <si>
    <t>C0112</t>
  </si>
  <si>
    <t>Client 0112</t>
  </si>
  <si>
    <t>2025-08-27</t>
  </si>
  <si>
    <t>SMM</t>
  </si>
  <si>
    <t>Manufacturing</t>
  </si>
  <si>
    <t>Pune</t>
  </si>
  <si>
    <t>10</t>
  </si>
  <si>
    <t>35.0</t>
  </si>
  <si>
    <t>15000.0</t>
  </si>
  <si>
    <t>800.0</t>
  </si>
  <si>
    <t>14200.0</t>
  </si>
  <si>
    <t>7200.0</t>
  </si>
  <si>
    <t>7000.0</t>
  </si>
  <si>
    <t>49.3</t>
  </si>
  <si>
    <t>Direct</t>
  </si>
  <si>
    <t>1000.0</t>
  </si>
  <si>
    <t>3.8</t>
  </si>
  <si>
    <t>JSM10003</t>
  </si>
  <si>
    <t>C0415</t>
  </si>
  <si>
    <t>Client 0415</t>
  </si>
  <si>
    <t>2025-01-07</t>
  </si>
  <si>
    <t>content marketing</t>
  </si>
  <si>
    <t>Content Marketing</t>
  </si>
  <si>
    <t>Hospitality</t>
  </si>
  <si>
    <t>Bengaluru</t>
  </si>
  <si>
    <t>New</t>
  </si>
  <si>
    <t>Ongoing</t>
  </si>
  <si>
    <t>4</t>
  </si>
  <si>
    <t>27.0</t>
  </si>
  <si>
    <t>33200.0</t>
  </si>
  <si>
    <t>3300.0</t>
  </si>
  <si>
    <t>29900.0</t>
  </si>
  <si>
    <t>16400.0</t>
  </si>
  <si>
    <t>13500.0</t>
  </si>
  <si>
    <t>45.15</t>
  </si>
  <si>
    <t>Referral</t>
  </si>
  <si>
    <t>3800.0</t>
  </si>
  <si>
    <t>2.5</t>
  </si>
  <si>
    <t>Social</t>
  </si>
  <si>
    <t>JSM10004</t>
  </si>
  <si>
    <t>C0048</t>
  </si>
  <si>
    <t>Client 0048</t>
  </si>
  <si>
    <t>2026-01-25</t>
  </si>
  <si>
    <t>social media marketing</t>
  </si>
  <si>
    <t>Mumbai</t>
  </si>
  <si>
    <t>3</t>
  </si>
  <si>
    <t>48.0</t>
  </si>
  <si>
    <t>38600.0</t>
  </si>
  <si>
    <t>3900.0</t>
  </si>
  <si>
    <t>34700.0</t>
  </si>
  <si>
    <t>25800.0</t>
  </si>
  <si>
    <t>8900.0</t>
  </si>
  <si>
    <t>25.65</t>
  </si>
  <si>
    <t>Partner</t>
  </si>
  <si>
    <t>4.0</t>
  </si>
  <si>
    <t>JSM10005</t>
  </si>
  <si>
    <t>C0194</t>
  </si>
  <si>
    <t>Client 0194</t>
  </si>
  <si>
    <t>2025-03-22</t>
  </si>
  <si>
    <t>Real Estate</t>
  </si>
  <si>
    <t>Delhi NCR</t>
  </si>
  <si>
    <t>28.0</t>
  </si>
  <si>
    <t>47100.0</t>
  </si>
  <si>
    <t>7100.0</t>
  </si>
  <si>
    <t>40000.0</t>
  </si>
  <si>
    <t>31200.0</t>
  </si>
  <si>
    <t>8800.0</t>
  </si>
  <si>
    <t>22.0</t>
  </si>
  <si>
    <t>4100.0</t>
  </si>
  <si>
    <t>2.8</t>
  </si>
  <si>
    <t>Paid Search</t>
  </si>
  <si>
    <t>JSM10006</t>
  </si>
  <si>
    <t>C0041</t>
  </si>
  <si>
    <t>Client 0041</t>
  </si>
  <si>
    <t>Finance</t>
  </si>
  <si>
    <t>58.0</t>
  </si>
  <si>
    <t>68100.0</t>
  </si>
  <si>
    <t>3400.0</t>
  </si>
  <si>
    <t>64700.0</t>
  </si>
  <si>
    <t>45200.0</t>
  </si>
  <si>
    <t>19500.0</t>
  </si>
  <si>
    <t>30.14</t>
  </si>
  <si>
    <t>Social Media</t>
  </si>
  <si>
    <t>10800.0</t>
  </si>
  <si>
    <t>3.4</t>
  </si>
  <si>
    <t>JSM10007</t>
  </si>
  <si>
    <t>C0344</t>
  </si>
  <si>
    <t>Client 0344</t>
  </si>
  <si>
    <t>2025-10-01</t>
  </si>
  <si>
    <t>Web Dev</t>
  </si>
  <si>
    <t>Web Development</t>
  </si>
  <si>
    <t>52.0</t>
  </si>
  <si>
    <t>22700.0</t>
  </si>
  <si>
    <t>4500.0</t>
  </si>
  <si>
    <t>18200.0</t>
  </si>
  <si>
    <t>12400.0</t>
  </si>
  <si>
    <t>5800.0</t>
  </si>
  <si>
    <t>31.87</t>
  </si>
  <si>
    <t>1300.0</t>
  </si>
  <si>
    <t>JSM10008</t>
  </si>
  <si>
    <t>C0328</t>
  </si>
  <si>
    <t>Client 0328</t>
  </si>
  <si>
    <t>2026-12-06</t>
  </si>
  <si>
    <t>Healthcare</t>
  </si>
  <si>
    <t>39.0</t>
  </si>
  <si>
    <t>40300.0</t>
  </si>
  <si>
    <t>4000.0</t>
  </si>
  <si>
    <t>36300.0</t>
  </si>
  <si>
    <t>23300.0</t>
  </si>
  <si>
    <t>13000.0</t>
  </si>
  <si>
    <t>35.81</t>
  </si>
  <si>
    <t>4.9</t>
  </si>
  <si>
    <t>JSM10009</t>
  </si>
  <si>
    <t>C0138</t>
  </si>
  <si>
    <t>Client 0138</t>
  </si>
  <si>
    <t>2025-03-09</t>
  </si>
  <si>
    <t>online reputation management</t>
  </si>
  <si>
    <t>Online Reputation Management</t>
  </si>
  <si>
    <t>Delayed</t>
  </si>
  <si>
    <t>19.0</t>
  </si>
  <si>
    <t>18600.0</t>
  </si>
  <si>
    <t>2800.0</t>
  </si>
  <si>
    <t>15800.0</t>
  </si>
  <si>
    <t>9800.0</t>
  </si>
  <si>
    <t>6000.0</t>
  </si>
  <si>
    <t>37.97</t>
  </si>
  <si>
    <t>1900.0</t>
  </si>
  <si>
    <t>4.2</t>
  </si>
  <si>
    <t>JSM10010</t>
  </si>
  <si>
    <t>C0330</t>
  </si>
  <si>
    <t>Client 0330</t>
  </si>
  <si>
    <t>2026-04-15</t>
  </si>
  <si>
    <t>ORM</t>
  </si>
  <si>
    <t>45.0</t>
  </si>
  <si>
    <t>26300.0</t>
  </si>
  <si>
    <t>0.0</t>
  </si>
  <si>
    <t>12800.0</t>
  </si>
  <si>
    <t>51.33</t>
  </si>
  <si>
    <t>Email Campaign</t>
  </si>
  <si>
    <t>4700.0</t>
  </si>
  <si>
    <t>JSM10011</t>
  </si>
  <si>
    <t>C0113</t>
  </si>
  <si>
    <t>Client 0113</t>
  </si>
  <si>
    <t>2025-05-22</t>
  </si>
  <si>
    <t>PPC</t>
  </si>
  <si>
    <t>25.0</t>
  </si>
  <si>
    <t>62100.0</t>
  </si>
  <si>
    <t>3100.0</t>
  </si>
  <si>
    <t>59000.0</t>
  </si>
  <si>
    <t>26200.0</t>
  </si>
  <si>
    <t>32800.0</t>
  </si>
  <si>
    <t>55.59</t>
  </si>
  <si>
    <t>JSM10012</t>
  </si>
  <si>
    <t>C0306</t>
  </si>
  <si>
    <t>Client 0306</t>
  </si>
  <si>
    <t>2025-03-07</t>
  </si>
  <si>
    <t>8</t>
  </si>
  <si>
    <t>50.0</t>
  </si>
  <si>
    <t>65100.0</t>
  </si>
  <si>
    <t>6500.0</t>
  </si>
  <si>
    <t>58600.0</t>
  </si>
  <si>
    <t>44300.0</t>
  </si>
  <si>
    <t>14300.0</t>
  </si>
  <si>
    <t>24.4</t>
  </si>
  <si>
    <t>9400.0</t>
  </si>
  <si>
    <t>JSM10013</t>
  </si>
  <si>
    <t>C0394</t>
  </si>
  <si>
    <t>Client 0394</t>
  </si>
  <si>
    <t>2026-10-19</t>
  </si>
  <si>
    <t>E-commerce</t>
  </si>
  <si>
    <t>Kolkata</t>
  </si>
  <si>
    <t>7</t>
  </si>
  <si>
    <t>10.0</t>
  </si>
  <si>
    <t>81200.0</t>
  </si>
  <si>
    <t>16200.0</t>
  </si>
  <si>
    <t>65000.0</t>
  </si>
  <si>
    <t>36200.0</t>
  </si>
  <si>
    <t>28800.0</t>
  </si>
  <si>
    <t>44.31</t>
  </si>
  <si>
    <t>JSM10014</t>
  </si>
  <si>
    <t>C0260</t>
  </si>
  <si>
    <t>Client 0260</t>
  </si>
  <si>
    <t>2025-04-19</t>
  </si>
  <si>
    <t>Web Designing</t>
  </si>
  <si>
    <t>Web Design</t>
  </si>
  <si>
    <t>Chennai</t>
  </si>
  <si>
    <t>6</t>
  </si>
  <si>
    <t>62.0</t>
  </si>
  <si>
    <t>42600.0</t>
  </si>
  <si>
    <t>8500.0</t>
  </si>
  <si>
    <t>34100.0</t>
  </si>
  <si>
    <t>19900.0</t>
  </si>
  <si>
    <t>41.64</t>
  </si>
  <si>
    <t>5400.0</t>
  </si>
  <si>
    <t>4.8</t>
  </si>
  <si>
    <t>JSM10015</t>
  </si>
  <si>
    <t>C0307</t>
  </si>
  <si>
    <t>Client 0307</t>
  </si>
  <si>
    <t>2025-11-28</t>
  </si>
  <si>
    <t>seo</t>
  </si>
  <si>
    <t>SEO</t>
  </si>
  <si>
    <t>9</t>
  </si>
  <si>
    <t>21.0</t>
  </si>
  <si>
    <t>68300.0</t>
  </si>
  <si>
    <t>64900.0</t>
  </si>
  <si>
    <t>35700.0</t>
  </si>
  <si>
    <t>29200.0</t>
  </si>
  <si>
    <t>44.99</t>
  </si>
  <si>
    <t>7300.0</t>
  </si>
  <si>
    <t>JSM10016</t>
  </si>
  <si>
    <t>C0044</t>
  </si>
  <si>
    <t>Client 0044</t>
  </si>
  <si>
    <t>2026-05-13</t>
  </si>
  <si>
    <t>Cancelled</t>
  </si>
  <si>
    <t>36.0</t>
  </si>
  <si>
    <t>20300.0</t>
  </si>
  <si>
    <t>12700.0</t>
  </si>
  <si>
    <t>3500.0</t>
  </si>
  <si>
    <t>21.6</t>
  </si>
  <si>
    <t>JSM10017</t>
  </si>
  <si>
    <t>C0271</t>
  </si>
  <si>
    <t>Client 0271</t>
  </si>
  <si>
    <t>2026-09-14</t>
  </si>
  <si>
    <t xml:space="preserve">Content Marketing </t>
  </si>
  <si>
    <t>Hyderabad</t>
  </si>
  <si>
    <t>53.0</t>
  </si>
  <si>
    <t>156100.0</t>
  </si>
  <si>
    <t>23400.0</t>
  </si>
  <si>
    <t>132700.0</t>
  </si>
  <si>
    <t>78200.0</t>
  </si>
  <si>
    <t>54500.0</t>
  </si>
  <si>
    <t>41.07</t>
  </si>
  <si>
    <t>6700.0</t>
  </si>
  <si>
    <t>3.6</t>
  </si>
  <si>
    <t>JSM10018</t>
  </si>
  <si>
    <t>C0265</t>
  </si>
  <si>
    <t>Client 0265</t>
  </si>
  <si>
    <t>2026-04-08</t>
  </si>
  <si>
    <t>Mobile App Development</t>
  </si>
  <si>
    <t>73400.0</t>
  </si>
  <si>
    <t>66100.0</t>
  </si>
  <si>
    <t>54400.0</t>
  </si>
  <si>
    <t>11700.0</t>
  </si>
  <si>
    <t>17.7</t>
  </si>
  <si>
    <t>4.3</t>
  </si>
  <si>
    <t>JSM10019</t>
  </si>
  <si>
    <t>C0302</t>
  </si>
  <si>
    <t>Client 0302</t>
  </si>
  <si>
    <t>2025-08-14</t>
  </si>
  <si>
    <t>2</t>
  </si>
  <si>
    <t>31.0</t>
  </si>
  <si>
    <t>67000.0</t>
  </si>
  <si>
    <t>31400.0</t>
  </si>
  <si>
    <t>35600.0</t>
  </si>
  <si>
    <t>53.13</t>
  </si>
  <si>
    <t>5700.0</t>
  </si>
  <si>
    <t>3.9</t>
  </si>
  <si>
    <t>JSM10020</t>
  </si>
  <si>
    <t>C0264</t>
  </si>
  <si>
    <t>Client 0264</t>
  </si>
  <si>
    <t>2025-09-01</t>
  </si>
  <si>
    <t>89400.0</t>
  </si>
  <si>
    <t>17900.0</t>
  </si>
  <si>
    <t>71500.0</t>
  </si>
  <si>
    <t>3200.0</t>
  </si>
  <si>
    <t>4.48</t>
  </si>
  <si>
    <t>8000.0</t>
  </si>
  <si>
    <t>JSM10021</t>
  </si>
  <si>
    <t>C0098</t>
  </si>
  <si>
    <t>Client 0098</t>
  </si>
  <si>
    <t>2025-04-07</t>
  </si>
  <si>
    <t>12.0</t>
  </si>
  <si>
    <t>35200.0</t>
  </si>
  <si>
    <t>31700.0</t>
  </si>
  <si>
    <t>16500.0</t>
  </si>
  <si>
    <t>15200.0</t>
  </si>
  <si>
    <t>47.95</t>
  </si>
  <si>
    <t>2400.0</t>
  </si>
  <si>
    <t>JSM10022</t>
  </si>
  <si>
    <t>C0032</t>
  </si>
  <si>
    <t>Client 0032</t>
  </si>
  <si>
    <t>2026-02-17</t>
  </si>
  <si>
    <t>8300.0</t>
  </si>
  <si>
    <t>55.33</t>
  </si>
  <si>
    <t>2600.0</t>
  </si>
  <si>
    <t>JSM10023</t>
  </si>
  <si>
    <t>C0072</t>
  </si>
  <si>
    <t>Client 0072</t>
  </si>
  <si>
    <t>2026-03-09</t>
  </si>
  <si>
    <t>37.0</t>
  </si>
  <si>
    <t>17700.0</t>
  </si>
  <si>
    <t>9600.0</t>
  </si>
  <si>
    <t>8100.0</t>
  </si>
  <si>
    <t>45.76</t>
  </si>
  <si>
    <t>JSM10024</t>
  </si>
  <si>
    <t>C0334</t>
  </si>
  <si>
    <t>Client 0334</t>
  </si>
  <si>
    <t>2026-07-08</t>
  </si>
  <si>
    <t>Search Engine Optimization</t>
  </si>
  <si>
    <t>87600.0</t>
  </si>
  <si>
    <t>13100.0</t>
  </si>
  <si>
    <t>74500.0</t>
  </si>
  <si>
    <t>60600.0</t>
  </si>
  <si>
    <t>13900.0</t>
  </si>
  <si>
    <t>18.66</t>
  </si>
  <si>
    <t>3.2</t>
  </si>
  <si>
    <t>JSM10025</t>
  </si>
  <si>
    <t>C0206</t>
  </si>
  <si>
    <t>Client 0206</t>
  </si>
  <si>
    <t>2025-03-02</t>
  </si>
  <si>
    <t xml:space="preserve">Web Development </t>
  </si>
  <si>
    <t>67100.0</t>
  </si>
  <si>
    <t>13400.0</t>
  </si>
  <si>
    <t>53700.0</t>
  </si>
  <si>
    <t>34600.0</t>
  </si>
  <si>
    <t>19100.0</t>
  </si>
  <si>
    <t>35.57</t>
  </si>
  <si>
    <t>4900.0</t>
  </si>
  <si>
    <t>5.0</t>
  </si>
  <si>
    <t>JSM10026</t>
  </si>
  <si>
    <t>C0080</t>
  </si>
  <si>
    <t>Client 0080</t>
  </si>
  <si>
    <t>2025-07-14</t>
  </si>
  <si>
    <t>63.0</t>
  </si>
  <si>
    <t>27300.0</t>
  </si>
  <si>
    <t>2700.0</t>
  </si>
  <si>
    <t>24600.0</t>
  </si>
  <si>
    <t>20600.0</t>
  </si>
  <si>
    <t>16.26</t>
  </si>
  <si>
    <t>4.1</t>
  </si>
  <si>
    <t>JSM10027</t>
  </si>
  <si>
    <t>C0258</t>
  </si>
  <si>
    <t>Client 0258</t>
  </si>
  <si>
    <t>2026-06-28</t>
  </si>
  <si>
    <t>mobile app development</t>
  </si>
  <si>
    <t>56200.0</t>
  </si>
  <si>
    <t>50600.0</t>
  </si>
  <si>
    <t>30900.0</t>
  </si>
  <si>
    <t>19700.0</t>
  </si>
  <si>
    <t>38.93</t>
  </si>
  <si>
    <t>2100.0</t>
  </si>
  <si>
    <t>3.1</t>
  </si>
  <si>
    <t>JSM10028</t>
  </si>
  <si>
    <t>C0346</t>
  </si>
  <si>
    <t>Client 0346</t>
  </si>
  <si>
    <t>2025-08-29</t>
  </si>
  <si>
    <t>24700.0</t>
  </si>
  <si>
    <t>17200.0</t>
  </si>
  <si>
    <t>7500.0</t>
  </si>
  <si>
    <t>30.36</t>
  </si>
  <si>
    <t>4.4</t>
  </si>
  <si>
    <t>JSM10029</t>
  </si>
  <si>
    <t>C0134</t>
  </si>
  <si>
    <t>Client 0134</t>
  </si>
  <si>
    <t>2025-07-29</t>
  </si>
  <si>
    <t xml:space="preserve">PPC </t>
  </si>
  <si>
    <t>59.0</t>
  </si>
  <si>
    <t>71700.0</t>
  </si>
  <si>
    <t>57400.0</t>
  </si>
  <si>
    <t>36100.0</t>
  </si>
  <si>
    <t>21300.0</t>
  </si>
  <si>
    <t>37.11</t>
  </si>
  <si>
    <t>7900.0</t>
  </si>
  <si>
    <t>3.7</t>
  </si>
  <si>
    <t>JSM10030</t>
  </si>
  <si>
    <t>C0005</t>
  </si>
  <si>
    <t>Client 0005</t>
  </si>
  <si>
    <t>44700.0</t>
  </si>
  <si>
    <t>47.65</t>
  </si>
  <si>
    <t>JSM10031</t>
  </si>
  <si>
    <t>C0190</t>
  </si>
  <si>
    <t>Client 0190</t>
  </si>
  <si>
    <t>2025-10-19</t>
  </si>
  <si>
    <t>web development</t>
  </si>
  <si>
    <t>85400.0</t>
  </si>
  <si>
    <t>81100.0</t>
  </si>
  <si>
    <t>47800.0</t>
  </si>
  <si>
    <t>33300.0</t>
  </si>
  <si>
    <t>41.06</t>
  </si>
  <si>
    <t>4.7</t>
  </si>
  <si>
    <t>JSM10032</t>
  </si>
  <si>
    <t>C0136</t>
  </si>
  <si>
    <t>Client 0136</t>
  </si>
  <si>
    <t>2025-04-29</t>
  </si>
  <si>
    <t>33.0</t>
  </si>
  <si>
    <t>63500.0</t>
  </si>
  <si>
    <t>50800.0</t>
  </si>
  <si>
    <t>41400.0</t>
  </si>
  <si>
    <t>18.5</t>
  </si>
  <si>
    <t>8700.0</t>
  </si>
  <si>
    <t>JSM10033</t>
  </si>
  <si>
    <t>C0105</t>
  </si>
  <si>
    <t>Client 0105</t>
  </si>
  <si>
    <t>2026-12-05</t>
  </si>
  <si>
    <t>ppc</t>
  </si>
  <si>
    <t>15300.0</t>
  </si>
  <si>
    <t>2300.0</t>
  </si>
  <si>
    <t>9200.0</t>
  </si>
  <si>
    <t>29.23</t>
  </si>
  <si>
    <t>JSM10034</t>
  </si>
  <si>
    <t>C0023</t>
  </si>
  <si>
    <t>Client 0023</t>
  </si>
  <si>
    <t>2025-01-04</t>
  </si>
  <si>
    <t>83900.0</t>
  </si>
  <si>
    <t>4200.0</t>
  </si>
  <si>
    <t>79700.0</t>
  </si>
  <si>
    <t>57000.0</t>
  </si>
  <si>
    <t>28.48</t>
  </si>
  <si>
    <t>10500.0</t>
  </si>
  <si>
    <t>JSM10035</t>
  </si>
  <si>
    <t>C0288</t>
  </si>
  <si>
    <t>Client 0288</t>
  </si>
  <si>
    <t>2025-01-10</t>
  </si>
  <si>
    <t>48100.0</t>
  </si>
  <si>
    <t>38500.0</t>
  </si>
  <si>
    <t>11200.0</t>
  </si>
  <si>
    <t>29.09</t>
  </si>
  <si>
    <t>2900.0</t>
  </si>
  <si>
    <t>JSM10036</t>
  </si>
  <si>
    <t>C0221</t>
  </si>
  <si>
    <t>Client 0221</t>
  </si>
  <si>
    <t>2025-05-11</t>
  </si>
  <si>
    <t>44.0</t>
  </si>
  <si>
    <t>51600.0</t>
  </si>
  <si>
    <t>10300.0</t>
  </si>
  <si>
    <t>41300.0</t>
  </si>
  <si>
    <t>38100.0</t>
  </si>
  <si>
    <t>7.75</t>
  </si>
  <si>
    <t>4.6</t>
  </si>
  <si>
    <t>JSM10037</t>
  </si>
  <si>
    <t>C0182</t>
  </si>
  <si>
    <t>Client 0182</t>
  </si>
  <si>
    <t>2026-07-28</t>
  </si>
  <si>
    <t>55100.0</t>
  </si>
  <si>
    <t>52300.0</t>
  </si>
  <si>
    <t>28200.0</t>
  </si>
  <si>
    <t>24100.0</t>
  </si>
  <si>
    <t>46.08</t>
  </si>
  <si>
    <t>6300.0</t>
  </si>
  <si>
    <t>JSM10038</t>
  </si>
  <si>
    <t>C0092</t>
  </si>
  <si>
    <t>Client 0092</t>
  </si>
  <si>
    <t>2025-12-07</t>
  </si>
  <si>
    <t>41.0</t>
  </si>
  <si>
    <t>61900.0</t>
  </si>
  <si>
    <t>9300.0</t>
  </si>
  <si>
    <t>52600.0</t>
  </si>
  <si>
    <t>44500.0</t>
  </si>
  <si>
    <t>15.4</t>
  </si>
  <si>
    <t>JSM10039</t>
  </si>
  <si>
    <t>C0020</t>
  </si>
  <si>
    <t>Client 0020</t>
  </si>
  <si>
    <t>2026-04-27</t>
  </si>
  <si>
    <t>34300.0</t>
  </si>
  <si>
    <t>19.48</t>
  </si>
  <si>
    <t>2200.0</t>
  </si>
  <si>
    <t>JSM10040</t>
  </si>
  <si>
    <t>C0338</t>
  </si>
  <si>
    <t>Client 0338</t>
  </si>
  <si>
    <t>2025-07-17</t>
  </si>
  <si>
    <t>41700.0</t>
  </si>
  <si>
    <t>23700.0</t>
  </si>
  <si>
    <t>18000.0</t>
  </si>
  <si>
    <t>43.17</t>
  </si>
  <si>
    <t>3.0</t>
  </si>
  <si>
    <t>JSM10041</t>
  </si>
  <si>
    <t>C0348</t>
  </si>
  <si>
    <t>Client 0348</t>
  </si>
  <si>
    <t>2026-07-04</t>
  </si>
  <si>
    <t>49.0</t>
  </si>
  <si>
    <t>117000.0</t>
  </si>
  <si>
    <t>93600.0</t>
  </si>
  <si>
    <t>39900.0</t>
  </si>
  <si>
    <t>42.63</t>
  </si>
  <si>
    <t>8400.0</t>
  </si>
  <si>
    <t>JSM10042</t>
  </si>
  <si>
    <t>C0056</t>
  </si>
  <si>
    <t>Client 0056</t>
  </si>
  <si>
    <t>2026-09-03</t>
  </si>
  <si>
    <t>72100.0</t>
  </si>
  <si>
    <t>14400.0</t>
  </si>
  <si>
    <t>57700.0</t>
  </si>
  <si>
    <t>34200.0</t>
  </si>
  <si>
    <t>23500.0</t>
  </si>
  <si>
    <t>40.73</t>
  </si>
  <si>
    <t>5200.0</t>
  </si>
  <si>
    <t>JSM10043</t>
  </si>
  <si>
    <t>C0131</t>
  </si>
  <si>
    <t>Client 0131</t>
  </si>
  <si>
    <t>2025-02-15</t>
  </si>
  <si>
    <t>54.0</t>
  </si>
  <si>
    <t>31800.0</t>
  </si>
  <si>
    <t>25.47</t>
  </si>
  <si>
    <t>3.3</t>
  </si>
  <si>
    <t>JSM10044</t>
  </si>
  <si>
    <t>C0340</t>
  </si>
  <si>
    <t>Client 0340</t>
  </si>
  <si>
    <t>2025-05-08</t>
  </si>
  <si>
    <t>40500.0</t>
  </si>
  <si>
    <t>2000.0</t>
  </si>
  <si>
    <t>17800.0</t>
  </si>
  <si>
    <t>20700.0</t>
  </si>
  <si>
    <t>53.77</t>
  </si>
  <si>
    <t>JSM10045</t>
  </si>
  <si>
    <t>C0099</t>
  </si>
  <si>
    <t>Client 0099</t>
  </si>
  <si>
    <t>2026-03-07</t>
  </si>
  <si>
    <t>24.0</t>
  </si>
  <si>
    <t>38900.0</t>
  </si>
  <si>
    <t>7800.0</t>
  </si>
  <si>
    <t>31100.0</t>
  </si>
  <si>
    <t>25300.0</t>
  </si>
  <si>
    <t>18.65</t>
  </si>
  <si>
    <t>JSM10046</t>
  </si>
  <si>
    <t>C0147</t>
  </si>
  <si>
    <t>Client 0147</t>
  </si>
  <si>
    <t>2025-08-04</t>
  </si>
  <si>
    <t>40.0</t>
  </si>
  <si>
    <t>53900.0</t>
  </si>
  <si>
    <t>45800.0</t>
  </si>
  <si>
    <t>29700.0</t>
  </si>
  <si>
    <t>16100.0</t>
  </si>
  <si>
    <t>35.15</t>
  </si>
  <si>
    <t>3600.0</t>
  </si>
  <si>
    <t>2.9</t>
  </si>
  <si>
    <t>JSM10047</t>
  </si>
  <si>
    <t>C0262</t>
  </si>
  <si>
    <t>Client 0262</t>
  </si>
  <si>
    <t>2026-04-30</t>
  </si>
  <si>
    <t>5900.0</t>
  </si>
  <si>
    <t>53100.0</t>
  </si>
  <si>
    <t>15.82</t>
  </si>
  <si>
    <t>JSM10048</t>
  </si>
  <si>
    <t>C0413</t>
  </si>
  <si>
    <t>Client 0413</t>
  </si>
  <si>
    <t>2025-07-23</t>
  </si>
  <si>
    <t>B2B Services</t>
  </si>
  <si>
    <t>21600.0</t>
  </si>
  <si>
    <t>15500.0</t>
  </si>
  <si>
    <t>6100.0</t>
  </si>
  <si>
    <t>28.24</t>
  </si>
  <si>
    <t>JSM10049</t>
  </si>
  <si>
    <t>C0368</t>
  </si>
  <si>
    <t>Client 0368</t>
  </si>
  <si>
    <t>2026-12-15</t>
  </si>
  <si>
    <t>110600.0</t>
  </si>
  <si>
    <t>54100.0</t>
  </si>
  <si>
    <t>56500.0</t>
  </si>
  <si>
    <t>51.08</t>
  </si>
  <si>
    <t>11300.0</t>
  </si>
  <si>
    <t>JSM10050</t>
  </si>
  <si>
    <t>C0091</t>
  </si>
  <si>
    <t>Client 0091</t>
  </si>
  <si>
    <t>14/12/2026</t>
  </si>
  <si>
    <t>34.0</t>
  </si>
  <si>
    <t>51500.0</t>
  </si>
  <si>
    <t>7700.0</t>
  </si>
  <si>
    <t>43800.0</t>
  </si>
  <si>
    <t>8600.0</t>
  </si>
  <si>
    <t>19.63</t>
  </si>
  <si>
    <t>5500.0</t>
  </si>
  <si>
    <t>JSM10051</t>
  </si>
  <si>
    <t>C0387</t>
  </si>
  <si>
    <t>Client 0387</t>
  </si>
  <si>
    <t>2026-03-30</t>
  </si>
  <si>
    <t>34000.0</t>
  </si>
  <si>
    <t>5100.0</t>
  </si>
  <si>
    <t>28900.0</t>
  </si>
  <si>
    <t>33.91</t>
  </si>
  <si>
    <t>1600.0</t>
  </si>
  <si>
    <t>JSM10052</t>
  </si>
  <si>
    <t>C0327</t>
  </si>
  <si>
    <t>Client 0327</t>
  </si>
  <si>
    <t>2025-10-11</t>
  </si>
  <si>
    <t>38000.0</t>
  </si>
  <si>
    <t>32300.0</t>
  </si>
  <si>
    <t>30800.0</t>
  </si>
  <si>
    <t>1500.0</t>
  </si>
  <si>
    <t>4.64</t>
  </si>
  <si>
    <t>JSM10053</t>
  </si>
  <si>
    <t>C0140</t>
  </si>
  <si>
    <t>Client 0140</t>
  </si>
  <si>
    <t>2025-12-10</t>
  </si>
  <si>
    <t>26600.0</t>
  </si>
  <si>
    <t>10400.0</t>
  </si>
  <si>
    <t>39.1</t>
  </si>
  <si>
    <t>JSM10054</t>
  </si>
  <si>
    <t>C0362</t>
  </si>
  <si>
    <t>Client 0362</t>
  </si>
  <si>
    <t>2025-08-08</t>
  </si>
  <si>
    <t>web design</t>
  </si>
  <si>
    <t>44400.0</t>
  </si>
  <si>
    <t>37700.0</t>
  </si>
  <si>
    <t>9500.0</t>
  </si>
  <si>
    <t>25.2</t>
  </si>
  <si>
    <t>JSM10055</t>
  </si>
  <si>
    <t>C0200</t>
  </si>
  <si>
    <t>Client 0200</t>
  </si>
  <si>
    <t>2026-08-22</t>
  </si>
  <si>
    <t>31900.0</t>
  </si>
  <si>
    <t>30300.0</t>
  </si>
  <si>
    <t>13700.0</t>
  </si>
  <si>
    <t>16600.0</t>
  </si>
  <si>
    <t>54.79</t>
  </si>
  <si>
    <t>4600.0</t>
  </si>
  <si>
    <t>JSM10056</t>
  </si>
  <si>
    <t>C0386</t>
  </si>
  <si>
    <t>Client 0386</t>
  </si>
  <si>
    <t>2026-02-04</t>
  </si>
  <si>
    <t>70.0</t>
  </si>
  <si>
    <t>50300.0</t>
  </si>
  <si>
    <t>5000.0</t>
  </si>
  <si>
    <t>45300.0</t>
  </si>
  <si>
    <t>37600.0</t>
  </si>
  <si>
    <t>17.0</t>
  </si>
  <si>
    <t>JSM10057</t>
  </si>
  <si>
    <t>C0249</t>
  </si>
  <si>
    <t>Client 0249</t>
  </si>
  <si>
    <t>2025-01-30</t>
  </si>
  <si>
    <t>43.0</t>
  </si>
  <si>
    <t>31500.0</t>
  </si>
  <si>
    <t>26800.0</t>
  </si>
  <si>
    <t>14100.0</t>
  </si>
  <si>
    <t>47.39</t>
  </si>
  <si>
    <t>JSM10058</t>
  </si>
  <si>
    <t>C0202</t>
  </si>
  <si>
    <t>Client 0202</t>
  </si>
  <si>
    <t>2026-08-30</t>
  </si>
  <si>
    <t xml:space="preserve">SEO </t>
  </si>
  <si>
    <t>74900.0</t>
  </si>
  <si>
    <t>67400.0</t>
  </si>
  <si>
    <t>9700.0</t>
  </si>
  <si>
    <t>14.39</t>
  </si>
  <si>
    <t>6600.0</t>
  </si>
  <si>
    <t>JSM10059</t>
  </si>
  <si>
    <t>C0195</t>
  </si>
  <si>
    <t>Client 0195</t>
  </si>
  <si>
    <t>2025-12-02</t>
  </si>
  <si>
    <t>38.0</t>
  </si>
  <si>
    <t>58200.0</t>
  </si>
  <si>
    <t>55300.0</t>
  </si>
  <si>
    <t>21000.0</t>
  </si>
  <si>
    <t>9900.0</t>
  </si>
  <si>
    <t>JSM10060</t>
  </si>
  <si>
    <t>C0241</t>
  </si>
  <si>
    <t>Client 0241</t>
  </si>
  <si>
    <t>2025-01-20</t>
  </si>
  <si>
    <t>16.0</t>
  </si>
  <si>
    <t>30700.0</t>
  </si>
  <si>
    <t>26100.0</t>
  </si>
  <si>
    <t>24300.0</t>
  </si>
  <si>
    <t>1800.0</t>
  </si>
  <si>
    <t>6.9</t>
  </si>
  <si>
    <t>JSM10061</t>
  </si>
  <si>
    <t>C0127</t>
  </si>
  <si>
    <t>Client 0127</t>
  </si>
  <si>
    <t>2025-07-24</t>
  </si>
  <si>
    <t>71100.0</t>
  </si>
  <si>
    <t>56900.0</t>
  </si>
  <si>
    <t>36600.0</t>
  </si>
  <si>
    <t>35.68</t>
  </si>
  <si>
    <t>JSM10062</t>
  </si>
  <si>
    <t>C0239</t>
  </si>
  <si>
    <t>Client 0239</t>
  </si>
  <si>
    <t>2026-12-18</t>
  </si>
  <si>
    <t>64500.0</t>
  </si>
  <si>
    <t>6400.0</t>
  </si>
  <si>
    <t>58100.0</t>
  </si>
  <si>
    <t>37100.0</t>
  </si>
  <si>
    <t>36.14</t>
  </si>
  <si>
    <t>10100.0</t>
  </si>
  <si>
    <t>JSM10063</t>
  </si>
  <si>
    <t>C0160</t>
  </si>
  <si>
    <t>Client 0160</t>
  </si>
  <si>
    <t>2026-08-13</t>
  </si>
  <si>
    <t>30.0</t>
  </si>
  <si>
    <t>76200.0</t>
  </si>
  <si>
    <t>7600.0</t>
  </si>
  <si>
    <t>68600.0</t>
  </si>
  <si>
    <t>61200.0</t>
  </si>
  <si>
    <t>7400.0</t>
  </si>
  <si>
    <t>10.79</t>
  </si>
  <si>
    <t>JSM10064</t>
  </si>
  <si>
    <t>C0408</t>
  </si>
  <si>
    <t>Client 0408</t>
  </si>
  <si>
    <t>2026-08-03</t>
  </si>
  <si>
    <t xml:space="preserve">SMM </t>
  </si>
  <si>
    <t>75.0</t>
  </si>
  <si>
    <t>25500.0</t>
  </si>
  <si>
    <t>22900.0</t>
  </si>
  <si>
    <t>17600.0</t>
  </si>
  <si>
    <t>5300.0</t>
  </si>
  <si>
    <t>23.14</t>
  </si>
  <si>
    <t>JSM10065</t>
  </si>
  <si>
    <t>C0216</t>
  </si>
  <si>
    <t>Client 0216</t>
  </si>
  <si>
    <t>2026-05-17</t>
  </si>
  <si>
    <t>50900.0</t>
  </si>
  <si>
    <t>10600.0</t>
  </si>
  <si>
    <t>20.83</t>
  </si>
  <si>
    <t>2.7</t>
  </si>
  <si>
    <t>JSM10066</t>
  </si>
  <si>
    <t>C0316</t>
  </si>
  <si>
    <t>Client 0316</t>
  </si>
  <si>
    <t>2026-07-06</t>
  </si>
  <si>
    <t>69.0</t>
  </si>
  <si>
    <t>37400.0</t>
  </si>
  <si>
    <t>3700.0</t>
  </si>
  <si>
    <t>33700.0</t>
  </si>
  <si>
    <t>17500.0</t>
  </si>
  <si>
    <t>48.07</t>
  </si>
  <si>
    <t>JSM10067</t>
  </si>
  <si>
    <t>C0231</t>
  </si>
  <si>
    <t>Client 0231</t>
  </si>
  <si>
    <t>2025-09-07</t>
  </si>
  <si>
    <t>46400.0</t>
  </si>
  <si>
    <t>35100.0</t>
  </si>
  <si>
    <t>5.39</t>
  </si>
  <si>
    <t>JSM10068</t>
  </si>
  <si>
    <t>C0094</t>
  </si>
  <si>
    <t>Client 0094</t>
  </si>
  <si>
    <t>2026-05-15</t>
  </si>
  <si>
    <t>42.0</t>
  </si>
  <si>
    <t>20000.0</t>
  </si>
  <si>
    <t>14900.0</t>
  </si>
  <si>
    <t>25.5</t>
  </si>
  <si>
    <t>2500.0</t>
  </si>
  <si>
    <t>JSM10069</t>
  </si>
  <si>
    <t>2025-07-15</t>
  </si>
  <si>
    <t>61.0</t>
  </si>
  <si>
    <t>23600.0</t>
  </si>
  <si>
    <t>31.78</t>
  </si>
  <si>
    <t>JSM10070</t>
  </si>
  <si>
    <t>C0230</t>
  </si>
  <si>
    <t>Client 0230</t>
  </si>
  <si>
    <t>2025-01-18</t>
  </si>
  <si>
    <t>Mobile App Dev</t>
  </si>
  <si>
    <t>43900.0</t>
  </si>
  <si>
    <t>4400.0</t>
  </si>
  <si>
    <t>39500.0</t>
  </si>
  <si>
    <t>20900.0</t>
  </si>
  <si>
    <t>52.91</t>
  </si>
  <si>
    <t>JSM10071</t>
  </si>
  <si>
    <t>C0243</t>
  </si>
  <si>
    <t>Client 0243</t>
  </si>
  <si>
    <t>2026-07-21</t>
  </si>
  <si>
    <t>67700.0</t>
  </si>
  <si>
    <t>50700.0</t>
  </si>
  <si>
    <t>17000.0</t>
  </si>
  <si>
    <t>25.11</t>
  </si>
  <si>
    <t>JSM10072</t>
  </si>
  <si>
    <t>C0119</t>
  </si>
  <si>
    <t>Client 0119</t>
  </si>
  <si>
    <t>2025-05-04</t>
  </si>
  <si>
    <t>27800.0</t>
  </si>
  <si>
    <t>25.42</t>
  </si>
  <si>
    <t>JSM10073</t>
  </si>
  <si>
    <t>C0371</t>
  </si>
  <si>
    <t>Client 0371</t>
  </si>
  <si>
    <t>2026-08-27</t>
  </si>
  <si>
    <t>42500.0</t>
  </si>
  <si>
    <t>20100.0</t>
  </si>
  <si>
    <t>22400.0</t>
  </si>
  <si>
    <t>52.71</t>
  </si>
  <si>
    <t>JSM10074</t>
  </si>
  <si>
    <t>C0155</t>
  </si>
  <si>
    <t>Client 0155</t>
  </si>
  <si>
    <t>2025-01-15</t>
  </si>
  <si>
    <t>20.0</t>
  </si>
  <si>
    <t>97800.0</t>
  </si>
  <si>
    <t>76900.0</t>
  </si>
  <si>
    <t>21.37</t>
  </si>
  <si>
    <t>16900.0</t>
  </si>
  <si>
    <t>JSM10075</t>
  </si>
  <si>
    <t>C0053</t>
  </si>
  <si>
    <t>Client 0053</t>
  </si>
  <si>
    <t>2025-01-13</t>
  </si>
  <si>
    <t>75900.0</t>
  </si>
  <si>
    <t>25200.0</t>
  </si>
  <si>
    <t>33.2</t>
  </si>
  <si>
    <t>JSM10076</t>
  </si>
  <si>
    <t>C0059</t>
  </si>
  <si>
    <t>Client 0059</t>
  </si>
  <si>
    <t>2025-03-08</t>
  </si>
  <si>
    <t>27700.0</t>
  </si>
  <si>
    <t>14.8</t>
  </si>
  <si>
    <t>JSM10077</t>
  </si>
  <si>
    <t>2025-09-12</t>
  </si>
  <si>
    <t>48700.0</t>
  </si>
  <si>
    <t>17.25</t>
  </si>
  <si>
    <t>JSM10078</t>
  </si>
  <si>
    <t>2026-03-16</t>
  </si>
  <si>
    <t>13600.0</t>
  </si>
  <si>
    <t>43.3</t>
  </si>
  <si>
    <t>JSM10079</t>
  </si>
  <si>
    <t>C0339</t>
  </si>
  <si>
    <t>Client 0339</t>
  </si>
  <si>
    <t>2025-03-25</t>
  </si>
  <si>
    <t>28000.0</t>
  </si>
  <si>
    <t>18.37</t>
  </si>
  <si>
    <t>JSM10080</t>
  </si>
  <si>
    <t>C0353</t>
  </si>
  <si>
    <t>Client 0353</t>
  </si>
  <si>
    <t>2026-09-01</t>
  </si>
  <si>
    <t>51100.0</t>
  </si>
  <si>
    <t>22800.0</t>
  </si>
  <si>
    <t>28300.0</t>
  </si>
  <si>
    <t>55.38</t>
  </si>
  <si>
    <t>JSM10081</t>
  </si>
  <si>
    <t>C0352</t>
  </si>
  <si>
    <t>Client 0352</t>
  </si>
  <si>
    <t>2025-08-28</t>
  </si>
  <si>
    <t>43000.0</t>
  </si>
  <si>
    <t>32900.0</t>
  </si>
  <si>
    <t>23.49</t>
  </si>
  <si>
    <t>JSM10082</t>
  </si>
  <si>
    <t>C0137</t>
  </si>
  <si>
    <t>Client 0137</t>
  </si>
  <si>
    <t>2025-05-26</t>
  </si>
  <si>
    <t>106700.0</t>
  </si>
  <si>
    <t>101400.0</t>
  </si>
  <si>
    <t>77100.0</t>
  </si>
  <si>
    <t>23.96</t>
  </si>
  <si>
    <t>4.5</t>
  </si>
  <si>
    <t>JSM10083</t>
  </si>
  <si>
    <t>C0359</t>
  </si>
  <si>
    <t>Client 0359</t>
  </si>
  <si>
    <t>18.0</t>
  </si>
  <si>
    <t>41000.0</t>
  </si>
  <si>
    <t>34800.0</t>
  </si>
  <si>
    <t>5.46</t>
  </si>
  <si>
    <t>JSM10084</t>
  </si>
  <si>
    <t>C0377</t>
  </si>
  <si>
    <t>Client 0377</t>
  </si>
  <si>
    <t>2025-11-27</t>
  </si>
  <si>
    <t>42100.0</t>
  </si>
  <si>
    <t>27000.0</t>
  </si>
  <si>
    <t>15100.0</t>
  </si>
  <si>
    <t>35.87</t>
  </si>
  <si>
    <t>JSM10085</t>
  </si>
  <si>
    <t>2026-06-16</t>
  </si>
  <si>
    <t>83600.0</t>
  </si>
  <si>
    <t>16700.0</t>
  </si>
  <si>
    <t>66900.0</t>
  </si>
  <si>
    <t>19.43</t>
  </si>
  <si>
    <t>JSM10086</t>
  </si>
  <si>
    <t>C0210</t>
  </si>
  <si>
    <t>Client 0210</t>
  </si>
  <si>
    <t>2025-12-08</t>
  </si>
  <si>
    <t>Pay Per Click</t>
  </si>
  <si>
    <t>83.0</t>
  </si>
  <si>
    <t>95600.0</t>
  </si>
  <si>
    <t>4800.0</t>
  </si>
  <si>
    <t>90800.0</t>
  </si>
  <si>
    <t>64600.0</t>
  </si>
  <si>
    <t>28.85</t>
  </si>
  <si>
    <t>JSM10087</t>
  </si>
  <si>
    <t>2026-02-15</t>
  </si>
  <si>
    <t>57.0</t>
  </si>
  <si>
    <t>39.75</t>
  </si>
  <si>
    <t>JSM10088</t>
  </si>
  <si>
    <t>2025-01-02</t>
  </si>
  <si>
    <t>68.0</t>
  </si>
  <si>
    <t>71400.0</t>
  </si>
  <si>
    <t>11500.0</t>
  </si>
  <si>
    <t>JSM10089</t>
  </si>
  <si>
    <t>C0390</t>
  </si>
  <si>
    <t>Client 0390</t>
  </si>
  <si>
    <t>2025-02-22</t>
  </si>
  <si>
    <t>68700.0</t>
  </si>
  <si>
    <t>58400.0</t>
  </si>
  <si>
    <t>36000.0</t>
  </si>
  <si>
    <t>38.36</t>
  </si>
  <si>
    <t>JSM10090</t>
  </si>
  <si>
    <t>C0015</t>
  </si>
  <si>
    <t>Client 0015</t>
  </si>
  <si>
    <t>2026-10-08</t>
  </si>
  <si>
    <t>11900.0</t>
  </si>
  <si>
    <t>55.09</t>
  </si>
  <si>
    <t>JSM10091</t>
  </si>
  <si>
    <t>C0237</t>
  </si>
  <si>
    <t>Client 0237</t>
  </si>
  <si>
    <t>2025-05-01</t>
  </si>
  <si>
    <t>6.0</t>
  </si>
  <si>
    <t>101200.0</t>
  </si>
  <si>
    <t>91100.0</t>
  </si>
  <si>
    <t>70700.0</t>
  </si>
  <si>
    <t>20400.0</t>
  </si>
  <si>
    <t>22.39</t>
  </si>
  <si>
    <t>JSM10092</t>
  </si>
  <si>
    <t>C0234</t>
  </si>
  <si>
    <t>Client 0234</t>
  </si>
  <si>
    <t>2026-07-19</t>
  </si>
  <si>
    <t>32.0</t>
  </si>
  <si>
    <t>137400.0</t>
  </si>
  <si>
    <t>67200.0</t>
  </si>
  <si>
    <t>70200.0</t>
  </si>
  <si>
    <t>51.09</t>
  </si>
  <si>
    <t>JSM10093</t>
  </si>
  <si>
    <t>C0002</t>
  </si>
  <si>
    <t>Client 0002</t>
  </si>
  <si>
    <t>2025-10-17</t>
  </si>
  <si>
    <t>78800.0</t>
  </si>
  <si>
    <t>63000.0</t>
  </si>
  <si>
    <t>44100.0</t>
  </si>
  <si>
    <t>18900.0</t>
  </si>
  <si>
    <t>JSM10094</t>
  </si>
  <si>
    <t>C0177</t>
  </si>
  <si>
    <t>Client 0177</t>
  </si>
  <si>
    <t>32700.0</t>
  </si>
  <si>
    <t>26.98</t>
  </si>
  <si>
    <t>JSM10095</t>
  </si>
  <si>
    <t>C0120</t>
  </si>
  <si>
    <t>Client 0120</t>
  </si>
  <si>
    <t>2026-02-25</t>
  </si>
  <si>
    <t>18800.0</t>
  </si>
  <si>
    <t>12.96</t>
  </si>
  <si>
    <t>JSM10096</t>
  </si>
  <si>
    <t>C0019</t>
  </si>
  <si>
    <t>Client 0019</t>
  </si>
  <si>
    <t>2025-05-10</t>
  </si>
  <si>
    <t>68900.0</t>
  </si>
  <si>
    <t>6900.0</t>
  </si>
  <si>
    <t>62000.0</t>
  </si>
  <si>
    <t>35400.0</t>
  </si>
  <si>
    <t>42.9</t>
  </si>
  <si>
    <t>JSM10097</t>
  </si>
  <si>
    <t>C0008</t>
  </si>
  <si>
    <t>Client 0008</t>
  </si>
  <si>
    <t>2025-05-28</t>
  </si>
  <si>
    <t>67.0</t>
  </si>
  <si>
    <t>38700.0</t>
  </si>
  <si>
    <t>36800.0</t>
  </si>
  <si>
    <t>16800.0</t>
  </si>
  <si>
    <t>54.35</t>
  </si>
  <si>
    <t>JSM10098</t>
  </si>
  <si>
    <t>C0333</t>
  </si>
  <si>
    <t>Client 0333</t>
  </si>
  <si>
    <t>2025-03-24</t>
  </si>
  <si>
    <t>55.0</t>
  </si>
  <si>
    <t>26000.0</t>
  </si>
  <si>
    <t>15600.0</t>
  </si>
  <si>
    <t>9100.0</t>
  </si>
  <si>
    <t>36.84</t>
  </si>
  <si>
    <t>JSM10099</t>
  </si>
  <si>
    <t>C0317</t>
  </si>
  <si>
    <t>Client 0317</t>
  </si>
  <si>
    <t>2025-03-12</t>
  </si>
  <si>
    <t>33900.0</t>
  </si>
  <si>
    <t>50.74</t>
  </si>
  <si>
    <t>JSM10100</t>
  </si>
  <si>
    <t>C0228</t>
  </si>
  <si>
    <t>Client 0228</t>
  </si>
  <si>
    <t>2025-06-20</t>
  </si>
  <si>
    <t>30100.0</t>
  </si>
  <si>
    <t>18300.0</t>
  </si>
  <si>
    <t>11800.0</t>
  </si>
  <si>
    <t>39.2</t>
  </si>
  <si>
    <t>JSM10101</t>
  </si>
  <si>
    <t>2025-05-30</t>
  </si>
  <si>
    <t>28100.0</t>
  </si>
  <si>
    <t>36.57</t>
  </si>
  <si>
    <t>JSM10102</t>
  </si>
  <si>
    <t>C0318</t>
  </si>
  <si>
    <t>Client 0318</t>
  </si>
  <si>
    <t>2026-12-01</t>
  </si>
  <si>
    <t>73.0</t>
  </si>
  <si>
    <t>19200.0</t>
  </si>
  <si>
    <t>21.88</t>
  </si>
  <si>
    <t>1400.0</t>
  </si>
  <si>
    <t>JSM10103</t>
  </si>
  <si>
    <t>2026-11-14</t>
  </si>
  <si>
    <t>37200.0</t>
  </si>
  <si>
    <t>6.45</t>
  </si>
  <si>
    <t>JSM10104</t>
  </si>
  <si>
    <t>C0301</t>
  </si>
  <si>
    <t>Client 0301</t>
  </si>
  <si>
    <t>2025-11-03</t>
  </si>
  <si>
    <t>26.0</t>
  </si>
  <si>
    <t>46.67</t>
  </si>
  <si>
    <t>JSM10105</t>
  </si>
  <si>
    <t>C0122</t>
  </si>
  <si>
    <t>Client 0122</t>
  </si>
  <si>
    <t>2026-01-26</t>
  </si>
  <si>
    <t>12900.0</t>
  </si>
  <si>
    <t>51700.0</t>
  </si>
  <si>
    <t>52500.0</t>
  </si>
  <si>
    <t>-800.0</t>
  </si>
  <si>
    <t>-1.55</t>
  </si>
  <si>
    <t>JSM10106</t>
  </si>
  <si>
    <t>C0311</t>
  </si>
  <si>
    <t>Client 0311</t>
  </si>
  <si>
    <t>2026-05-24</t>
  </si>
  <si>
    <t>51.0</t>
  </si>
  <si>
    <t>55500.0</t>
  </si>
  <si>
    <t>46200.0</t>
  </si>
  <si>
    <t>16.76</t>
  </si>
  <si>
    <t>JSM10107</t>
  </si>
  <si>
    <t>2026-11-07</t>
  </si>
  <si>
    <t>9000.0</t>
  </si>
  <si>
    <t>38.46</t>
  </si>
  <si>
    <t>JSM10108</t>
  </si>
  <si>
    <t>C0375</t>
  </si>
  <si>
    <t>Client 0375</t>
  </si>
  <si>
    <t>2025-05-15</t>
  </si>
  <si>
    <t>23.0</t>
  </si>
  <si>
    <t>122500.0</t>
  </si>
  <si>
    <t>24500.0</t>
  </si>
  <si>
    <t>98000.0</t>
  </si>
  <si>
    <t>89100.0</t>
  </si>
  <si>
    <t>9.08</t>
  </si>
  <si>
    <t>JSM10109</t>
  </si>
  <si>
    <t>C0272</t>
  </si>
  <si>
    <t>Client 0272</t>
  </si>
  <si>
    <t>2026-05-29</t>
  </si>
  <si>
    <t>JSM10110</t>
  </si>
  <si>
    <t>C0240</t>
  </si>
  <si>
    <t>Client 0240</t>
  </si>
  <si>
    <t>2025-03-19</t>
  </si>
  <si>
    <t>20500.0</t>
  </si>
  <si>
    <t>18500.0</t>
  </si>
  <si>
    <t>23.24</t>
  </si>
  <si>
    <t>JSM10111</t>
  </si>
  <si>
    <t>67800.0</t>
  </si>
  <si>
    <t>54200.0</t>
  </si>
  <si>
    <t>44600.0</t>
  </si>
  <si>
    <t>17.71</t>
  </si>
  <si>
    <t>JSM10112</t>
  </si>
  <si>
    <t>2026-09-27</t>
  </si>
  <si>
    <t>RETURNING</t>
  </si>
  <si>
    <t>49000.0</t>
  </si>
  <si>
    <t>43300.0</t>
  </si>
  <si>
    <t>11.63</t>
  </si>
  <si>
    <t>JSM10113</t>
  </si>
  <si>
    <t>2026-02-23</t>
  </si>
  <si>
    <t>22100.0</t>
  </si>
  <si>
    <t>48.25</t>
  </si>
  <si>
    <t>JSM10114</t>
  </si>
  <si>
    <t>C0276</t>
  </si>
  <si>
    <t>Client 0276</t>
  </si>
  <si>
    <t>2025-05-19</t>
  </si>
  <si>
    <t>35300.0</t>
  </si>
  <si>
    <t>21.53</t>
  </si>
  <si>
    <t>JSM10115</t>
  </si>
  <si>
    <t>2026-02-22</t>
  </si>
  <si>
    <t>40600.0</t>
  </si>
  <si>
    <t>21400.0</t>
  </si>
  <si>
    <t>34.52</t>
  </si>
  <si>
    <t>JSM10116</t>
  </si>
  <si>
    <t>C0051</t>
  </si>
  <si>
    <t>Client 0051</t>
  </si>
  <si>
    <t>2026-12-04</t>
  </si>
  <si>
    <t>15900.0</t>
  </si>
  <si>
    <t>11400.0</t>
  </si>
  <si>
    <t>28.3</t>
  </si>
  <si>
    <t>1200.0</t>
  </si>
  <si>
    <t>JSM10117</t>
  </si>
  <si>
    <t>C0233</t>
  </si>
  <si>
    <t>Client 0233</t>
  </si>
  <si>
    <t>2025-04-04</t>
  </si>
  <si>
    <t>69800.0</t>
  </si>
  <si>
    <t>66300.0</t>
  </si>
  <si>
    <t>21800.0</t>
  </si>
  <si>
    <t>32.88</t>
  </si>
  <si>
    <t>JSM10118</t>
  </si>
  <si>
    <t>C0036</t>
  </si>
  <si>
    <t>Client 0036</t>
  </si>
  <si>
    <t>2026-07-22</t>
  </si>
  <si>
    <t>11000.0</t>
  </si>
  <si>
    <t>62400.0</t>
  </si>
  <si>
    <t>26700.0</t>
  </si>
  <si>
    <t>42.79</t>
  </si>
  <si>
    <t>6800.0</t>
  </si>
  <si>
    <t>JSM10119</t>
  </si>
  <si>
    <t>C0075</t>
  </si>
  <si>
    <t>Client 0075</t>
  </si>
  <si>
    <t>2025-05-14</t>
  </si>
  <si>
    <t>105900.0</t>
  </si>
  <si>
    <t>86700.0</t>
  </si>
  <si>
    <t>18.13</t>
  </si>
  <si>
    <t>JSM10120</t>
  </si>
  <si>
    <t>C0405</t>
  </si>
  <si>
    <t>Client 0405</t>
  </si>
  <si>
    <t>46100.0</t>
  </si>
  <si>
    <t>33400.0</t>
  </si>
  <si>
    <t>23.74</t>
  </si>
  <si>
    <t>JSM10121</t>
  </si>
  <si>
    <t>C0382</t>
  </si>
  <si>
    <t>Client 0382</t>
  </si>
  <si>
    <t>-1000.0</t>
  </si>
  <si>
    <t>33.04</t>
  </si>
  <si>
    <t>JSM10122</t>
  </si>
  <si>
    <t>C0373</t>
  </si>
  <si>
    <t>Client 0373</t>
  </si>
  <si>
    <t>2026-11-06</t>
  </si>
  <si>
    <t>29.0</t>
  </si>
  <si>
    <t>24900.0</t>
  </si>
  <si>
    <t>10200.0</t>
  </si>
  <si>
    <t>29.06</t>
  </si>
  <si>
    <t>JSM10123</t>
  </si>
  <si>
    <t>C0252</t>
  </si>
  <si>
    <t>Client 0252</t>
  </si>
  <si>
    <t>2026-12-31</t>
  </si>
  <si>
    <t>133200.0</t>
  </si>
  <si>
    <t>126500.0</t>
  </si>
  <si>
    <t>94100.0</t>
  </si>
  <si>
    <t>32400.0</t>
  </si>
  <si>
    <t>25.61</t>
  </si>
  <si>
    <t>JSM10124</t>
  </si>
  <si>
    <t>C0320</t>
  </si>
  <si>
    <t>Client 0320</t>
  </si>
  <si>
    <t>2026-10-11</t>
  </si>
  <si>
    <t>64.0</t>
  </si>
  <si>
    <t>63600.0</t>
  </si>
  <si>
    <t>30600.0</t>
  </si>
  <si>
    <t>43.44</t>
  </si>
  <si>
    <t>JSM10125</t>
  </si>
  <si>
    <t>2026-12-20</t>
  </si>
  <si>
    <t>1700.0</t>
  </si>
  <si>
    <t>33100.0</t>
  </si>
  <si>
    <t>25.38</t>
  </si>
  <si>
    <t>JSM10126</t>
  </si>
  <si>
    <t>C0174</t>
  </si>
  <si>
    <t>Client 0174</t>
  </si>
  <si>
    <t>2026-04-10</t>
  </si>
  <si>
    <t>50000.0</t>
  </si>
  <si>
    <t>45000.0</t>
  </si>
  <si>
    <t>46.44</t>
  </si>
  <si>
    <t>JSM10127</t>
  </si>
  <si>
    <t>C0079</t>
  </si>
  <si>
    <t>Client 0079</t>
  </si>
  <si>
    <t xml:space="preserve"> ahmedabad </t>
  </si>
  <si>
    <t>33800.0</t>
  </si>
  <si>
    <t>17100.0</t>
  </si>
  <si>
    <t>50.59</t>
  </si>
  <si>
    <t>JSM10128</t>
  </si>
  <si>
    <t>C0285</t>
  </si>
  <si>
    <t>Client 0285</t>
  </si>
  <si>
    <t>2025-03-03</t>
  </si>
  <si>
    <t>13300.0</t>
  </si>
  <si>
    <t>28.49</t>
  </si>
  <si>
    <t>JSM10129</t>
  </si>
  <si>
    <t>C0148</t>
  </si>
  <si>
    <t>Client 0148</t>
  </si>
  <si>
    <t>2026-09-07</t>
  </si>
  <si>
    <t>21.33</t>
  </si>
  <si>
    <t>JSM10130</t>
  </si>
  <si>
    <t>2026-01-12</t>
  </si>
  <si>
    <t>500.0</t>
  </si>
  <si>
    <t>1.8</t>
  </si>
  <si>
    <t>JSM10131</t>
  </si>
  <si>
    <t>C0093</t>
  </si>
  <si>
    <t>Client 0093</t>
  </si>
  <si>
    <t>2025-10-07</t>
  </si>
  <si>
    <t>43100.0</t>
  </si>
  <si>
    <t>21.35</t>
  </si>
  <si>
    <t>JSM10132</t>
  </si>
  <si>
    <t>46300.0</t>
  </si>
  <si>
    <t>37500.0</t>
  </si>
  <si>
    <t>19.01</t>
  </si>
  <si>
    <t>JSM10133</t>
  </si>
  <si>
    <t>C0081</t>
  </si>
  <si>
    <t>Client 0081</t>
  </si>
  <si>
    <t>2026-01-14</t>
  </si>
  <si>
    <t>18.02</t>
  </si>
  <si>
    <t>JSM10134</t>
  </si>
  <si>
    <t>25/03/2025</t>
  </si>
  <si>
    <t>8.0</t>
  </si>
  <si>
    <t>93200.0</t>
  </si>
  <si>
    <t>74600.0</t>
  </si>
  <si>
    <t>52200.0</t>
  </si>
  <si>
    <t>30.03</t>
  </si>
  <si>
    <t>JSM10135</t>
  </si>
  <si>
    <t>2026-06-09</t>
  </si>
  <si>
    <t>11600.0</t>
  </si>
  <si>
    <t>35.26</t>
  </si>
  <si>
    <t>JSM10136</t>
  </si>
  <si>
    <t>2026-02-09</t>
  </si>
  <si>
    <t>18100.0</t>
  </si>
  <si>
    <t>34.81</t>
  </si>
  <si>
    <t>1100.0</t>
  </si>
  <si>
    <t>JSM10137</t>
  </si>
  <si>
    <t>C0062</t>
  </si>
  <si>
    <t>Client 0062</t>
  </si>
  <si>
    <t>2025-01-08</t>
  </si>
  <si>
    <t>20.21</t>
  </si>
  <si>
    <t>3000.0</t>
  </si>
  <si>
    <t>JSM10138</t>
  </si>
  <si>
    <t>C0037</t>
  </si>
  <si>
    <t>Client 0037</t>
  </si>
  <si>
    <t>2026-02-11</t>
  </si>
  <si>
    <t>74200.0</t>
  </si>
  <si>
    <t>70500.0</t>
  </si>
  <si>
    <t>32000.0</t>
  </si>
  <si>
    <t>54.61</t>
  </si>
  <si>
    <t>JSM10139</t>
  </si>
  <si>
    <t>C0364</t>
  </si>
  <si>
    <t>Client 0364</t>
  </si>
  <si>
    <t>2026-10-18</t>
  </si>
  <si>
    <t>50.85</t>
  </si>
  <si>
    <t>JSM10140</t>
  </si>
  <si>
    <t>C0354</t>
  </si>
  <si>
    <t>Client 0354</t>
  </si>
  <si>
    <t>2026-01-06</t>
  </si>
  <si>
    <t>40200.0</t>
  </si>
  <si>
    <t>17.41</t>
  </si>
  <si>
    <t>JSM10141</t>
  </si>
  <si>
    <t>C0203</t>
  </si>
  <si>
    <t>Client 0203</t>
  </si>
  <si>
    <t>2025-11-14</t>
  </si>
  <si>
    <t>24800.0</t>
  </si>
  <si>
    <t>45.16</t>
  </si>
  <si>
    <t>JSM10142</t>
  </si>
  <si>
    <t>C0398</t>
  </si>
  <si>
    <t>Client 0398</t>
  </si>
  <si>
    <t>2025-12-24</t>
  </si>
  <si>
    <t>20200.0</t>
  </si>
  <si>
    <t>36.63</t>
  </si>
  <si>
    <t>JSM10143</t>
  </si>
  <si>
    <t>C0089</t>
  </si>
  <si>
    <t>Client 0089</t>
  </si>
  <si>
    <t>2026-09-09</t>
  </si>
  <si>
    <t>17300.0</t>
  </si>
  <si>
    <t>33.72</t>
  </si>
  <si>
    <t>JSM10144</t>
  </si>
  <si>
    <t>C0349</t>
  </si>
  <si>
    <t>Client 0349</t>
  </si>
  <si>
    <t>2026-08-02</t>
  </si>
  <si>
    <t>36900.0</t>
  </si>
  <si>
    <t>29500.0</t>
  </si>
  <si>
    <t>JSM10145</t>
  </si>
  <si>
    <t>C0227</t>
  </si>
  <si>
    <t>Client 0227</t>
  </si>
  <si>
    <t>2026-10-09</t>
  </si>
  <si>
    <t>108200.0</t>
  </si>
  <si>
    <t>86600.0</t>
  </si>
  <si>
    <t>54900.0</t>
  </si>
  <si>
    <t>36.61</t>
  </si>
  <si>
    <t>JSM10146</t>
  </si>
  <si>
    <t>33000.0</t>
  </si>
  <si>
    <t>57.27</t>
  </si>
  <si>
    <t>JSM10147</t>
  </si>
  <si>
    <t>2026-08-18</t>
  </si>
  <si>
    <t>93700.0</t>
  </si>
  <si>
    <t>79600.0</t>
  </si>
  <si>
    <t>41900.0</t>
  </si>
  <si>
    <t>47.36</t>
  </si>
  <si>
    <t>JSM10148</t>
  </si>
  <si>
    <t>C0310</t>
  </si>
  <si>
    <t>Client 0310</t>
  </si>
  <si>
    <t>2026-05-03</t>
  </si>
  <si>
    <t>47.0</t>
  </si>
  <si>
    <t>31.42</t>
  </si>
  <si>
    <t>JSM10149</t>
  </si>
  <si>
    <t>C0021</t>
  </si>
  <si>
    <t>Client 0021</t>
  </si>
  <si>
    <t>2025-09-11</t>
  </si>
  <si>
    <t>cancelled</t>
  </si>
  <si>
    <t>21900.0</t>
  </si>
  <si>
    <t>8200.0</t>
  </si>
  <si>
    <t>37.44</t>
  </si>
  <si>
    <t>JSM10150</t>
  </si>
  <si>
    <t>C0397</t>
  </si>
  <si>
    <t>Client 0397</t>
  </si>
  <si>
    <t>2025-12-13</t>
  </si>
  <si>
    <t>39.58</t>
  </si>
  <si>
    <t>JSM10151</t>
  </si>
  <si>
    <t>C0146</t>
  </si>
  <si>
    <t>Client 0146</t>
  </si>
  <si>
    <t>2025-09-16</t>
  </si>
  <si>
    <t>79200.0</t>
  </si>
  <si>
    <t>51200.0</t>
  </si>
  <si>
    <t>35.35</t>
  </si>
  <si>
    <t>JSM10152</t>
  </si>
  <si>
    <t>C0305</t>
  </si>
  <si>
    <t>Client 0305</t>
  </si>
  <si>
    <t>2026-12-27</t>
  </si>
  <si>
    <t xml:space="preserve">Web Design </t>
  </si>
  <si>
    <t>22500.0</t>
  </si>
  <si>
    <t>24.44</t>
  </si>
  <si>
    <t>JSM10153</t>
  </si>
  <si>
    <t>C0331</t>
  </si>
  <si>
    <t>Client 0331</t>
  </si>
  <si>
    <t>2026-11-18</t>
  </si>
  <si>
    <t>7.0</t>
  </si>
  <si>
    <t>76300.0</t>
  </si>
  <si>
    <t>55600.0</t>
  </si>
  <si>
    <t>14.33</t>
  </si>
  <si>
    <t>JSM10154</t>
  </si>
  <si>
    <t>C0393</t>
  </si>
  <si>
    <t>Client 0393</t>
  </si>
  <si>
    <t>64300.0</t>
  </si>
  <si>
    <t>40900.0</t>
  </si>
  <si>
    <t>36.39</t>
  </si>
  <si>
    <t>JSM10155</t>
  </si>
  <si>
    <t>2025-12-11</t>
  </si>
  <si>
    <t>75700.0</t>
  </si>
  <si>
    <t>47.16</t>
  </si>
  <si>
    <t>JSM10156</t>
  </si>
  <si>
    <t>C0370</t>
  </si>
  <si>
    <t>Client 0370</t>
  </si>
  <si>
    <t>2026-03-25</t>
  </si>
  <si>
    <t>47500.0</t>
  </si>
  <si>
    <t>52.21</t>
  </si>
  <si>
    <t>JSM10157</t>
  </si>
  <si>
    <t>C0274</t>
  </si>
  <si>
    <t>Client 0274</t>
  </si>
  <si>
    <t>2025-09-02</t>
  </si>
  <si>
    <t>80400.0</t>
  </si>
  <si>
    <t>56000.0</t>
  </si>
  <si>
    <t>12.91</t>
  </si>
  <si>
    <t>JSM10158</t>
  </si>
  <si>
    <t>2025-10-16</t>
  </si>
  <si>
    <t>31.32</t>
  </si>
  <si>
    <t>JSM10159</t>
  </si>
  <si>
    <t>C0027</t>
  </si>
  <si>
    <t>Client 0027</t>
  </si>
  <si>
    <t>53.16</t>
  </si>
  <si>
    <t>JSM10160</t>
  </si>
  <si>
    <t>2026-04-06</t>
  </si>
  <si>
    <t>63700.0</t>
  </si>
  <si>
    <t>60500.0</t>
  </si>
  <si>
    <t>53.39</t>
  </si>
  <si>
    <t>JSM10161</t>
  </si>
  <si>
    <t>C0213</t>
  </si>
  <si>
    <t>Client 0213</t>
  </si>
  <si>
    <t>2025-02-24</t>
  </si>
  <si>
    <t>53.25</t>
  </si>
  <si>
    <t>JSM10162</t>
  </si>
  <si>
    <t>C0164</t>
  </si>
  <si>
    <t>Client 0164</t>
  </si>
  <si>
    <t>2025-04-12</t>
  </si>
  <si>
    <t>98200.0</t>
  </si>
  <si>
    <t>88400.0</t>
  </si>
  <si>
    <t>72800.0</t>
  </si>
  <si>
    <t>17.65</t>
  </si>
  <si>
    <t>JSM10163</t>
  </si>
  <si>
    <t>2026-09-23</t>
  </si>
  <si>
    <t>56.0</t>
  </si>
  <si>
    <t>19600.0</t>
  </si>
  <si>
    <t>22.45</t>
  </si>
  <si>
    <t>JSM10164</t>
  </si>
  <si>
    <t>C0057</t>
  </si>
  <si>
    <t>Client 0057</t>
  </si>
  <si>
    <t>2025-10-23</t>
  </si>
  <si>
    <t>16.57</t>
  </si>
  <si>
    <t>JSM10165</t>
  </si>
  <si>
    <t>C0033</t>
  </si>
  <si>
    <t>Client 0033</t>
  </si>
  <si>
    <t>2025-04-24</t>
  </si>
  <si>
    <t>60.0</t>
  </si>
  <si>
    <t>30500.0</t>
  </si>
  <si>
    <t>25900.0</t>
  </si>
  <si>
    <t>31.66</t>
  </si>
  <si>
    <t>JSM10166</t>
  </si>
  <si>
    <t>C0315</t>
  </si>
  <si>
    <t>Client 0315</t>
  </si>
  <si>
    <t>2025-12-28</t>
  </si>
  <si>
    <t>28500.0</t>
  </si>
  <si>
    <t>25700.0</t>
  </si>
  <si>
    <t>38.52</t>
  </si>
  <si>
    <t>JSM10167</t>
  </si>
  <si>
    <t>30400.0</t>
  </si>
  <si>
    <t>29.61</t>
  </si>
  <si>
    <t>JSM10168</t>
  </si>
  <si>
    <t>C0124</t>
  </si>
  <si>
    <t>Client 0124</t>
  </si>
  <si>
    <t>2026-11-04</t>
  </si>
  <si>
    <t>57100.0</t>
  </si>
  <si>
    <t>25000.0</t>
  </si>
  <si>
    <t>32100.0</t>
  </si>
  <si>
    <t>56.22</t>
  </si>
  <si>
    <t>JSM10169</t>
  </si>
  <si>
    <t>C0417</t>
  </si>
  <si>
    <t>Client 0417</t>
  </si>
  <si>
    <t>2026-10-21</t>
  </si>
  <si>
    <t>13800.0</t>
  </si>
  <si>
    <t>17.97</t>
  </si>
  <si>
    <t>JSM10170</t>
  </si>
  <si>
    <t>2025-10-28</t>
  </si>
  <si>
    <t>83000.0</t>
  </si>
  <si>
    <t>46.07</t>
  </si>
  <si>
    <t>JSM10171</t>
  </si>
  <si>
    <t>C0418</t>
  </si>
  <si>
    <t>Client 0418</t>
  </si>
  <si>
    <t>2026-07-11</t>
  </si>
  <si>
    <t>16300.0</t>
  </si>
  <si>
    <t>49.24</t>
  </si>
  <si>
    <t>JSM10172</t>
  </si>
  <si>
    <t>22300.0</t>
  </si>
  <si>
    <t>14000.0</t>
  </si>
  <si>
    <t>30.35</t>
  </si>
  <si>
    <t>JSM10173</t>
  </si>
  <si>
    <t>C0355</t>
  </si>
  <si>
    <t>Client 0355</t>
  </si>
  <si>
    <t>2026-05-25</t>
  </si>
  <si>
    <t>9.14</t>
  </si>
  <si>
    <t>JSM10174</t>
  </si>
  <si>
    <t>94700.0</t>
  </si>
  <si>
    <t>85200.0</t>
  </si>
  <si>
    <t>51.76</t>
  </si>
  <si>
    <t>JSM10175</t>
  </si>
  <si>
    <t>C0229</t>
  </si>
  <si>
    <t>Client 0229</t>
  </si>
  <si>
    <t>2026-09-10</t>
  </si>
  <si>
    <t>35800.0</t>
  </si>
  <si>
    <t>22.35</t>
  </si>
  <si>
    <t>JSM10176</t>
  </si>
  <si>
    <t>C0141</t>
  </si>
  <si>
    <t>Client 0141</t>
  </si>
  <si>
    <t>2026-10-17</t>
  </si>
  <si>
    <t>42700.0</t>
  </si>
  <si>
    <t>17400.0</t>
  </si>
  <si>
    <t>40.75</t>
  </si>
  <si>
    <t>JSM10177</t>
  </si>
  <si>
    <t>C0074</t>
  </si>
  <si>
    <t>Client 0074</t>
  </si>
  <si>
    <t>2026-09-15</t>
  </si>
  <si>
    <t>22.38</t>
  </si>
  <si>
    <t>JSM10178</t>
  </si>
  <si>
    <t>2025-06-07</t>
  </si>
  <si>
    <t>48200.0</t>
  </si>
  <si>
    <t>27.95</t>
  </si>
  <si>
    <t>JSM10179</t>
  </si>
  <si>
    <t>C0204</t>
  </si>
  <si>
    <t>Client 0204</t>
  </si>
  <si>
    <t>2025-11-18</t>
  </si>
  <si>
    <t>114900.0</t>
  </si>
  <si>
    <t>103400.0</t>
  </si>
  <si>
    <t>88200.0</t>
  </si>
  <si>
    <t>14.7</t>
  </si>
  <si>
    <t>JSM10180</t>
  </si>
  <si>
    <t>58500.0</t>
  </si>
  <si>
    <t>27.16</t>
  </si>
  <si>
    <t>JSM10181</t>
  </si>
  <si>
    <t>C0103</t>
  </si>
  <si>
    <t>Client 0103</t>
  </si>
  <si>
    <t>2025-05-06</t>
  </si>
  <si>
    <t>delayed</t>
  </si>
  <si>
    <t>30.91</t>
  </si>
  <si>
    <t>JSM10182</t>
  </si>
  <si>
    <t>29600.0</t>
  </si>
  <si>
    <t>JSM10183</t>
  </si>
  <si>
    <t>C0063</t>
  </si>
  <si>
    <t>Client 0063</t>
  </si>
  <si>
    <t>2025-07-25</t>
  </si>
  <si>
    <t>49900.0</t>
  </si>
  <si>
    <t>10000.0</t>
  </si>
  <si>
    <t>23100.0</t>
  </si>
  <si>
    <t>42.11</t>
  </si>
  <si>
    <t>JSM10184</t>
  </si>
  <si>
    <t>9.73</t>
  </si>
  <si>
    <t>JSM10185</t>
  </si>
  <si>
    <t>2026-02-24</t>
  </si>
  <si>
    <t>49400.0</t>
  </si>
  <si>
    <t>45.95</t>
  </si>
  <si>
    <t>JSM10186</t>
  </si>
  <si>
    <t>C0066</t>
  </si>
  <si>
    <t>Client 0066</t>
  </si>
  <si>
    <t>71.0</t>
  </si>
  <si>
    <t>24.57</t>
  </si>
  <si>
    <t>JSM10187</t>
  </si>
  <si>
    <t>C0156</t>
  </si>
  <si>
    <t>Client 0156</t>
  </si>
  <si>
    <t>2025-06-18</t>
  </si>
  <si>
    <t>10900.0</t>
  </si>
  <si>
    <t>27.33</t>
  </si>
  <si>
    <t>JSM10188</t>
  </si>
  <si>
    <t>C0326</t>
  </si>
  <si>
    <t>Client 0326</t>
  </si>
  <si>
    <t>completed</t>
  </si>
  <si>
    <t>15.0</t>
  </si>
  <si>
    <t>46600.0</t>
  </si>
  <si>
    <t>35000.0</t>
  </si>
  <si>
    <t>20.99</t>
  </si>
  <si>
    <t>JSM10189</t>
  </si>
  <si>
    <t>C0088</t>
  </si>
  <si>
    <t>Client 0088</t>
  </si>
  <si>
    <t>32500.0</t>
  </si>
  <si>
    <t>22200.0</t>
  </si>
  <si>
    <t>28.16</t>
  </si>
  <si>
    <t>JSM10190</t>
  </si>
  <si>
    <t>-5.0</t>
  </si>
  <si>
    <t>36700.0</t>
  </si>
  <si>
    <t>45.5</t>
  </si>
  <si>
    <t>JSM10191</t>
  </si>
  <si>
    <t>C0126</t>
  </si>
  <si>
    <t>Client 0126</t>
  </si>
  <si>
    <t>2026-12-03</t>
  </si>
  <si>
    <t>56.68</t>
  </si>
  <si>
    <t>JSM10192</t>
  </si>
  <si>
    <t>C0238</t>
  </si>
  <si>
    <t>Client 0238</t>
  </si>
  <si>
    <t>2025-07-28</t>
  </si>
  <si>
    <t>84.0</t>
  </si>
  <si>
    <t>19300.0</t>
  </si>
  <si>
    <t>40.93</t>
  </si>
  <si>
    <t>JSM10193</t>
  </si>
  <si>
    <t>2026-07-30</t>
  </si>
  <si>
    <t>56700.0</t>
  </si>
  <si>
    <t>23.75</t>
  </si>
  <si>
    <t>JSM10194</t>
  </si>
  <si>
    <t>C0050</t>
  </si>
  <si>
    <t>Client 0050</t>
  </si>
  <si>
    <t>2025-02-21</t>
  </si>
  <si>
    <t>109200.0</t>
  </si>
  <si>
    <t>48.08</t>
  </si>
  <si>
    <t>JSM10195</t>
  </si>
  <si>
    <t>2025-06-13</t>
  </si>
  <si>
    <t>44000.0</t>
  </si>
  <si>
    <t>28700.0</t>
  </si>
  <si>
    <t>23.26</t>
  </si>
  <si>
    <t>JSM10196</t>
  </si>
  <si>
    <t>2026-06-02</t>
  </si>
  <si>
    <t>41500.0</t>
  </si>
  <si>
    <t>30.84</t>
  </si>
  <si>
    <t>JSM10197</t>
  </si>
  <si>
    <t>2026-11-01</t>
  </si>
  <si>
    <t>9.0</t>
  </si>
  <si>
    <t>47000.0</t>
  </si>
  <si>
    <t>30.27</t>
  </si>
  <si>
    <t>JSM10198</t>
  </si>
  <si>
    <t>C0392</t>
  </si>
  <si>
    <t>Client 0392</t>
  </si>
  <si>
    <t>14500.0</t>
  </si>
  <si>
    <t>10700.0</t>
  </si>
  <si>
    <t>42.46</t>
  </si>
  <si>
    <t>JSM10199</t>
  </si>
  <si>
    <t>C0198</t>
  </si>
  <si>
    <t>Client 0198</t>
  </si>
  <si>
    <t>2026-06-01</t>
  </si>
  <si>
    <t>81.0</t>
  </si>
  <si>
    <t>29.91</t>
  </si>
  <si>
    <t>JSM10200</t>
  </si>
  <si>
    <t>C0407</t>
  </si>
  <si>
    <t>Client 0407</t>
  </si>
  <si>
    <t>2025-12-14</t>
  </si>
  <si>
    <t>18.84</t>
  </si>
  <si>
    <t>JSM10201</t>
  </si>
  <si>
    <t>2025-05-21</t>
  </si>
  <si>
    <t>60800.0</t>
  </si>
  <si>
    <t>51.32</t>
  </si>
  <si>
    <t>JSM10202</t>
  </si>
  <si>
    <t>C0084</t>
  </si>
  <si>
    <t>Client 0084</t>
  </si>
  <si>
    <t>2026-02-07</t>
  </si>
  <si>
    <t>20.42</t>
  </si>
  <si>
    <t>JSM10203</t>
  </si>
  <si>
    <t>C0345</t>
  </si>
  <si>
    <t>Client 0345</t>
  </si>
  <si>
    <t>2025-04-23</t>
  </si>
  <si>
    <t>86500.0</t>
  </si>
  <si>
    <t>55900.0</t>
  </si>
  <si>
    <t>35.38</t>
  </si>
  <si>
    <t>JSM10204</t>
  </si>
  <si>
    <t>138900.0</t>
  </si>
  <si>
    <t>51300.0</t>
  </si>
  <si>
    <t>36.93</t>
  </si>
  <si>
    <t>JSM10205</t>
  </si>
  <si>
    <t>105000.0</t>
  </si>
  <si>
    <t>33600.0</t>
  </si>
  <si>
    <t>JSM10206</t>
  </si>
  <si>
    <t>2025-03-05</t>
  </si>
  <si>
    <t>62300.0</t>
  </si>
  <si>
    <t>38.04</t>
  </si>
  <si>
    <t>JSM10207</t>
  </si>
  <si>
    <t>2026-04-16</t>
  </si>
  <si>
    <t>14.0</t>
  </si>
  <si>
    <t>85700.0</t>
  </si>
  <si>
    <t>81400.0</t>
  </si>
  <si>
    <t>54600.0</t>
  </si>
  <si>
    <t>32.92</t>
  </si>
  <si>
    <t>JSM10208</t>
  </si>
  <si>
    <t>C0286</t>
  </si>
  <si>
    <t>Client 0286</t>
  </si>
  <si>
    <t>2025-11-02</t>
  </si>
  <si>
    <t>23.38</t>
  </si>
  <si>
    <t>JSM10209</t>
  </si>
  <si>
    <t>C0246</t>
  </si>
  <si>
    <t>Client 0246</t>
  </si>
  <si>
    <t>37.04</t>
  </si>
  <si>
    <t>JSM10210</t>
  </si>
  <si>
    <t>2025-12-20</t>
  </si>
  <si>
    <t>91.0</t>
  </si>
  <si>
    <t>35.74</t>
  </si>
  <si>
    <t>JSM10211</t>
  </si>
  <si>
    <t>C0110</t>
  </si>
  <si>
    <t>Client 0110</t>
  </si>
  <si>
    <t>2025-07-26</t>
  </si>
  <si>
    <t>68500.0</t>
  </si>
  <si>
    <t>38300.0</t>
  </si>
  <si>
    <t>30200.0</t>
  </si>
  <si>
    <t>44.09</t>
  </si>
  <si>
    <t>JSM10212</t>
  </si>
  <si>
    <t>C0125</t>
  </si>
  <si>
    <t>Client 0125</t>
  </si>
  <si>
    <t>88000.0</t>
  </si>
  <si>
    <t>48.52</t>
  </si>
  <si>
    <t>12300.0</t>
  </si>
  <si>
    <t>JSM10213</t>
  </si>
  <si>
    <t>C0052</t>
  </si>
  <si>
    <t>Client 0052</t>
  </si>
  <si>
    <t>2026-11-29</t>
  </si>
  <si>
    <t>37800.0</t>
  </si>
  <si>
    <t>22.85</t>
  </si>
  <si>
    <t>JSM10214</t>
  </si>
  <si>
    <t>120100.0</t>
  </si>
  <si>
    <t>55000.0</t>
  </si>
  <si>
    <t>54.2</t>
  </si>
  <si>
    <t>JSM10215</t>
  </si>
  <si>
    <t>2025-02-08</t>
  </si>
  <si>
    <t>84000.0</t>
  </si>
  <si>
    <t>75600.0</t>
  </si>
  <si>
    <t>61300.0</t>
  </si>
  <si>
    <t>18.92</t>
  </si>
  <si>
    <t>JSM10216</t>
  </si>
  <si>
    <t>24.67</t>
  </si>
  <si>
    <t>JSM10217</t>
  </si>
  <si>
    <t>C0069</t>
  </si>
  <si>
    <t>Client 0069</t>
  </si>
  <si>
    <t>47300.0</t>
  </si>
  <si>
    <t>13200.0</t>
  </si>
  <si>
    <t>34.92</t>
  </si>
  <si>
    <t>JSM10218</t>
  </si>
  <si>
    <t>2025-07-10</t>
  </si>
  <si>
    <t>54700.0</t>
  </si>
  <si>
    <t>18.26</t>
  </si>
  <si>
    <t>JSM10219</t>
  </si>
  <si>
    <t>27900.0</t>
  </si>
  <si>
    <t>48.03</t>
  </si>
  <si>
    <t>JSM10220</t>
  </si>
  <si>
    <t>C0004</t>
  </si>
  <si>
    <t>Client 0004</t>
  </si>
  <si>
    <t>2025-09-25</t>
  </si>
  <si>
    <t>56.37</t>
  </si>
  <si>
    <t>JSM10221</t>
  </si>
  <si>
    <t>39400.0</t>
  </si>
  <si>
    <t>22600.0</t>
  </si>
  <si>
    <t>57.36</t>
  </si>
  <si>
    <t>JSM10222</t>
  </si>
  <si>
    <t>2026-05-30</t>
  </si>
  <si>
    <t>23.7</t>
  </si>
  <si>
    <t>JSM10223</t>
  </si>
  <si>
    <t>2026-05-05</t>
  </si>
  <si>
    <t>47400.0</t>
  </si>
  <si>
    <t>23000.0</t>
  </si>
  <si>
    <t>42.93</t>
  </si>
  <si>
    <t>JSM10224</t>
  </si>
  <si>
    <t xml:space="preserve"> delhi ncr </t>
  </si>
  <si>
    <t>72.0</t>
  </si>
  <si>
    <t>12100.0</t>
  </si>
  <si>
    <t>30.33</t>
  </si>
  <si>
    <t>JSM10225</t>
  </si>
  <si>
    <t>C0294</t>
  </si>
  <si>
    <t>Client 0294</t>
  </si>
  <si>
    <t>48600.0</t>
  </si>
  <si>
    <t>JSM10226</t>
  </si>
  <si>
    <t>C0047</t>
  </si>
  <si>
    <t>Client 0047</t>
  </si>
  <si>
    <t>2026-06-07</t>
  </si>
  <si>
    <t>53600.0</t>
  </si>
  <si>
    <t>36400.0</t>
  </si>
  <si>
    <t>32.09</t>
  </si>
  <si>
    <t>JSM10227</t>
  </si>
  <si>
    <t>C0287</t>
  </si>
  <si>
    <t>Client 0287</t>
  </si>
  <si>
    <t>2026-04-19</t>
  </si>
  <si>
    <t>JSM10228</t>
  </si>
  <si>
    <t>C0024</t>
  </si>
  <si>
    <t>Client 0024</t>
  </si>
  <si>
    <t>2026-03-10</t>
  </si>
  <si>
    <t>52400.0</t>
  </si>
  <si>
    <t>47200.0</t>
  </si>
  <si>
    <t>19.49</t>
  </si>
  <si>
    <t>JSM10229</t>
  </si>
  <si>
    <t>65200.0</t>
  </si>
  <si>
    <t>22.13</t>
  </si>
  <si>
    <t>JSM10230</t>
  </si>
  <si>
    <t>C0335</t>
  </si>
  <si>
    <t>Client 0335</t>
  </si>
  <si>
    <t>2025-12-23</t>
  </si>
  <si>
    <t>21200.0</t>
  </si>
  <si>
    <t>33.02</t>
  </si>
  <si>
    <t>JSM10231</t>
  </si>
  <si>
    <t>2026-11-21</t>
  </si>
  <si>
    <t>104200.0</t>
  </si>
  <si>
    <t>62500.0</t>
  </si>
  <si>
    <t>40.02</t>
  </si>
  <si>
    <t>JSM10232</t>
  </si>
  <si>
    <t>C0142</t>
  </si>
  <si>
    <t>Client 0142</t>
  </si>
  <si>
    <t>2025-07-13</t>
  </si>
  <si>
    <t>32.47</t>
  </si>
  <si>
    <t>JSM10233</t>
  </si>
  <si>
    <t>2025-02-04</t>
  </si>
  <si>
    <t>21.55</t>
  </si>
  <si>
    <t>JSM10234</t>
  </si>
  <si>
    <t>C0277</t>
  </si>
  <si>
    <t>Client 0277</t>
  </si>
  <si>
    <t>2025-08-11</t>
  </si>
  <si>
    <t>40800.0</t>
  </si>
  <si>
    <t>32600.0</t>
  </si>
  <si>
    <t>27.61</t>
  </si>
  <si>
    <t>JSM10235</t>
  </si>
  <si>
    <t>2025-11-06</t>
  </si>
  <si>
    <t>120700.0</t>
  </si>
  <si>
    <t>114700.0</t>
  </si>
  <si>
    <t>90400.0</t>
  </si>
  <si>
    <t>21.19</t>
  </si>
  <si>
    <t>JSM10236</t>
  </si>
  <si>
    <t>C0321</t>
  </si>
  <si>
    <t>Client 0321</t>
  </si>
  <si>
    <t>2026-11-27</t>
  </si>
  <si>
    <t>47.75</t>
  </si>
  <si>
    <t>JSM10237</t>
  </si>
  <si>
    <t>2025-06-02</t>
  </si>
  <si>
    <t>29800.0</t>
  </si>
  <si>
    <t>21.48</t>
  </si>
  <si>
    <t>JSM10238</t>
  </si>
  <si>
    <t>2026-04-20</t>
  </si>
  <si>
    <t>33.55</t>
  </si>
  <si>
    <t>JSM10239</t>
  </si>
  <si>
    <t>C0170</t>
  </si>
  <si>
    <t>Client 0170</t>
  </si>
  <si>
    <t>2026-10-25</t>
  </si>
  <si>
    <t>45900.0</t>
  </si>
  <si>
    <t>39000.0</t>
  </si>
  <si>
    <t>JSM10240</t>
  </si>
  <si>
    <t>2026-09-12</t>
  </si>
  <si>
    <t>25400.0</t>
  </si>
  <si>
    <t>17.32</t>
  </si>
  <si>
    <t>JSM10241</t>
  </si>
  <si>
    <t>2025-08-05</t>
  </si>
  <si>
    <t>47900.0</t>
  </si>
  <si>
    <t>31600.0</t>
  </si>
  <si>
    <t>17.49</t>
  </si>
  <si>
    <t>JSM10242</t>
  </si>
  <si>
    <t>2025-09-03</t>
  </si>
  <si>
    <t>43.55</t>
  </si>
  <si>
    <t>JSM10243</t>
  </si>
  <si>
    <t>2026-01-04</t>
  </si>
  <si>
    <t>26.73</t>
  </si>
  <si>
    <t>JSM10244</t>
  </si>
  <si>
    <t>C0161</t>
  </si>
  <si>
    <t>Client 0161</t>
  </si>
  <si>
    <t>2026-02-28</t>
  </si>
  <si>
    <t>29400.0</t>
  </si>
  <si>
    <t>51.96</t>
  </si>
  <si>
    <t>JSM10245</t>
  </si>
  <si>
    <t>C0152</t>
  </si>
  <si>
    <t>Client 0152</t>
  </si>
  <si>
    <t>2025-06-06</t>
  </si>
  <si>
    <t>JSM10246</t>
  </si>
  <si>
    <t>C0391</t>
  </si>
  <si>
    <t>Client 0391</t>
  </si>
  <si>
    <t>2026-05-16</t>
  </si>
  <si>
    <t>75400.0</t>
  </si>
  <si>
    <t>60300.0</t>
  </si>
  <si>
    <t>35.82</t>
  </si>
  <si>
    <t>JSM10247</t>
  </si>
  <si>
    <t>C0095</t>
  </si>
  <si>
    <t>Client 0095</t>
  </si>
  <si>
    <t>2026-07-10</t>
  </si>
  <si>
    <t>31.22</t>
  </si>
  <si>
    <t>JSM10248</t>
  </si>
  <si>
    <t>C0035</t>
  </si>
  <si>
    <t>Client 0035</t>
  </si>
  <si>
    <t>2026-12-26</t>
  </si>
  <si>
    <t>23.37</t>
  </si>
  <si>
    <t>JSM10249</t>
  </si>
  <si>
    <t>48.82</t>
  </si>
  <si>
    <t>JSM10250</t>
  </si>
  <si>
    <t>C0275</t>
  </si>
  <si>
    <t>Client 0275</t>
  </si>
  <si>
    <t>2025-10-21</t>
  </si>
  <si>
    <t>15.41</t>
  </si>
  <si>
    <t>JSM10251</t>
  </si>
  <si>
    <t>2025-07-16</t>
  </si>
  <si>
    <t>66400.0</t>
  </si>
  <si>
    <t>JSM10252</t>
  </si>
  <si>
    <t>C0236</t>
  </si>
  <si>
    <t>Client 0236</t>
  </si>
  <si>
    <t>27100.0</t>
  </si>
  <si>
    <t>19400.0</t>
  </si>
  <si>
    <t>28.41</t>
  </si>
  <si>
    <t>JSM10253</t>
  </si>
  <si>
    <t>C0208</t>
  </si>
  <si>
    <t>Client 0208</t>
  </si>
  <si>
    <t>2026-01-24</t>
  </si>
  <si>
    <t>51.23</t>
  </si>
  <si>
    <t>JSM10254</t>
  </si>
  <si>
    <t>2025-12-06</t>
  </si>
  <si>
    <t>91400.0</t>
  </si>
  <si>
    <t>73100.0</t>
  </si>
  <si>
    <t>67500.0</t>
  </si>
  <si>
    <t>7.66</t>
  </si>
  <si>
    <t>JSM10255</t>
  </si>
  <si>
    <t>C0139</t>
  </si>
  <si>
    <t>Client 0139</t>
  </si>
  <si>
    <t>2025-02-17</t>
  </si>
  <si>
    <t>37300.0</t>
  </si>
  <si>
    <t>9.23</t>
  </si>
  <si>
    <t>JSM10256</t>
  </si>
  <si>
    <t>69400.0</t>
  </si>
  <si>
    <t>53200.0</t>
  </si>
  <si>
    <t>9.83</t>
  </si>
  <si>
    <t>JSM10257</t>
  </si>
  <si>
    <t>C0197</t>
  </si>
  <si>
    <t>Client 0197</t>
  </si>
  <si>
    <t>2025-05-24</t>
  </si>
  <si>
    <t>75100.0</t>
  </si>
  <si>
    <t>56.59</t>
  </si>
  <si>
    <t>JSM10258</t>
  </si>
  <si>
    <t>C0175</t>
  </si>
  <si>
    <t>Client 0175</t>
  </si>
  <si>
    <t>34.26</t>
  </si>
  <si>
    <t>JSM10259</t>
  </si>
  <si>
    <t>C0183</t>
  </si>
  <si>
    <t>Client 0183</t>
  </si>
  <si>
    <t>76.0</t>
  </si>
  <si>
    <t>23800.0</t>
  </si>
  <si>
    <t>34.07</t>
  </si>
  <si>
    <t>JSM10260</t>
  </si>
  <si>
    <t>27.78</t>
  </si>
  <si>
    <t>JSM10261</t>
  </si>
  <si>
    <t>C0003</t>
  </si>
  <si>
    <t>Client 0003</t>
  </si>
  <si>
    <t>2025-11-12</t>
  </si>
  <si>
    <t>29000.0</t>
  </si>
  <si>
    <t>3.97</t>
  </si>
  <si>
    <t>JSM10262</t>
  </si>
  <si>
    <t>2026-07-25</t>
  </si>
  <si>
    <t>19.77</t>
  </si>
  <si>
    <t>JSM10263</t>
  </si>
  <si>
    <t>2026-09-05</t>
  </si>
  <si>
    <t>15.06</t>
  </si>
  <si>
    <t>JSM10264</t>
  </si>
  <si>
    <t>C0293</t>
  </si>
  <si>
    <t>Client 0293</t>
  </si>
  <si>
    <t>2026-06-18</t>
  </si>
  <si>
    <t>28600.0</t>
  </si>
  <si>
    <t>31.91</t>
  </si>
  <si>
    <t>JSM10265</t>
  </si>
  <si>
    <t>2025-03-06</t>
  </si>
  <si>
    <t>59400.0</t>
  </si>
  <si>
    <t>53500.0</t>
  </si>
  <si>
    <t>10.47</t>
  </si>
  <si>
    <t>2.2</t>
  </si>
  <si>
    <t>JSM10266</t>
  </si>
  <si>
    <t>2026-10-03</t>
  </si>
  <si>
    <t>51800.0</t>
  </si>
  <si>
    <t>36.71</t>
  </si>
  <si>
    <t>JSM10267</t>
  </si>
  <si>
    <t>35.64</t>
  </si>
  <si>
    <t>JSM10268</t>
  </si>
  <si>
    <t>C0154</t>
  </si>
  <si>
    <t>Client 0154</t>
  </si>
  <si>
    <t>2025-11-25</t>
  </si>
  <si>
    <t>22.46</t>
  </si>
  <si>
    <t>JSM10269</t>
  </si>
  <si>
    <t>C0167</t>
  </si>
  <si>
    <t>Client 0167</t>
  </si>
  <si>
    <t>2026-01-21</t>
  </si>
  <si>
    <t>62600.0</t>
  </si>
  <si>
    <t>56300.0</t>
  </si>
  <si>
    <t>24200.0</t>
  </si>
  <si>
    <t>42.98</t>
  </si>
  <si>
    <t>JSM10270</t>
  </si>
  <si>
    <t>C0350</t>
  </si>
  <si>
    <t>Client 0350</t>
  </si>
  <si>
    <t>2026-07-18</t>
  </si>
  <si>
    <t>79.0</t>
  </si>
  <si>
    <t>600.0</t>
  </si>
  <si>
    <t>JSM10271</t>
  </si>
  <si>
    <t>2026-05-27</t>
  </si>
  <si>
    <t>28.12</t>
  </si>
  <si>
    <t>JSM10272</t>
  </si>
  <si>
    <t>C0038</t>
  </si>
  <si>
    <t>Client 0038</t>
  </si>
  <si>
    <t>2026-04-05</t>
  </si>
  <si>
    <t>46700.0</t>
  </si>
  <si>
    <t>18.63</t>
  </si>
  <si>
    <t>JSM10273</t>
  </si>
  <si>
    <t>61000.0</t>
  </si>
  <si>
    <t>48.45</t>
  </si>
  <si>
    <t>JSM10274</t>
  </si>
  <si>
    <t>2025-09-22</t>
  </si>
  <si>
    <t>24400.0</t>
  </si>
  <si>
    <t>JSM10275</t>
  </si>
  <si>
    <t>2025-01-26</t>
  </si>
  <si>
    <t>14.06</t>
  </si>
  <si>
    <t>JSM10276</t>
  </si>
  <si>
    <t>2025-12-18</t>
  </si>
  <si>
    <t>39800.0</t>
  </si>
  <si>
    <t>12.01</t>
  </si>
  <si>
    <t>JSM10277</t>
  </si>
  <si>
    <t>2025-03-10</t>
  </si>
  <si>
    <t>91300.0</t>
  </si>
  <si>
    <t>73000.0</t>
  </si>
  <si>
    <t>28.08</t>
  </si>
  <si>
    <t>JSM10278</t>
  </si>
  <si>
    <t>C0380</t>
  </si>
  <si>
    <t>Client 0380</t>
  </si>
  <si>
    <t>28.7</t>
  </si>
  <si>
    <t>JSM10279</t>
  </si>
  <si>
    <t>C0323</t>
  </si>
  <si>
    <t>Client 0323</t>
  </si>
  <si>
    <t>08/07/2025</t>
  </si>
  <si>
    <t>87100.0</t>
  </si>
  <si>
    <t>82700.0</t>
  </si>
  <si>
    <t>22.01</t>
  </si>
  <si>
    <t>JSM10280</t>
  </si>
  <si>
    <t>85800.0</t>
  </si>
  <si>
    <t>77200.0</t>
  </si>
  <si>
    <t>58700.0</t>
  </si>
  <si>
    <t>JSM10281</t>
  </si>
  <si>
    <t>C0410</t>
  </si>
  <si>
    <t>Client 0410</t>
  </si>
  <si>
    <t>JSM10282</t>
  </si>
  <si>
    <t>2026-02-02</t>
  </si>
  <si>
    <t>49.75</t>
  </si>
  <si>
    <t>JSM10283</t>
  </si>
  <si>
    <t>2026-08-28</t>
  </si>
  <si>
    <t xml:space="preserve"> pune </t>
  </si>
  <si>
    <t>41600.0</t>
  </si>
  <si>
    <t>-100.0</t>
  </si>
  <si>
    <t>-0.3</t>
  </si>
  <si>
    <t>JSM10284</t>
  </si>
  <si>
    <t>C0192</t>
  </si>
  <si>
    <t>Client 0192</t>
  </si>
  <si>
    <t>2026-12-12</t>
  </si>
  <si>
    <t>31.88</t>
  </si>
  <si>
    <t>JSM10285</t>
  </si>
  <si>
    <t>2026-07-05</t>
  </si>
  <si>
    <t>49600.0</t>
  </si>
  <si>
    <t>39700.0</t>
  </si>
  <si>
    <t>28.72</t>
  </si>
  <si>
    <t>JSM10286</t>
  </si>
  <si>
    <t>27200.0</t>
  </si>
  <si>
    <t>37.5</t>
  </si>
  <si>
    <t>JSM10287</t>
  </si>
  <si>
    <t>47.53</t>
  </si>
  <si>
    <t>JSM10288</t>
  </si>
  <si>
    <t>66.0</t>
  </si>
  <si>
    <t>82300.0</t>
  </si>
  <si>
    <t>74100.0</t>
  </si>
  <si>
    <t>43400.0</t>
  </si>
  <si>
    <t>41.43</t>
  </si>
  <si>
    <t>JSM10289</t>
  </si>
  <si>
    <t>C0282</t>
  </si>
  <si>
    <t>Client 0282</t>
  </si>
  <si>
    <t>2026-06-08</t>
  </si>
  <si>
    <t>42300.0</t>
  </si>
  <si>
    <t>30000.0</t>
  </si>
  <si>
    <t>25.37</t>
  </si>
  <si>
    <t>JSM10290</t>
  </si>
  <si>
    <t>C0218</t>
  </si>
  <si>
    <t>Client 0218</t>
  </si>
  <si>
    <t>2025-04-15</t>
  </si>
  <si>
    <t>27.69</t>
  </si>
  <si>
    <t>JSM10291</t>
  </si>
  <si>
    <t>C0061</t>
  </si>
  <si>
    <t>Client 0061</t>
  </si>
  <si>
    <t>2025-08-31</t>
  </si>
  <si>
    <t>22.52</t>
  </si>
  <si>
    <t>JSM10292</t>
  </si>
  <si>
    <t>C0402</t>
  </si>
  <si>
    <t>Client 0402</t>
  </si>
  <si>
    <t>2025-07-31</t>
  </si>
  <si>
    <t>39.02</t>
  </si>
  <si>
    <t>JSM10293</t>
  </si>
  <si>
    <t>22.86</t>
  </si>
  <si>
    <t>JSM10294</t>
  </si>
  <si>
    <t>C0336</t>
  </si>
  <si>
    <t>Client 0336</t>
  </si>
  <si>
    <t>34.18</t>
  </si>
  <si>
    <t>JSM10295</t>
  </si>
  <si>
    <t>C0073</t>
  </si>
  <si>
    <t>Client 0073</t>
  </si>
  <si>
    <t>2026-08-15</t>
  </si>
  <si>
    <t>41800.0</t>
  </si>
  <si>
    <t>16.03</t>
  </si>
  <si>
    <t>JSM10296</t>
  </si>
  <si>
    <t>2025-10-12</t>
  </si>
  <si>
    <t>9.18</t>
  </si>
  <si>
    <t>JSM10297</t>
  </si>
  <si>
    <t>2026-11-12</t>
  </si>
  <si>
    <t>8.43</t>
  </si>
  <si>
    <t>JSM10298</t>
  </si>
  <si>
    <t>17.92</t>
  </si>
  <si>
    <t>JSM10299</t>
  </si>
  <si>
    <t>2026-10-04</t>
  </si>
  <si>
    <t>80100.0</t>
  </si>
  <si>
    <t>12000.0</t>
  </si>
  <si>
    <t>56800.0</t>
  </si>
  <si>
    <t>16.59</t>
  </si>
  <si>
    <t>JSM10300</t>
  </si>
  <si>
    <t>2025-05-16</t>
  </si>
  <si>
    <t>108800.0</t>
  </si>
  <si>
    <t>97900.0</t>
  </si>
  <si>
    <t>80700.0</t>
  </si>
  <si>
    <t>17.57</t>
  </si>
  <si>
    <t>JSM10301</t>
  </si>
  <si>
    <t>C0341</t>
  </si>
  <si>
    <t>Client 0341</t>
  </si>
  <si>
    <t>2026-10-27</t>
  </si>
  <si>
    <t>48.01</t>
  </si>
  <si>
    <t>JSM10302</t>
  </si>
  <si>
    <t>C0001</t>
  </si>
  <si>
    <t>Client 0001</t>
  </si>
  <si>
    <t>2025-08-07</t>
  </si>
  <si>
    <t>28.52</t>
  </si>
  <si>
    <t>JSM10303</t>
  </si>
  <si>
    <t>C0217</t>
  </si>
  <si>
    <t>Client 0217</t>
  </si>
  <si>
    <t>25.13</t>
  </si>
  <si>
    <t>JSM10304</t>
  </si>
  <si>
    <t>42800.0</t>
  </si>
  <si>
    <t>38.6</t>
  </si>
  <si>
    <t>JSM10305</t>
  </si>
  <si>
    <t>C0313</t>
  </si>
  <si>
    <t>Client 0313</t>
  </si>
  <si>
    <t>2026-10-28</t>
  </si>
  <si>
    <t>71800.0</t>
  </si>
  <si>
    <t>5.9</t>
  </si>
  <si>
    <t>JSM10306</t>
  </si>
  <si>
    <t>C0045</t>
  </si>
  <si>
    <t>Client 0045</t>
  </si>
  <si>
    <t>2025-04-13</t>
  </si>
  <si>
    <t>20800.0</t>
  </si>
  <si>
    <t>26.24</t>
  </si>
  <si>
    <t>JSM10307</t>
  </si>
  <si>
    <t>2026-10-23</t>
  </si>
  <si>
    <t>21700.0</t>
  </si>
  <si>
    <t>32.82</t>
  </si>
  <si>
    <t>JSM10308</t>
  </si>
  <si>
    <t>C0383</t>
  </si>
  <si>
    <t>Client 0383</t>
  </si>
  <si>
    <t>2026-02-06</t>
  </si>
  <si>
    <t>43700.0</t>
  </si>
  <si>
    <t>40.5</t>
  </si>
  <si>
    <t>JSM10309</t>
  </si>
  <si>
    <t>25600.0</t>
  </si>
  <si>
    <t>21.09</t>
  </si>
  <si>
    <t>JSM10310</t>
  </si>
  <si>
    <t>C0188</t>
  </si>
  <si>
    <t>Client 0188</t>
  </si>
  <si>
    <t>2026-07-14</t>
  </si>
  <si>
    <t>35.03</t>
  </si>
  <si>
    <t>JSM10311</t>
  </si>
  <si>
    <t>65700.0</t>
  </si>
  <si>
    <t>59100.0</t>
  </si>
  <si>
    <t>27400.0</t>
  </si>
  <si>
    <t>46.36</t>
  </si>
  <si>
    <t>JSM10312</t>
  </si>
  <si>
    <t>C0143</t>
  </si>
  <si>
    <t>Client 0143</t>
  </si>
  <si>
    <t>2025-03-27</t>
  </si>
  <si>
    <t>22.02</t>
  </si>
  <si>
    <t>JSM10313</t>
  </si>
  <si>
    <t>C0159</t>
  </si>
  <si>
    <t>Client 0159</t>
  </si>
  <si>
    <t>2026-12-17</t>
  </si>
  <si>
    <t>40700.0</t>
  </si>
  <si>
    <t>37000.0</t>
  </si>
  <si>
    <t>9.09</t>
  </si>
  <si>
    <t>JSM10314</t>
  </si>
  <si>
    <t>2026-09-19</t>
  </si>
  <si>
    <t>34400.0</t>
  </si>
  <si>
    <t>50.07</t>
  </si>
  <si>
    <t>JSM10315</t>
  </si>
  <si>
    <t>43.95</t>
  </si>
  <si>
    <t>JSM10316</t>
  </si>
  <si>
    <t>C0395</t>
  </si>
  <si>
    <t>Client 0395</t>
  </si>
  <si>
    <t>2025-01-31</t>
  </si>
  <si>
    <t>43600.0</t>
  </si>
  <si>
    <t>JSM10317</t>
  </si>
  <si>
    <t>C0255</t>
  </si>
  <si>
    <t>Client 0255</t>
  </si>
  <si>
    <t>2026-04-12</t>
  </si>
  <si>
    <t>11100.0</t>
  </si>
  <si>
    <t>JSM10318</t>
  </si>
  <si>
    <t>2026-11-22</t>
  </si>
  <si>
    <t>20.36</t>
  </si>
  <si>
    <t>JSM10319</t>
  </si>
  <si>
    <t>C0187</t>
  </si>
  <si>
    <t>Client 0187</t>
  </si>
  <si>
    <t>2026-01-28</t>
  </si>
  <si>
    <t>15.2</t>
  </si>
  <si>
    <t>JSM10320</t>
  </si>
  <si>
    <t>C0369</t>
  </si>
  <si>
    <t>Client 0369</t>
  </si>
  <si>
    <t>2025-11-24</t>
  </si>
  <si>
    <t>26.19</t>
  </si>
  <si>
    <t>JSM10321</t>
  </si>
  <si>
    <t>C0115</t>
  </si>
  <si>
    <t>Client 0115</t>
  </si>
  <si>
    <t>2026-06-13</t>
  </si>
  <si>
    <t>33500.0</t>
  </si>
  <si>
    <t>30.97</t>
  </si>
  <si>
    <t>JSM10322</t>
  </si>
  <si>
    <t>C0284</t>
  </si>
  <si>
    <t>Client 0284</t>
  </si>
  <si>
    <t>2026-04-13</t>
  </si>
  <si>
    <t>35.69</t>
  </si>
  <si>
    <t>JSM10323</t>
  </si>
  <si>
    <t>C0396</t>
  </si>
  <si>
    <t>Client 0396</t>
  </si>
  <si>
    <t>2025-07-20</t>
  </si>
  <si>
    <t>NEW</t>
  </si>
  <si>
    <t>29.5</t>
  </si>
  <si>
    <t>JSM10324</t>
  </si>
  <si>
    <t>C0278</t>
  </si>
  <si>
    <t>Client 0278</t>
  </si>
  <si>
    <t>2025-12-21</t>
  </si>
  <si>
    <t>28400.0</t>
  </si>
  <si>
    <t>37.41</t>
  </si>
  <si>
    <t>JSM10325</t>
  </si>
  <si>
    <t>C0215</t>
  </si>
  <si>
    <t>Client 0215</t>
  </si>
  <si>
    <t>2026-05-19</t>
  </si>
  <si>
    <t>49500.0</t>
  </si>
  <si>
    <t>36500.0</t>
  </si>
  <si>
    <t>17.98</t>
  </si>
  <si>
    <t>JSM10326</t>
  </si>
  <si>
    <t>2026-01-17</t>
  </si>
  <si>
    <t>13.0</t>
  </si>
  <si>
    <t>JSM10327</t>
  </si>
  <si>
    <t>C0304</t>
  </si>
  <si>
    <t>Client 0304</t>
  </si>
  <si>
    <t>2026-08-05</t>
  </si>
  <si>
    <t>35500.0</t>
  </si>
  <si>
    <t>42.05</t>
  </si>
  <si>
    <t>JSM10328</t>
  </si>
  <si>
    <t>2025-12-01</t>
  </si>
  <si>
    <t>27600.0</t>
  </si>
  <si>
    <t>4.26</t>
  </si>
  <si>
    <t>JSM10329</t>
  </si>
  <si>
    <t>97500.0</t>
  </si>
  <si>
    <t>78000.0</t>
  </si>
  <si>
    <t>39.23</t>
  </si>
  <si>
    <t>JSM10330</t>
  </si>
  <si>
    <t>C0232</t>
  </si>
  <si>
    <t>Client 0232</t>
  </si>
  <si>
    <t>52.1</t>
  </si>
  <si>
    <t>JSM10331</t>
  </si>
  <si>
    <t>C0111</t>
  </si>
  <si>
    <t>Client 0111</t>
  </si>
  <si>
    <t>31000.0</t>
  </si>
  <si>
    <t>41.61</t>
  </si>
  <si>
    <t>JSM10332</t>
  </si>
  <si>
    <t>2025-06-28</t>
  </si>
  <si>
    <t>17.05</t>
  </si>
  <si>
    <t>JSM10333</t>
  </si>
  <si>
    <t>6.28</t>
  </si>
  <si>
    <t>JSM10334</t>
  </si>
  <si>
    <t>C0299</t>
  </si>
  <si>
    <t>Client 0299</t>
  </si>
  <si>
    <t>2026-08-24</t>
  </si>
  <si>
    <t>16.52</t>
  </si>
  <si>
    <t>JSM10335</t>
  </si>
  <si>
    <t>47.9</t>
  </si>
  <si>
    <t>JSM10336</t>
  </si>
  <si>
    <t>50.87</t>
  </si>
  <si>
    <t>JSM10337</t>
  </si>
  <si>
    <t>JSM10338</t>
  </si>
  <si>
    <t>2025-03-31</t>
  </si>
  <si>
    <t>JSM10339</t>
  </si>
  <si>
    <t>C0196</t>
  </si>
  <si>
    <t>Client 0196</t>
  </si>
  <si>
    <t>2026-01-03</t>
  </si>
  <si>
    <t>38800.0</t>
  </si>
  <si>
    <t>27.64</t>
  </si>
  <si>
    <t>JSM10340</t>
  </si>
  <si>
    <t>C0014</t>
  </si>
  <si>
    <t>Client 0014</t>
  </si>
  <si>
    <t>2025-11-23</t>
  </si>
  <si>
    <t>28.46</t>
  </si>
  <si>
    <t>JSM10341</t>
  </si>
  <si>
    <t>C0082</t>
  </si>
  <si>
    <t>Client 0082</t>
  </si>
  <si>
    <t>26.42</t>
  </si>
  <si>
    <t>JSM10342</t>
  </si>
  <si>
    <t>2025-06-30</t>
  </si>
  <si>
    <t>58800.0</t>
  </si>
  <si>
    <t>42400.0</t>
  </si>
  <si>
    <t>27.89</t>
  </si>
  <si>
    <t>JSM10343</t>
  </si>
  <si>
    <t>C0289</t>
  </si>
  <si>
    <t>Client 0289</t>
  </si>
  <si>
    <t>2025-07-12</t>
  </si>
  <si>
    <t>48300.0</t>
  </si>
  <si>
    <t>43500.0</t>
  </si>
  <si>
    <t>28.51</t>
  </si>
  <si>
    <t>JSM10344</t>
  </si>
  <si>
    <t>C0309</t>
  </si>
  <si>
    <t>Client 0309</t>
  </si>
  <si>
    <t>2025-08-13</t>
  </si>
  <si>
    <t>₹53,500</t>
  </si>
  <si>
    <t>36.45</t>
  </si>
  <si>
    <t>JSM10345</t>
  </si>
  <si>
    <t>C0411</t>
  </si>
  <si>
    <t>Client 0411</t>
  </si>
  <si>
    <t>JSM10346</t>
  </si>
  <si>
    <t>2025-04-14</t>
  </si>
  <si>
    <t>22.98</t>
  </si>
  <si>
    <t>JSM10347</t>
  </si>
  <si>
    <t>C0090</t>
  </si>
  <si>
    <t>Client 0090</t>
  </si>
  <si>
    <t>41.75</t>
  </si>
  <si>
    <t>JSM10348</t>
  </si>
  <si>
    <t>2025-07-01</t>
  </si>
  <si>
    <t>70900.0</t>
  </si>
  <si>
    <t>46000.0</t>
  </si>
  <si>
    <t>23.71</t>
  </si>
  <si>
    <t>JSM10349</t>
  </si>
  <si>
    <t>84100.0</t>
  </si>
  <si>
    <t>12600.0</t>
  </si>
  <si>
    <t>39200.0</t>
  </si>
  <si>
    <t>45.17</t>
  </si>
  <si>
    <t>JSM10350</t>
  </si>
  <si>
    <t>C0178</t>
  </si>
  <si>
    <t>Client 0178</t>
  </si>
  <si>
    <t>42.47</t>
  </si>
  <si>
    <t>JSM10351</t>
  </si>
  <si>
    <t>C0128</t>
  </si>
  <si>
    <t>Client 0128</t>
  </si>
  <si>
    <t>2026-12-11</t>
  </si>
  <si>
    <t>66700.0</t>
  </si>
  <si>
    <t>60000.0</t>
  </si>
  <si>
    <t>42.83</t>
  </si>
  <si>
    <t>JSM10352</t>
  </si>
  <si>
    <t>C0086</t>
  </si>
  <si>
    <t>Client 0086</t>
  </si>
  <si>
    <t>19000.0</t>
  </si>
  <si>
    <t>33.93</t>
  </si>
  <si>
    <t>JSM10353</t>
  </si>
  <si>
    <t>47.77</t>
  </si>
  <si>
    <t>JSM10354</t>
  </si>
  <si>
    <t>2025-12-17</t>
  </si>
  <si>
    <t>40100.0</t>
  </si>
  <si>
    <t>29.33</t>
  </si>
  <si>
    <t>JSM10355</t>
  </si>
  <si>
    <t>C0361</t>
  </si>
  <si>
    <t>Client 0361</t>
  </si>
  <si>
    <t>2025-02-01</t>
  </si>
  <si>
    <t>46.88</t>
  </si>
  <si>
    <t>JSM10356</t>
  </si>
  <si>
    <t>C0106</t>
  </si>
  <si>
    <t>Client 0106</t>
  </si>
  <si>
    <t>52900.0</t>
  </si>
  <si>
    <t>34.19</t>
  </si>
  <si>
    <t>JSM10357</t>
  </si>
  <si>
    <t>2026-08-09</t>
  </si>
  <si>
    <t>32200.0</t>
  </si>
  <si>
    <t>46.58</t>
  </si>
  <si>
    <t>JSM10358</t>
  </si>
  <si>
    <t>C0151</t>
  </si>
  <si>
    <t>Client 0151</t>
  </si>
  <si>
    <t>2026-11-09</t>
  </si>
  <si>
    <t>26.14</t>
  </si>
  <si>
    <t>JSM10359</t>
  </si>
  <si>
    <t>23200.0</t>
  </si>
  <si>
    <t>9.02</t>
  </si>
  <si>
    <t>JSM10360</t>
  </si>
  <si>
    <t>2026-01-15</t>
  </si>
  <si>
    <t>JSM10361</t>
  </si>
  <si>
    <t>C0116</t>
  </si>
  <si>
    <t>Client 0116</t>
  </si>
  <si>
    <t>2025-10-03</t>
  </si>
  <si>
    <t>36.31</t>
  </si>
  <si>
    <t>JSM10362</t>
  </si>
  <si>
    <t>C0388</t>
  </si>
  <si>
    <t>Client 0388</t>
  </si>
  <si>
    <t>18700.0</t>
  </si>
  <si>
    <t>54.72</t>
  </si>
  <si>
    <t>JSM10363</t>
  </si>
  <si>
    <t>83800.0</t>
  </si>
  <si>
    <t>40.58</t>
  </si>
  <si>
    <t>JSM10364</t>
  </si>
  <si>
    <t>48400.0</t>
  </si>
  <si>
    <t>15.7</t>
  </si>
  <si>
    <t>JSM10365</t>
  </si>
  <si>
    <t>46.95</t>
  </si>
  <si>
    <t>JSM10366</t>
  </si>
  <si>
    <t>C0403</t>
  </si>
  <si>
    <t>Client 0403</t>
  </si>
  <si>
    <t>2026-12-19</t>
  </si>
  <si>
    <t>68800.0</t>
  </si>
  <si>
    <t>25.73</t>
  </si>
  <si>
    <t>JSM10367</t>
  </si>
  <si>
    <t>C0055</t>
  </si>
  <si>
    <t>Client 0055</t>
  </si>
  <si>
    <t>2026-07-31</t>
  </si>
  <si>
    <t>56100.0</t>
  </si>
  <si>
    <t>39100.0</t>
  </si>
  <si>
    <t>30.3</t>
  </si>
  <si>
    <t>JSM10368</t>
  </si>
  <si>
    <t>2025-06-26</t>
  </si>
  <si>
    <t>46.3</t>
  </si>
  <si>
    <t>JSM10369</t>
  </si>
  <si>
    <t>C0026</t>
  </si>
  <si>
    <t>Client 0026</t>
  </si>
  <si>
    <t>2026-05-02</t>
  </si>
  <si>
    <t>51.66</t>
  </si>
  <si>
    <t>JSM10370</t>
  </si>
  <si>
    <t>C0357</t>
  </si>
  <si>
    <t>Client 0357</t>
  </si>
  <si>
    <t>78300.0</t>
  </si>
  <si>
    <t>36.74</t>
  </si>
  <si>
    <t>JSM10371</t>
  </si>
  <si>
    <t>2026-03-03</t>
  </si>
  <si>
    <t>52.06</t>
  </si>
  <si>
    <t>JSM10372</t>
  </si>
  <si>
    <t>2025-06-12</t>
  </si>
  <si>
    <t>86900.0</t>
  </si>
  <si>
    <t>69500.0</t>
  </si>
  <si>
    <t>18.42</t>
  </si>
  <si>
    <t>JSM10373</t>
  </si>
  <si>
    <t>C0030</t>
  </si>
  <si>
    <t>Client 0030</t>
  </si>
  <si>
    <t>2025-09-13</t>
  </si>
  <si>
    <t>35.34</t>
  </si>
  <si>
    <t>JSM10374</t>
  </si>
  <si>
    <t>2025-05-07</t>
  </si>
  <si>
    <t>11.0</t>
  </si>
  <si>
    <t>38.57</t>
  </si>
  <si>
    <t>JSM10375</t>
  </si>
  <si>
    <t>2025-06-17</t>
  </si>
  <si>
    <t>26.51</t>
  </si>
  <si>
    <t>JSM10376</t>
  </si>
  <si>
    <t>JSM10377</t>
  </si>
  <si>
    <t>74000.0</t>
  </si>
  <si>
    <t>26900.0</t>
  </si>
  <si>
    <t>36.35</t>
  </si>
  <si>
    <t>JSM10378</t>
  </si>
  <si>
    <t xml:space="preserve"> hyderabad </t>
  </si>
  <si>
    <t>23.44</t>
  </si>
  <si>
    <t>JSM10379</t>
  </si>
  <si>
    <t>C0300</t>
  </si>
  <si>
    <t>Client 0300</t>
  </si>
  <si>
    <t>160100.0</t>
  </si>
  <si>
    <t>93000.0</t>
  </si>
  <si>
    <t>41.91</t>
  </si>
  <si>
    <t>JSM10380</t>
  </si>
  <si>
    <t>JSM10381</t>
  </si>
  <si>
    <t>48900.0</t>
  </si>
  <si>
    <t>50.1</t>
  </si>
  <si>
    <t>JSM10382</t>
  </si>
  <si>
    <t>17.99</t>
  </si>
  <si>
    <t>JSM10383</t>
  </si>
  <si>
    <t>49.21</t>
  </si>
  <si>
    <t>JSM10384</t>
  </si>
  <si>
    <t>JSM10385</t>
  </si>
  <si>
    <t>2025-11-11</t>
  </si>
  <si>
    <t>86.0</t>
  </si>
  <si>
    <t>38200.0</t>
  </si>
  <si>
    <t>4.25</t>
  </si>
  <si>
    <t>JSM10386</t>
  </si>
  <si>
    <t>89700.0</t>
  </si>
  <si>
    <t>54800.0</t>
  </si>
  <si>
    <t>38.91</t>
  </si>
  <si>
    <t>JSM10387</t>
  </si>
  <si>
    <t>42.86</t>
  </si>
  <si>
    <t>JSM10388</t>
  </si>
  <si>
    <t>C0292</t>
  </si>
  <si>
    <t>Client 0292</t>
  </si>
  <si>
    <t>2026-04-14</t>
  </si>
  <si>
    <t>130100.0</t>
  </si>
  <si>
    <t>104100.0</t>
  </si>
  <si>
    <t>92300.0</t>
  </si>
  <si>
    <t>11.34</t>
  </si>
  <si>
    <t>JSM10389</t>
  </si>
  <si>
    <t>2026-10-12</t>
  </si>
  <si>
    <t>25.25</t>
  </si>
  <si>
    <t>JSM10390</t>
  </si>
  <si>
    <t>01/04/2025</t>
  </si>
  <si>
    <t>15.84</t>
  </si>
  <si>
    <t>JSM10391</t>
  </si>
  <si>
    <t>48000.0</t>
  </si>
  <si>
    <t>JSM10392</t>
  </si>
  <si>
    <t>C0347</t>
  </si>
  <si>
    <t>Client 0347</t>
  </si>
  <si>
    <t>2025-01-05</t>
  </si>
  <si>
    <t>999.0</t>
  </si>
  <si>
    <t>141500.0</t>
  </si>
  <si>
    <t>92100.0</t>
  </si>
  <si>
    <t>34.91</t>
  </si>
  <si>
    <t>JSM10393</t>
  </si>
  <si>
    <t>53400.0</t>
  </si>
  <si>
    <t>40400.0</t>
  </si>
  <si>
    <t>16.01</t>
  </si>
  <si>
    <t>JSM10394</t>
  </si>
  <si>
    <t>C0251</t>
  </si>
  <si>
    <t>Client 0251</t>
  </si>
  <si>
    <t>29100.0</t>
  </si>
  <si>
    <t>7.3</t>
  </si>
  <si>
    <t>JSM10395</t>
  </si>
  <si>
    <t>C0376</t>
  </si>
  <si>
    <t>Client 0376</t>
  </si>
  <si>
    <t>2025-01-23</t>
  </si>
  <si>
    <t>20.05</t>
  </si>
  <si>
    <t>JSM10396</t>
  </si>
  <si>
    <t>2025-02-19</t>
  </si>
  <si>
    <t>21500.0</t>
  </si>
  <si>
    <t>700.0</t>
  </si>
  <si>
    <t>3.15</t>
  </si>
  <si>
    <t>JSM10397</t>
  </si>
  <si>
    <t>C0064</t>
  </si>
  <si>
    <t>Client 0064</t>
  </si>
  <si>
    <t>2026-07-15</t>
  </si>
  <si>
    <t>90100.0</t>
  </si>
  <si>
    <t>32.52</t>
  </si>
  <si>
    <t>JSM10398</t>
  </si>
  <si>
    <t>2026-06-17</t>
  </si>
  <si>
    <t>50500.0</t>
  </si>
  <si>
    <t>42900.0</t>
  </si>
  <si>
    <t>26.11</t>
  </si>
  <si>
    <t>JSM10399</t>
  </si>
  <si>
    <t>C0145</t>
  </si>
  <si>
    <t>Client 0145</t>
  </si>
  <si>
    <t>2025-04-27</t>
  </si>
  <si>
    <t>104400.0</t>
  </si>
  <si>
    <t>51.63</t>
  </si>
  <si>
    <t>JSM10400</t>
  </si>
  <si>
    <t>C0083</t>
  </si>
  <si>
    <t>Client 0083</t>
  </si>
  <si>
    <t>2025-02-10</t>
  </si>
  <si>
    <t>58.16</t>
  </si>
  <si>
    <t>JSM10401</t>
  </si>
  <si>
    <t>2025-04-02</t>
  </si>
  <si>
    <t>22.21</t>
  </si>
  <si>
    <t>JSM10402</t>
  </si>
  <si>
    <t>C0132</t>
  </si>
  <si>
    <t>Client 0132</t>
  </si>
  <si>
    <t>2026-10-22</t>
  </si>
  <si>
    <t>35.4</t>
  </si>
  <si>
    <t>JSM10403</t>
  </si>
  <si>
    <t>2025-10-25</t>
  </si>
  <si>
    <t>49300.0</t>
  </si>
  <si>
    <t>40.57</t>
  </si>
  <si>
    <t>JSM10404</t>
  </si>
  <si>
    <t>C0071</t>
  </si>
  <si>
    <t>Client 0071</t>
  </si>
  <si>
    <t>2026-11-11</t>
  </si>
  <si>
    <t>66600.0</t>
  </si>
  <si>
    <t>24.17</t>
  </si>
  <si>
    <t>JSM10405</t>
  </si>
  <si>
    <t>45.43</t>
  </si>
  <si>
    <t>JSM10406</t>
  </si>
  <si>
    <t>C0068</t>
  </si>
  <si>
    <t>Client 0068</t>
  </si>
  <si>
    <t>2026-12-14</t>
  </si>
  <si>
    <t>20.82</t>
  </si>
  <si>
    <t>JSM10407</t>
  </si>
  <si>
    <t>2026-09-18</t>
  </si>
  <si>
    <t>15700.0</t>
  </si>
  <si>
    <t>37.92</t>
  </si>
  <si>
    <t>JSM10408</t>
  </si>
  <si>
    <t>C0211</t>
  </si>
  <si>
    <t>Client 0211</t>
  </si>
  <si>
    <t>2026-03-28</t>
  </si>
  <si>
    <t>37900.0</t>
  </si>
  <si>
    <t>28.74</t>
  </si>
  <si>
    <t>JSM10409</t>
  </si>
  <si>
    <t>C0222</t>
  </si>
  <si>
    <t>Client 0222</t>
  </si>
  <si>
    <t>24.21</t>
  </si>
  <si>
    <t>JSM10410</t>
  </si>
  <si>
    <t>C0254</t>
  </si>
  <si>
    <t>Client 0254</t>
  </si>
  <si>
    <t>2025-06-19</t>
  </si>
  <si>
    <t>31.86</t>
  </si>
  <si>
    <t>JSM10411</t>
  </si>
  <si>
    <t>130700.0</t>
  </si>
  <si>
    <t>111100.0</t>
  </si>
  <si>
    <t>23.31</t>
  </si>
  <si>
    <t>JSM10412</t>
  </si>
  <si>
    <t>C0046</t>
  </si>
  <si>
    <t>Client 0046</t>
  </si>
  <si>
    <t>2026-05-26</t>
  </si>
  <si>
    <t>45400.0</t>
  </si>
  <si>
    <t>23900.0</t>
  </si>
  <si>
    <t>14700.0</t>
  </si>
  <si>
    <t>38.08</t>
  </si>
  <si>
    <t>JSM10413</t>
  </si>
  <si>
    <t>2026-07-17</t>
  </si>
  <si>
    <t>JSM10414</t>
  </si>
  <si>
    <t>C0419</t>
  </si>
  <si>
    <t>Client 0419</t>
  </si>
  <si>
    <t>2025-08-17</t>
  </si>
  <si>
    <t>57900.0</t>
  </si>
  <si>
    <t>44800.0</t>
  </si>
  <si>
    <t>22.63</t>
  </si>
  <si>
    <t>JSM10415</t>
  </si>
  <si>
    <t>2025-12-16</t>
  </si>
  <si>
    <t>59900.0</t>
  </si>
  <si>
    <t>12500.0</t>
  </si>
  <si>
    <t>23.19</t>
  </si>
  <si>
    <t>JSM10416</t>
  </si>
  <si>
    <t>42.81</t>
  </si>
  <si>
    <t>JSM10417</t>
  </si>
  <si>
    <t>C0401</t>
  </si>
  <si>
    <t>Client 0401</t>
  </si>
  <si>
    <t>26500.0</t>
  </si>
  <si>
    <t>30.19</t>
  </si>
  <si>
    <t>JSM10418</t>
  </si>
  <si>
    <t>C0256</t>
  </si>
  <si>
    <t>Client 0256</t>
  </si>
  <si>
    <t>61400.0</t>
  </si>
  <si>
    <t>58300.0</t>
  </si>
  <si>
    <t>18.7</t>
  </si>
  <si>
    <t>JSM10419</t>
  </si>
  <si>
    <t>2025-05-12</t>
  </si>
  <si>
    <t>13.92</t>
  </si>
  <si>
    <t>JSM10420</t>
  </si>
  <si>
    <t>31.7</t>
  </si>
  <si>
    <t>JSM10421</t>
  </si>
  <si>
    <t>C0360</t>
  </si>
  <si>
    <t>Client 0360</t>
  </si>
  <si>
    <t>50400.0</t>
  </si>
  <si>
    <t>10.57</t>
  </si>
  <si>
    <t>JSM10422</t>
  </si>
  <si>
    <t>70100.0</t>
  </si>
  <si>
    <t>20.12</t>
  </si>
  <si>
    <t>JSM10423</t>
  </si>
  <si>
    <t>2026-05-07</t>
  </si>
  <si>
    <t>25.15</t>
  </si>
  <si>
    <t>JSM10424</t>
  </si>
  <si>
    <t>2025-05-29</t>
  </si>
  <si>
    <t>30.56</t>
  </si>
  <si>
    <t>JSM10425</t>
  </si>
  <si>
    <t>2026-12-09</t>
  </si>
  <si>
    <t>15.5</t>
  </si>
  <si>
    <t>JSM10426</t>
  </si>
  <si>
    <t>C0381</t>
  </si>
  <si>
    <t>Client 0381</t>
  </si>
  <si>
    <t>400.0</t>
  </si>
  <si>
    <t>1.06</t>
  </si>
  <si>
    <t>JSM10427</t>
  </si>
  <si>
    <t>C0283</t>
  </si>
  <si>
    <t>Client 0283</t>
  </si>
  <si>
    <t>2025-02-25</t>
  </si>
  <si>
    <t>103100.0</t>
  </si>
  <si>
    <t>82500.0</t>
  </si>
  <si>
    <t>45100.0</t>
  </si>
  <si>
    <t>45.33</t>
  </si>
  <si>
    <t>JSM10428</t>
  </si>
  <si>
    <t>2025-07-18</t>
  </si>
  <si>
    <t>18.21</t>
  </si>
  <si>
    <t>JSM10429</t>
  </si>
  <si>
    <t>2025-02-11</t>
  </si>
  <si>
    <t>47.56</t>
  </si>
  <si>
    <t>JSM10430</t>
  </si>
  <si>
    <t>2026-04-23</t>
  </si>
  <si>
    <t>59500.0</t>
  </si>
  <si>
    <t>43.87</t>
  </si>
  <si>
    <t>JSM10431</t>
  </si>
  <si>
    <t>14.96</t>
  </si>
  <si>
    <t>JSM10432</t>
  </si>
  <si>
    <t>18.57</t>
  </si>
  <si>
    <t>JSM10433</t>
  </si>
  <si>
    <t>2026-09-26</t>
  </si>
  <si>
    <t>104700.0</t>
  </si>
  <si>
    <t>60200.0</t>
  </si>
  <si>
    <t>57.5</t>
  </si>
  <si>
    <t>JSM10434</t>
  </si>
  <si>
    <t>2026-11-30</t>
  </si>
  <si>
    <t>34.16</t>
  </si>
  <si>
    <t>JSM10435</t>
  </si>
  <si>
    <t>2026-01-19</t>
  </si>
  <si>
    <t>8.28</t>
  </si>
  <si>
    <t>JSM10436</t>
  </si>
  <si>
    <t>2025-03-26</t>
  </si>
  <si>
    <t>23.88</t>
  </si>
  <si>
    <t>JSM10437</t>
  </si>
  <si>
    <t>C0054</t>
  </si>
  <si>
    <t>Client 0054</t>
  </si>
  <si>
    <t>2025-07-30</t>
  </si>
  <si>
    <t>21.4</t>
  </si>
  <si>
    <t>JSM10438</t>
  </si>
  <si>
    <t>JSM10439</t>
  </si>
  <si>
    <t>C0133</t>
  </si>
  <si>
    <t>Client 0133</t>
  </si>
  <si>
    <t>-200.0</t>
  </si>
  <si>
    <t>-0.37</t>
  </si>
  <si>
    <t>JSM10440</t>
  </si>
  <si>
    <t>23.86</t>
  </si>
  <si>
    <t>JSM10441</t>
  </si>
  <si>
    <t>10.95</t>
  </si>
  <si>
    <t>JSM10442</t>
  </si>
  <si>
    <t>2026-07-01</t>
  </si>
  <si>
    <t>65.0</t>
  </si>
  <si>
    <t>34.5</t>
  </si>
  <si>
    <t>JSM10443</t>
  </si>
  <si>
    <t>2026-07-23</t>
  </si>
  <si>
    <t>46500.0</t>
  </si>
  <si>
    <t>44200.0</t>
  </si>
  <si>
    <t>28.96</t>
  </si>
  <si>
    <t>JSM10444</t>
  </si>
  <si>
    <t>C0109</t>
  </si>
  <si>
    <t>Client 0109</t>
  </si>
  <si>
    <t>2026-02-27</t>
  </si>
  <si>
    <t>89000.0</t>
  </si>
  <si>
    <t>11.24</t>
  </si>
  <si>
    <t>JSM10445</t>
  </si>
  <si>
    <t>2026-08-04</t>
  </si>
  <si>
    <t>24.97</t>
  </si>
  <si>
    <t>JSM10446</t>
  </si>
  <si>
    <t>2025-07-22</t>
  </si>
  <si>
    <t>41.26</t>
  </si>
  <si>
    <t>JSM10447</t>
  </si>
  <si>
    <t>C0100</t>
  </si>
  <si>
    <t>Client 0100</t>
  </si>
  <si>
    <t>2025-11-22</t>
  </si>
  <si>
    <t>47700.0</t>
  </si>
  <si>
    <t>43.61</t>
  </si>
  <si>
    <t>JSM10448</t>
  </si>
  <si>
    <t>2025-11-17</t>
  </si>
  <si>
    <t>53.3</t>
  </si>
  <si>
    <t>JSM10449</t>
  </si>
  <si>
    <t>2026-04-02</t>
  </si>
  <si>
    <t>15.92</t>
  </si>
  <si>
    <t>JSM10450</t>
  </si>
  <si>
    <t>C0144</t>
  </si>
  <si>
    <t>Client 0144</t>
  </si>
  <si>
    <t>47.22</t>
  </si>
  <si>
    <t>JSM10451</t>
  </si>
  <si>
    <t>900.0</t>
  </si>
  <si>
    <t>JSM10452</t>
  </si>
  <si>
    <t>C0201</t>
  </si>
  <si>
    <t>Client 0201</t>
  </si>
  <si>
    <t>67900.0</t>
  </si>
  <si>
    <t>38.73</t>
  </si>
  <si>
    <t>JSM10453</t>
  </si>
  <si>
    <t>2026-09-21</t>
  </si>
  <si>
    <t>9.76</t>
  </si>
  <si>
    <t>JSM10454</t>
  </si>
  <si>
    <t>2026-05-11</t>
  </si>
  <si>
    <t>43200.0</t>
  </si>
  <si>
    <t>49.02</t>
  </si>
  <si>
    <t>JSM10455</t>
  </si>
  <si>
    <t>C0022</t>
  </si>
  <si>
    <t>Client 0022</t>
  </si>
  <si>
    <t>2026-11-16</t>
  </si>
  <si>
    <t>56.78</t>
  </si>
  <si>
    <t>JSM10456</t>
  </si>
  <si>
    <t>79400.0</t>
  </si>
  <si>
    <t>35.52</t>
  </si>
  <si>
    <t>JSM10457</t>
  </si>
  <si>
    <t>36.3</t>
  </si>
  <si>
    <t>JSM10458</t>
  </si>
  <si>
    <t>C0406</t>
  </si>
  <si>
    <t>Client 0406</t>
  </si>
  <si>
    <t>2026-05-09</t>
  </si>
  <si>
    <t>25.33</t>
  </si>
  <si>
    <t>JSM10459</t>
  </si>
  <si>
    <t>2025-06-03</t>
  </si>
  <si>
    <t>32.04</t>
  </si>
  <si>
    <t>JSM10460</t>
  </si>
  <si>
    <t>C0247</t>
  </si>
  <si>
    <t>Client 0247</t>
  </si>
  <si>
    <t>2026-11-23</t>
  </si>
  <si>
    <t>63400.0</t>
  </si>
  <si>
    <t>JSM10461</t>
  </si>
  <si>
    <t>64400.0</t>
  </si>
  <si>
    <t>JSM10462</t>
  </si>
  <si>
    <t>2026-02-20</t>
  </si>
  <si>
    <t>45.13</t>
  </si>
  <si>
    <t>JSM10463</t>
  </si>
  <si>
    <t>2025-06-24</t>
  </si>
  <si>
    <t>21100.0</t>
  </si>
  <si>
    <t>33.18</t>
  </si>
  <si>
    <t>JSM10464</t>
  </si>
  <si>
    <t>54.55</t>
  </si>
  <si>
    <t>JSM10465</t>
  </si>
  <si>
    <t>2025-01-17</t>
  </si>
  <si>
    <t>JSM10466</t>
  </si>
  <si>
    <t>2026-06-29</t>
  </si>
  <si>
    <t>13.53</t>
  </si>
  <si>
    <t>JSM10467</t>
  </si>
  <si>
    <t>2026-11-26</t>
  </si>
  <si>
    <t>40.84</t>
  </si>
  <si>
    <t>JSM10468</t>
  </si>
  <si>
    <t>C0180</t>
  </si>
  <si>
    <t>Client 0180</t>
  </si>
  <si>
    <t>18.86</t>
  </si>
  <si>
    <t>JSM10469</t>
  </si>
  <si>
    <t>113100.0</t>
  </si>
  <si>
    <t>101800.0</t>
  </si>
  <si>
    <t>63200.0</t>
  </si>
  <si>
    <t>JSM10470</t>
  </si>
  <si>
    <t>82.0</t>
  </si>
  <si>
    <t>20.04</t>
  </si>
  <si>
    <t>JSM10471</t>
  </si>
  <si>
    <t>22000.0</t>
  </si>
  <si>
    <t>43.73</t>
  </si>
  <si>
    <t>JSM10472</t>
  </si>
  <si>
    <t>C0130</t>
  </si>
  <si>
    <t>Client 0130</t>
  </si>
  <si>
    <t>24.68</t>
  </si>
  <si>
    <t>JSM10473</t>
  </si>
  <si>
    <t>77500.0</t>
  </si>
  <si>
    <t>JSM10474</t>
  </si>
  <si>
    <t>2026-02-03</t>
  </si>
  <si>
    <t>JSM10475</t>
  </si>
  <si>
    <t>C0114</t>
  </si>
  <si>
    <t>Client 0114</t>
  </si>
  <si>
    <t>58900.0</t>
  </si>
  <si>
    <t>40.07</t>
  </si>
  <si>
    <t>JSM10476</t>
  </si>
  <si>
    <t>C0365</t>
  </si>
  <si>
    <t>Client 0365</t>
  </si>
  <si>
    <t>2026-09-04</t>
  </si>
  <si>
    <t>JSM10477</t>
  </si>
  <si>
    <t>28.05</t>
  </si>
  <si>
    <t>JSM10478</t>
  </si>
  <si>
    <t>2025-03-30</t>
  </si>
  <si>
    <t>116100.0</t>
  </si>
  <si>
    <t>78400.0</t>
  </si>
  <si>
    <t>16000.0</t>
  </si>
  <si>
    <t>JSM10479</t>
  </si>
  <si>
    <t>C0378</t>
  </si>
  <si>
    <t>Client 0378</t>
  </si>
  <si>
    <t>2026-12-22</t>
  </si>
  <si>
    <t>16.82</t>
  </si>
  <si>
    <t>JSM10480</t>
  </si>
  <si>
    <t>2026-02-18</t>
  </si>
  <si>
    <t>47.81</t>
  </si>
  <si>
    <t>JSM10481</t>
  </si>
  <si>
    <t>C0060</t>
  </si>
  <si>
    <t>Client 0060</t>
  </si>
  <si>
    <t>2026-06-10</t>
  </si>
  <si>
    <t>17.75</t>
  </si>
  <si>
    <t>JSM10482</t>
  </si>
  <si>
    <t>33.17</t>
  </si>
  <si>
    <t>JSM10483</t>
  </si>
  <si>
    <t>C0325</t>
  </si>
  <si>
    <t>Client 0325</t>
  </si>
  <si>
    <t>99500.0</t>
  </si>
  <si>
    <t>94500.0</t>
  </si>
  <si>
    <t>47.09</t>
  </si>
  <si>
    <t>JSM10484</t>
  </si>
  <si>
    <t>2025-04-06</t>
  </si>
  <si>
    <t>13.48</t>
  </si>
  <si>
    <t>JSM10485</t>
  </si>
  <si>
    <t>2026-08-11</t>
  </si>
  <si>
    <t>72500.0</t>
  </si>
  <si>
    <t>65300.0</t>
  </si>
  <si>
    <t>16.39</t>
  </si>
  <si>
    <t>JSM10486</t>
  </si>
  <si>
    <t>2025-08-23</t>
  </si>
  <si>
    <t>26.58</t>
  </si>
  <si>
    <t>2.3</t>
  </si>
  <si>
    <t>JSM10487</t>
  </si>
  <si>
    <t>15400.0</t>
  </si>
  <si>
    <t>44.72</t>
  </si>
  <si>
    <t>JSM10488</t>
  </si>
  <si>
    <t>C0295</t>
  </si>
  <si>
    <t>Client 0295</t>
  </si>
  <si>
    <t>66500.0</t>
  </si>
  <si>
    <t>45.31</t>
  </si>
  <si>
    <t>JSM10489</t>
  </si>
  <si>
    <t>C0028</t>
  </si>
  <si>
    <t>Client 0028</t>
  </si>
  <si>
    <t>2026-06-23</t>
  </si>
  <si>
    <t>8.96</t>
  </si>
  <si>
    <t>JSM10490</t>
  </si>
  <si>
    <t>124000.0</t>
  </si>
  <si>
    <t>105400.0</t>
  </si>
  <si>
    <t>38.61</t>
  </si>
  <si>
    <t>JSM10491</t>
  </si>
  <si>
    <t>C0298</t>
  </si>
  <si>
    <t>Client 0298</t>
  </si>
  <si>
    <t>18400.0</t>
  </si>
  <si>
    <t>36.15</t>
  </si>
  <si>
    <t>JSM10492</t>
  </si>
  <si>
    <t>C0314</t>
  </si>
  <si>
    <t>Client 0314</t>
  </si>
  <si>
    <t>25100.0</t>
  </si>
  <si>
    <t>32.35</t>
  </si>
  <si>
    <t>JSM10493</t>
  </si>
  <si>
    <t>2025-10-14</t>
  </si>
  <si>
    <t>13.95</t>
  </si>
  <si>
    <t>JSM10494</t>
  </si>
  <si>
    <t>2026-03-19</t>
  </si>
  <si>
    <t>18.93</t>
  </si>
  <si>
    <t>JSM10495</t>
  </si>
  <si>
    <t>30.47</t>
  </si>
  <si>
    <t>JSM10496</t>
  </si>
  <si>
    <t>37.72</t>
  </si>
  <si>
    <t>JSM10497</t>
  </si>
  <si>
    <t>C0185</t>
  </si>
  <si>
    <t>Client 0185</t>
  </si>
  <si>
    <t>31.97</t>
  </si>
  <si>
    <t>JSM10498</t>
  </si>
  <si>
    <t>2026-09-13</t>
  </si>
  <si>
    <t>41.49</t>
  </si>
  <si>
    <t>JSM10499</t>
  </si>
  <si>
    <t>2026-04-03</t>
  </si>
  <si>
    <t>JSM10500</t>
  </si>
  <si>
    <t>C0324</t>
  </si>
  <si>
    <t>Client 0324</t>
  </si>
  <si>
    <t>20/09/2026</t>
  </si>
  <si>
    <t>20.33</t>
  </si>
  <si>
    <t>JSM10501</t>
  </si>
  <si>
    <t>C0163</t>
  </si>
  <si>
    <t>Client 0163</t>
  </si>
  <si>
    <t>2026-10-31</t>
  </si>
  <si>
    <t>18.76</t>
  </si>
  <si>
    <t>JSM10502</t>
  </si>
  <si>
    <t>C0212</t>
  </si>
  <si>
    <t>Client 0212</t>
  </si>
  <si>
    <t>2025-06-21</t>
  </si>
  <si>
    <t>41.28</t>
  </si>
  <si>
    <t>JSM10503</t>
  </si>
  <si>
    <t>71300.0</t>
  </si>
  <si>
    <t>31.35</t>
  </si>
  <si>
    <t>JSM10504</t>
  </si>
  <si>
    <t>2025-09-26</t>
  </si>
  <si>
    <t>87900.0</t>
  </si>
  <si>
    <t>65800.0</t>
  </si>
  <si>
    <t>25.14</t>
  </si>
  <si>
    <t>JSM10505</t>
  </si>
  <si>
    <t>36.58</t>
  </si>
  <si>
    <t>JSM10506</t>
  </si>
  <si>
    <t>C0244</t>
  </si>
  <si>
    <t>Client 0244</t>
  </si>
  <si>
    <t>2026-04-24</t>
  </si>
  <si>
    <t>32.18</t>
  </si>
  <si>
    <t>JSM10507</t>
  </si>
  <si>
    <t>2026-10-14</t>
  </si>
  <si>
    <t>74400.0</t>
  </si>
  <si>
    <t>29.25</t>
  </si>
  <si>
    <t>JSM10508</t>
  </si>
  <si>
    <t>68400.0</t>
  </si>
  <si>
    <t>61600.0</t>
  </si>
  <si>
    <t>55800.0</t>
  </si>
  <si>
    <t>9.42</t>
  </si>
  <si>
    <t>JSM10509</t>
  </si>
  <si>
    <t>C0268</t>
  </si>
  <si>
    <t>Client 0268</t>
  </si>
  <si>
    <t>2025-05-20</t>
  </si>
  <si>
    <t>36.47</t>
  </si>
  <si>
    <t>JSM10510</t>
  </si>
  <si>
    <t>C0409</t>
  </si>
  <si>
    <t>Client 0409</t>
  </si>
  <si>
    <t>27/10/2025</t>
  </si>
  <si>
    <t>53.97</t>
  </si>
  <si>
    <t>JSM10511</t>
  </si>
  <si>
    <t>24.23</t>
  </si>
  <si>
    <t>JSM10512</t>
  </si>
  <si>
    <t>27.36</t>
  </si>
  <si>
    <t>JSM10513</t>
  </si>
  <si>
    <t>JSM10514</t>
  </si>
  <si>
    <t>C0097</t>
  </si>
  <si>
    <t>Client 0097</t>
  </si>
  <si>
    <t>14800.0</t>
  </si>
  <si>
    <t>44.78</t>
  </si>
  <si>
    <t>JSM10515</t>
  </si>
  <si>
    <t>C0065</t>
  </si>
  <si>
    <t>Client 0065</t>
  </si>
  <si>
    <t>22.09</t>
  </si>
  <si>
    <t>JSM10516</t>
  </si>
  <si>
    <t>28.17</t>
  </si>
  <si>
    <t>JSM10517</t>
  </si>
  <si>
    <t>41.96</t>
  </si>
  <si>
    <t>JSM10518</t>
  </si>
  <si>
    <t>55.02</t>
  </si>
  <si>
    <t>JSM10519</t>
  </si>
  <si>
    <t>C0267</t>
  </si>
  <si>
    <t>Client 0267</t>
  </si>
  <si>
    <t>2026-11-13</t>
  </si>
  <si>
    <t>19.33</t>
  </si>
  <si>
    <t>JSM10520</t>
  </si>
  <si>
    <t>2026-05-08</t>
  </si>
  <si>
    <t>48800.0</t>
  </si>
  <si>
    <t>35.42</t>
  </si>
  <si>
    <t>JSM10521</t>
  </si>
  <si>
    <t>14.9</t>
  </si>
  <si>
    <t>JSM10522</t>
  </si>
  <si>
    <t>53800.0</t>
  </si>
  <si>
    <t>JSM10523</t>
  </si>
  <si>
    <t>C0389</t>
  </si>
  <si>
    <t>Client 0389</t>
  </si>
  <si>
    <t>46.28</t>
  </si>
  <si>
    <t>JSM10524</t>
  </si>
  <si>
    <t>26400.0</t>
  </si>
  <si>
    <t>14.02</t>
  </si>
  <si>
    <t>JSM10525</t>
  </si>
  <si>
    <t>2025-05-18</t>
  </si>
  <si>
    <t>16.28</t>
  </si>
  <si>
    <t>JSM10526</t>
  </si>
  <si>
    <t>C0291</t>
  </si>
  <si>
    <t>Client 0291</t>
  </si>
  <si>
    <t>2025-07-11</t>
  </si>
  <si>
    <t>49.08</t>
  </si>
  <si>
    <t>JSM10527</t>
  </si>
  <si>
    <t>2025-10-30</t>
  </si>
  <si>
    <t>36.04</t>
  </si>
  <si>
    <t>JSM10528</t>
  </si>
  <si>
    <t>2026-01-08</t>
  </si>
  <si>
    <t>53300.0</t>
  </si>
  <si>
    <t>35.76</t>
  </si>
  <si>
    <t>JSM10529</t>
  </si>
  <si>
    <t>62700.0</t>
  </si>
  <si>
    <t>59600.0</t>
  </si>
  <si>
    <t>54.19</t>
  </si>
  <si>
    <t>JSM10530</t>
  </si>
  <si>
    <t>C0067</t>
  </si>
  <si>
    <t>Client 0067</t>
  </si>
  <si>
    <t>2025-07-02</t>
  </si>
  <si>
    <t>47.37</t>
  </si>
  <si>
    <t>JSM10531</t>
  </si>
  <si>
    <t>C0337</t>
  </si>
  <si>
    <t>Client 0337</t>
  </si>
  <si>
    <t>35.86</t>
  </si>
  <si>
    <t>JSM10532</t>
  </si>
  <si>
    <t>C0007</t>
  </si>
  <si>
    <t>Client 0007</t>
  </si>
  <si>
    <t>2025-08-02</t>
  </si>
  <si>
    <t>95300.0</t>
  </si>
  <si>
    <t>81000.0</t>
  </si>
  <si>
    <t>64200.0</t>
  </si>
  <si>
    <t>20.74</t>
  </si>
  <si>
    <t>JSM10533</t>
  </si>
  <si>
    <t>C0189</t>
  </si>
  <si>
    <t>Client 0189</t>
  </si>
  <si>
    <t>72200.0</t>
  </si>
  <si>
    <t>30.76</t>
  </si>
  <si>
    <t>JSM10534</t>
  </si>
  <si>
    <t>C0266</t>
  </si>
  <si>
    <t>Client 0266</t>
  </si>
  <si>
    <t>2025-04-10</t>
  </si>
  <si>
    <t>53.5</t>
  </si>
  <si>
    <t>JSM10535</t>
  </si>
  <si>
    <t>2026-07-26</t>
  </si>
  <si>
    <t>34500.0</t>
  </si>
  <si>
    <t>46.35</t>
  </si>
  <si>
    <t>JSM10536</t>
  </si>
  <si>
    <t>2026-02-16</t>
  </si>
  <si>
    <t>78.0</t>
  </si>
  <si>
    <t>33.15</t>
  </si>
  <si>
    <t>JSM10537</t>
  </si>
  <si>
    <t>C0191</t>
  </si>
  <si>
    <t>Client 0191</t>
  </si>
  <si>
    <t>239000.0</t>
  </si>
  <si>
    <t>203200.0</t>
  </si>
  <si>
    <t>138800.0</t>
  </si>
  <si>
    <t>31.69</t>
  </si>
  <si>
    <t>JSM10538</t>
  </si>
  <si>
    <t>2026-04-09</t>
  </si>
  <si>
    <t>24000.0</t>
  </si>
  <si>
    <t>51.84</t>
  </si>
  <si>
    <t>JSM10539</t>
  </si>
  <si>
    <t>49.52</t>
  </si>
  <si>
    <t>JSM10540</t>
  </si>
  <si>
    <t>C0049</t>
  </si>
  <si>
    <t>Client 0049</t>
  </si>
  <si>
    <t>18.54</t>
  </si>
  <si>
    <t>JSM10541</t>
  </si>
  <si>
    <t>2025-11-04</t>
  </si>
  <si>
    <t>31300.0</t>
  </si>
  <si>
    <t>9.22</t>
  </si>
  <si>
    <t>JSM10542</t>
  </si>
  <si>
    <t>2026-12-21</t>
  </si>
  <si>
    <t>61100.0</t>
  </si>
  <si>
    <t>12200.0</t>
  </si>
  <si>
    <t>8.79</t>
  </si>
  <si>
    <t>JSM10543</t>
  </si>
  <si>
    <t>C0179</t>
  </si>
  <si>
    <t>Client 0179</t>
  </si>
  <si>
    <t>2026-03-21</t>
  </si>
  <si>
    <t>16.4</t>
  </si>
  <si>
    <t>JSM10544</t>
  </si>
  <si>
    <t>C0157</t>
  </si>
  <si>
    <t>Client 0157</t>
  </si>
  <si>
    <t>2026-06-21</t>
  </si>
  <si>
    <t>55.82</t>
  </si>
  <si>
    <t>JSM10545</t>
  </si>
  <si>
    <t>2026-09-02</t>
  </si>
  <si>
    <t>18.67</t>
  </si>
  <si>
    <t>JSM10546</t>
  </si>
  <si>
    <t>C0043</t>
  </si>
  <si>
    <t>Client 0043</t>
  </si>
  <si>
    <t>32.68</t>
  </si>
  <si>
    <t>JSM10547</t>
  </si>
  <si>
    <t>80800.0</t>
  </si>
  <si>
    <t>33.92</t>
  </si>
  <si>
    <t>JSM10548</t>
  </si>
  <si>
    <t>2025-03-15</t>
  </si>
  <si>
    <t>JSM10549</t>
  </si>
  <si>
    <t>12.77</t>
  </si>
  <si>
    <t>JSM10550</t>
  </si>
  <si>
    <t>40.38</t>
  </si>
  <si>
    <t>JSM10551</t>
  </si>
  <si>
    <t>C0379</t>
  </si>
  <si>
    <t>Client 0379</t>
  </si>
  <si>
    <t>28.95</t>
  </si>
  <si>
    <t>JSM10552</t>
  </si>
  <si>
    <t>2026-04-28</t>
  </si>
  <si>
    <t>48.56</t>
  </si>
  <si>
    <t>JSM10553</t>
  </si>
  <si>
    <t>C0281</t>
  </si>
  <si>
    <t>Client 0281</t>
  </si>
  <si>
    <t>2026-05-10</t>
  </si>
  <si>
    <t>70600.0</t>
  </si>
  <si>
    <t>50.14</t>
  </si>
  <si>
    <t>JSM10554</t>
  </si>
  <si>
    <t>53.34</t>
  </si>
  <si>
    <t>JSM10555</t>
  </si>
  <si>
    <t>C0199</t>
  </si>
  <si>
    <t>Client 0199</t>
  </si>
  <si>
    <t>2026-11-08</t>
  </si>
  <si>
    <t>112400.0</t>
  </si>
  <si>
    <t>95500.0</t>
  </si>
  <si>
    <t>70300.0</t>
  </si>
  <si>
    <t>26.39</t>
  </si>
  <si>
    <t>JSM10556</t>
  </si>
  <si>
    <t>2026-06-05</t>
  </si>
  <si>
    <t>35900.0</t>
  </si>
  <si>
    <t>4.01</t>
  </si>
  <si>
    <t>JSM10557</t>
  </si>
  <si>
    <t>JSM10558</t>
  </si>
  <si>
    <t>C0010</t>
  </si>
  <si>
    <t>Client 0010</t>
  </si>
  <si>
    <t>2025-12-22</t>
  </si>
  <si>
    <t>27.22</t>
  </si>
  <si>
    <t>JSM10559</t>
  </si>
  <si>
    <t>135800.0</t>
  </si>
  <si>
    <t>108600.0</t>
  </si>
  <si>
    <t>28.91</t>
  </si>
  <si>
    <t>JSM10560</t>
  </si>
  <si>
    <t>C0374</t>
  </si>
  <si>
    <t>Client 0374</t>
  </si>
  <si>
    <t>2026-01-27</t>
  </si>
  <si>
    <t>10.7</t>
  </si>
  <si>
    <t>JSM10561</t>
  </si>
  <si>
    <t>JSM10562</t>
  </si>
  <si>
    <t>2025-11-13</t>
  </si>
  <si>
    <t>51.01</t>
  </si>
  <si>
    <t>JSM10563</t>
  </si>
  <si>
    <t>44.16</t>
  </si>
  <si>
    <t>JSM10564</t>
  </si>
  <si>
    <t>C0078</t>
  </si>
  <si>
    <t>Client 0078</t>
  </si>
  <si>
    <t>16.85</t>
  </si>
  <si>
    <t>JSM10565</t>
  </si>
  <si>
    <t>2025-01-27</t>
  </si>
  <si>
    <t>95200.0</t>
  </si>
  <si>
    <t>80900.0</t>
  </si>
  <si>
    <t>11.62</t>
  </si>
  <si>
    <t>JSM10566</t>
  </si>
  <si>
    <t>14.05</t>
  </si>
  <si>
    <t>JSM10567</t>
  </si>
  <si>
    <t>2025-08-16</t>
  </si>
  <si>
    <t>25.75</t>
  </si>
  <si>
    <t>JSM10568</t>
  </si>
  <si>
    <t>C0235</t>
  </si>
  <si>
    <t>Client 0235</t>
  </si>
  <si>
    <t>2025-09-10</t>
  </si>
  <si>
    <t>JSM10569</t>
  </si>
  <si>
    <t>2025-04-22</t>
  </si>
  <si>
    <t>51.04</t>
  </si>
  <si>
    <t>JSM10570</t>
  </si>
  <si>
    <t>4.83</t>
  </si>
  <si>
    <t>JSM10571</t>
  </si>
  <si>
    <t>2025-10-29</t>
  </si>
  <si>
    <t>40.64</t>
  </si>
  <si>
    <t>JSM10572</t>
  </si>
  <si>
    <t>2026-08-23</t>
  </si>
  <si>
    <t>51.72</t>
  </si>
  <si>
    <t>JSM10573</t>
  </si>
  <si>
    <t>C0303</t>
  </si>
  <si>
    <t>Client 0303</t>
  </si>
  <si>
    <t>32.78</t>
  </si>
  <si>
    <t>JSM10574</t>
  </si>
  <si>
    <t>10.64</t>
  </si>
  <si>
    <t>JSM10575</t>
  </si>
  <si>
    <t>58000.0</t>
  </si>
  <si>
    <t>37.59</t>
  </si>
  <si>
    <t>JSM10576</t>
  </si>
  <si>
    <t>44.44</t>
  </si>
  <si>
    <t>JSM10577</t>
  </si>
  <si>
    <t>2026-09-30</t>
  </si>
  <si>
    <t>11.85</t>
  </si>
  <si>
    <t>JSM10578</t>
  </si>
  <si>
    <t>2026-08-26</t>
  </si>
  <si>
    <t>39.93</t>
  </si>
  <si>
    <t>JSM10579</t>
  </si>
  <si>
    <t>2026-10-06</t>
  </si>
  <si>
    <t>62800.0</t>
  </si>
  <si>
    <t>44.27</t>
  </si>
  <si>
    <t>JSM10580</t>
  </si>
  <si>
    <t>62900.0</t>
  </si>
  <si>
    <t>JSM10581</t>
  </si>
  <si>
    <t>2025-06-15</t>
  </si>
  <si>
    <t>46.18</t>
  </si>
  <si>
    <t>JSM10582</t>
  </si>
  <si>
    <t>77700.0</t>
  </si>
  <si>
    <t>66000.0</t>
  </si>
  <si>
    <t>11.82</t>
  </si>
  <si>
    <t>JSM10583</t>
  </si>
  <si>
    <t>C0242</t>
  </si>
  <si>
    <t>Client 0242</t>
  </si>
  <si>
    <t>38.25</t>
  </si>
  <si>
    <t>JSM10584</t>
  </si>
  <si>
    <t>2025-03-01</t>
  </si>
  <si>
    <t>41.03</t>
  </si>
  <si>
    <t>JSM10585</t>
  </si>
  <si>
    <t>88300.0</t>
  </si>
  <si>
    <t>79500.0</t>
  </si>
  <si>
    <t>70000.0</t>
  </si>
  <si>
    <t>11.95</t>
  </si>
  <si>
    <t>JSM10586</t>
  </si>
  <si>
    <t>C0363</t>
  </si>
  <si>
    <t>Client 0363</t>
  </si>
  <si>
    <t>95400.0</t>
  </si>
  <si>
    <t>90600.0</t>
  </si>
  <si>
    <t>76000.0</t>
  </si>
  <si>
    <t>14600.0</t>
  </si>
  <si>
    <t>16.11</t>
  </si>
  <si>
    <t>JSM10587</t>
  </si>
  <si>
    <t>2025-02-16</t>
  </si>
  <si>
    <t>36.33</t>
  </si>
  <si>
    <t>JSM10588</t>
  </si>
  <si>
    <t>2025-03-11</t>
  </si>
  <si>
    <t>29.64</t>
  </si>
  <si>
    <t>JSM10589</t>
  </si>
  <si>
    <t>2026-08-06</t>
  </si>
  <si>
    <t>JSM10590</t>
  </si>
  <si>
    <t>2025-02-06</t>
  </si>
  <si>
    <t>51.11</t>
  </si>
  <si>
    <t>JSM10591</t>
  </si>
  <si>
    <t xml:space="preserve"> chennai </t>
  </si>
  <si>
    <t>50100.0</t>
  </si>
  <si>
    <t>30.54</t>
  </si>
  <si>
    <t>JSM10592</t>
  </si>
  <si>
    <t>25.57</t>
  </si>
  <si>
    <t>JSM10593</t>
  </si>
  <si>
    <t>2025-11-19</t>
  </si>
  <si>
    <t>33.64</t>
  </si>
  <si>
    <t>JSM10594</t>
  </si>
  <si>
    <t>2026-06-22</t>
  </si>
  <si>
    <t>42.66</t>
  </si>
  <si>
    <t>JSM10595</t>
  </si>
  <si>
    <t>50200.0</t>
  </si>
  <si>
    <t>41.24</t>
  </si>
  <si>
    <t>JSM10596</t>
  </si>
  <si>
    <t>2026-11-24</t>
  </si>
  <si>
    <t>19.16</t>
  </si>
  <si>
    <t>JSM10597</t>
  </si>
  <si>
    <t>2025-11-15</t>
  </si>
  <si>
    <t>45.79</t>
  </si>
  <si>
    <t>JSM10598</t>
  </si>
  <si>
    <t>C0012</t>
  </si>
  <si>
    <t>Client 0012</t>
  </si>
  <si>
    <t>30.53</t>
  </si>
  <si>
    <t>JSM10599</t>
  </si>
  <si>
    <t>C0273</t>
  </si>
  <si>
    <t>Client 0273</t>
  </si>
  <si>
    <t>40.05</t>
  </si>
  <si>
    <t>JSM10600</t>
  </si>
  <si>
    <t>C0319</t>
  </si>
  <si>
    <t>Client 0319</t>
  </si>
  <si>
    <t>128100.0</t>
  </si>
  <si>
    <t>85100.0</t>
  </si>
  <si>
    <t>33.57</t>
  </si>
  <si>
    <t>JSM10601</t>
  </si>
  <si>
    <t>2025-03-14</t>
  </si>
  <si>
    <t>48.73</t>
  </si>
  <si>
    <t>JSM10602</t>
  </si>
  <si>
    <t>19.26</t>
  </si>
  <si>
    <t>JSM10603</t>
  </si>
  <si>
    <t>2025-12-31</t>
  </si>
  <si>
    <t>JSM10604</t>
  </si>
  <si>
    <t>25.09</t>
  </si>
  <si>
    <t>JSM10605</t>
  </si>
  <si>
    <t>5.23</t>
  </si>
  <si>
    <t>JSM10606</t>
  </si>
  <si>
    <t>2025-04-26</t>
  </si>
  <si>
    <t>36.36</t>
  </si>
  <si>
    <t>JSM10607</t>
  </si>
  <si>
    <t>C0261</t>
  </si>
  <si>
    <t>Client 0261</t>
  </si>
  <si>
    <t>2025-04-16</t>
  </si>
  <si>
    <t>64000.0</t>
  </si>
  <si>
    <t>54.06</t>
  </si>
  <si>
    <t>JSM10608</t>
  </si>
  <si>
    <t>36.98</t>
  </si>
  <si>
    <t>JSM10609</t>
  </si>
  <si>
    <t>C0107</t>
  </si>
  <si>
    <t>Client 0107</t>
  </si>
  <si>
    <t>39.69</t>
  </si>
  <si>
    <t>JSM10610</t>
  </si>
  <si>
    <t>JSM10611</t>
  </si>
  <si>
    <t>20.3</t>
  </si>
  <si>
    <t>JSM10612</t>
  </si>
  <si>
    <t>2025-05-31</t>
  </si>
  <si>
    <t>67600.0</t>
  </si>
  <si>
    <t>11.29</t>
  </si>
  <si>
    <t>JSM10613</t>
  </si>
  <si>
    <t>2026-08-07</t>
  </si>
  <si>
    <t>110200.0</t>
  </si>
  <si>
    <t>48.9</t>
  </si>
  <si>
    <t>JSM10614</t>
  </si>
  <si>
    <t>56.54</t>
  </si>
  <si>
    <t>JSM10615</t>
  </si>
  <si>
    <t>32.16</t>
  </si>
  <si>
    <t>JSM10616</t>
  </si>
  <si>
    <t>C0280</t>
  </si>
  <si>
    <t>Client 0280</t>
  </si>
  <si>
    <t>19.23</t>
  </si>
  <si>
    <t>JSM10617</t>
  </si>
  <si>
    <t>2025-05-09</t>
  </si>
  <si>
    <t>33.66</t>
  </si>
  <si>
    <t>JSM10618</t>
  </si>
  <si>
    <t>C0070</t>
  </si>
  <si>
    <t>Client 0070</t>
  </si>
  <si>
    <t>2025-03-28</t>
  </si>
  <si>
    <t>39.16</t>
  </si>
  <si>
    <t>JSM10619</t>
  </si>
  <si>
    <t>2026-03-11</t>
  </si>
  <si>
    <t>3.94</t>
  </si>
  <si>
    <t>JSM10620</t>
  </si>
  <si>
    <t>C0296</t>
  </si>
  <si>
    <t>Client 0296</t>
  </si>
  <si>
    <t>21.11</t>
  </si>
  <si>
    <t>JSM10621</t>
  </si>
  <si>
    <t>2026-01-13</t>
  </si>
  <si>
    <t>40.87</t>
  </si>
  <si>
    <t>JSM10622</t>
  </si>
  <si>
    <t>2026-06-14</t>
  </si>
  <si>
    <t>JSM10623</t>
  </si>
  <si>
    <t>17.67</t>
  </si>
  <si>
    <t>JSM10624</t>
  </si>
  <si>
    <t>18.22</t>
  </si>
  <si>
    <t>JSM10625</t>
  </si>
  <si>
    <t>85000.0</t>
  </si>
  <si>
    <t>68000.0</t>
  </si>
  <si>
    <t>39.71</t>
  </si>
  <si>
    <t>JSM10626</t>
  </si>
  <si>
    <t>87800.0</t>
  </si>
  <si>
    <t>83400.0</t>
  </si>
  <si>
    <t>34.41</t>
  </si>
  <si>
    <t>JSM10627</t>
  </si>
  <si>
    <t>2025-06-04</t>
  </si>
  <si>
    <t>101100.0</t>
  </si>
  <si>
    <t>40.16</t>
  </si>
  <si>
    <t>JSM10628</t>
  </si>
  <si>
    <t>C0176</t>
  </si>
  <si>
    <t>Client 0176</t>
  </si>
  <si>
    <t>73900.0</t>
  </si>
  <si>
    <t>28.57</t>
  </si>
  <si>
    <t>JSM10629</t>
  </si>
  <si>
    <t>C0372</t>
  </si>
  <si>
    <t>Client 0372</t>
  </si>
  <si>
    <t>2026-10-15</t>
  </si>
  <si>
    <t>36.09</t>
  </si>
  <si>
    <t>JSM10630</t>
  </si>
  <si>
    <t>14.94</t>
  </si>
  <si>
    <t>JSM10631</t>
  </si>
  <si>
    <t>C0135</t>
  </si>
  <si>
    <t>Client 0135</t>
  </si>
  <si>
    <t>15.15</t>
  </si>
  <si>
    <t>JSM10632</t>
  </si>
  <si>
    <t>108300.0</t>
  </si>
  <si>
    <t>70400.0</t>
  </si>
  <si>
    <t>18.71</t>
  </si>
  <si>
    <t>JSM10633</t>
  </si>
  <si>
    <t>2026-11-02</t>
  </si>
  <si>
    <t>45.12</t>
  </si>
  <si>
    <t>JSM10634</t>
  </si>
  <si>
    <t>2025-01-11</t>
  </si>
  <si>
    <t>26.3</t>
  </si>
  <si>
    <t>JSM10635</t>
  </si>
  <si>
    <t>20.67</t>
  </si>
  <si>
    <t>JSM10636</t>
  </si>
  <si>
    <t>2026-10-16</t>
  </si>
  <si>
    <t>46.12</t>
  </si>
  <si>
    <t>JSM10637</t>
  </si>
  <si>
    <t>129700.0</t>
  </si>
  <si>
    <t>38.01</t>
  </si>
  <si>
    <t>JSM10638</t>
  </si>
  <si>
    <t>-2.09</t>
  </si>
  <si>
    <t>JSM10639</t>
  </si>
  <si>
    <t>2025-09-29</t>
  </si>
  <si>
    <t>JSM10640</t>
  </si>
  <si>
    <t>46.74</t>
  </si>
  <si>
    <t>JSM10641</t>
  </si>
  <si>
    <t>115200.0</t>
  </si>
  <si>
    <t>92200.0</t>
  </si>
  <si>
    <t>49100.0</t>
  </si>
  <si>
    <t>46.75</t>
  </si>
  <si>
    <t>JSM10642</t>
  </si>
  <si>
    <t>28.66</t>
  </si>
  <si>
    <t>JSM10643</t>
  </si>
  <si>
    <t>C0224</t>
  </si>
  <si>
    <t>Client 0224</t>
  </si>
  <si>
    <t>JSM10644</t>
  </si>
  <si>
    <t>C0171</t>
  </si>
  <si>
    <t>Client 0171</t>
  </si>
  <si>
    <t>87.0</t>
  </si>
  <si>
    <t>46800.0</t>
  </si>
  <si>
    <t>32.66</t>
  </si>
  <si>
    <t>JSM10645</t>
  </si>
  <si>
    <t>C0332</t>
  </si>
  <si>
    <t>Client 0332</t>
  </si>
  <si>
    <t>2025-07-27</t>
  </si>
  <si>
    <t>31.94</t>
  </si>
  <si>
    <t>JSM10646</t>
  </si>
  <si>
    <t>2026-12-07</t>
  </si>
  <si>
    <t>89500.0</t>
  </si>
  <si>
    <t>44.92</t>
  </si>
  <si>
    <t>JSM10647</t>
  </si>
  <si>
    <t>2026-08-31</t>
  </si>
  <si>
    <t>83100.0</t>
  </si>
  <si>
    <t>78900.0</t>
  </si>
  <si>
    <t>JSM10648</t>
  </si>
  <si>
    <t>49200.0</t>
  </si>
  <si>
    <t>41.99</t>
  </si>
  <si>
    <t>JSM10649</t>
  </si>
  <si>
    <t>19.18</t>
  </si>
  <si>
    <t>JSM10650</t>
  </si>
  <si>
    <t>15.08</t>
  </si>
  <si>
    <t>JSM10651</t>
  </si>
  <si>
    <t>2026-10-10</t>
  </si>
  <si>
    <t>158900.0</t>
  </si>
  <si>
    <t>151000.0</t>
  </si>
  <si>
    <t>52.19</t>
  </si>
  <si>
    <t>JSM10652</t>
  </si>
  <si>
    <t>52000.0</t>
  </si>
  <si>
    <t>33.85</t>
  </si>
  <si>
    <t>JSM10653</t>
  </si>
  <si>
    <t>2026-12-02</t>
  </si>
  <si>
    <t>33.47</t>
  </si>
  <si>
    <t>JSM10654</t>
  </si>
  <si>
    <t>2025-05-25</t>
  </si>
  <si>
    <t>77300.0</t>
  </si>
  <si>
    <t>41.55</t>
  </si>
  <si>
    <t>JSM10655</t>
  </si>
  <si>
    <t>87200.0</t>
  </si>
  <si>
    <t>82800.0</t>
  </si>
  <si>
    <t>27.29</t>
  </si>
  <si>
    <t>JSM10656</t>
  </si>
  <si>
    <t>2026-12-25</t>
  </si>
  <si>
    <t>69600.0</t>
  </si>
  <si>
    <t>26.44</t>
  </si>
  <si>
    <t>JSM10657</t>
  </si>
  <si>
    <t>53.06</t>
  </si>
  <si>
    <t>JSM10658</t>
  </si>
  <si>
    <t>2026-03-05</t>
  </si>
  <si>
    <t>41200.0</t>
  </si>
  <si>
    <t>-600.0</t>
  </si>
  <si>
    <t>-1.82</t>
  </si>
  <si>
    <t>JSM10659</t>
  </si>
  <si>
    <t>129900.0</t>
  </si>
  <si>
    <t>103900.0</t>
  </si>
  <si>
    <t>15.11</t>
  </si>
  <si>
    <t>JSM10660</t>
  </si>
  <si>
    <t>50.66</t>
  </si>
  <si>
    <t>JSM10661</t>
  </si>
  <si>
    <t>100700.0</t>
  </si>
  <si>
    <t>44.49</t>
  </si>
  <si>
    <t>JSM10662</t>
  </si>
  <si>
    <t>101300.0</t>
  </si>
  <si>
    <t>36.67</t>
  </si>
  <si>
    <t>JSM10663</t>
  </si>
  <si>
    <t>C0399</t>
  </si>
  <si>
    <t>Client 0399</t>
  </si>
  <si>
    <t>JSM10664</t>
  </si>
  <si>
    <t>49.64</t>
  </si>
  <si>
    <t>JSM10665</t>
  </si>
  <si>
    <t>2026-01-18</t>
  </si>
  <si>
    <t>162600.0</t>
  </si>
  <si>
    <t>73600.0</t>
  </si>
  <si>
    <t>45.26</t>
  </si>
  <si>
    <t>JSM10666</t>
  </si>
  <si>
    <t>C0017</t>
  </si>
  <si>
    <t>Client 0017</t>
  </si>
  <si>
    <t>2026-12-10</t>
  </si>
  <si>
    <t>13.66</t>
  </si>
  <si>
    <t>JSM10667</t>
  </si>
  <si>
    <t>84800.0</t>
  </si>
  <si>
    <t>69100.0</t>
  </si>
  <si>
    <t>18.51</t>
  </si>
  <si>
    <t>JSM10668</t>
  </si>
  <si>
    <t>2026-08-29</t>
  </si>
  <si>
    <t>31.16</t>
  </si>
  <si>
    <t>JSM10669</t>
  </si>
  <si>
    <t>C0168</t>
  </si>
  <si>
    <t>Client 0168</t>
  </si>
  <si>
    <t>30.5</t>
  </si>
  <si>
    <t>JSM10670</t>
  </si>
  <si>
    <t>20.41</t>
  </si>
  <si>
    <t>JSM10671</t>
  </si>
  <si>
    <t>24.51</t>
  </si>
  <si>
    <t>JSM10672</t>
  </si>
  <si>
    <t>2025-04-03</t>
  </si>
  <si>
    <t>34.4</t>
  </si>
  <si>
    <t>JSM10673</t>
  </si>
  <si>
    <t>56400.0</t>
  </si>
  <si>
    <t>JSM10674</t>
  </si>
  <si>
    <t>C0322</t>
  </si>
  <si>
    <t>Client 0322</t>
  </si>
  <si>
    <t>JSM10675</t>
  </si>
  <si>
    <t>C0404</t>
  </si>
  <si>
    <t>Client 0404</t>
  </si>
  <si>
    <t>13.63</t>
  </si>
  <si>
    <t>JSM10676</t>
  </si>
  <si>
    <t>2026-04-22</t>
  </si>
  <si>
    <t>39600.0</t>
  </si>
  <si>
    <t>48.99</t>
  </si>
  <si>
    <t>JSM10677</t>
  </si>
  <si>
    <t>2.6</t>
  </si>
  <si>
    <t>JSM10678</t>
  </si>
  <si>
    <t>26.63</t>
  </si>
  <si>
    <t>JSM10679</t>
  </si>
  <si>
    <t>2026-09-28</t>
  </si>
  <si>
    <t>201400.0</t>
  </si>
  <si>
    <t>164700.0</t>
  </si>
  <si>
    <t>JSM10680</t>
  </si>
  <si>
    <t>2025-07-03</t>
  </si>
  <si>
    <t>JSM10681</t>
  </si>
  <si>
    <t>9.66</t>
  </si>
  <si>
    <t>JSM10682</t>
  </si>
  <si>
    <t>19800.0</t>
  </si>
  <si>
    <t>JSM10683</t>
  </si>
  <si>
    <t>45.63</t>
  </si>
  <si>
    <t>JSM10684</t>
  </si>
  <si>
    <t>2025-11-08</t>
  </si>
  <si>
    <t>30.58</t>
  </si>
  <si>
    <t>JSM10685</t>
  </si>
  <si>
    <t>2025-02-18</t>
  </si>
  <si>
    <t>45.24</t>
  </si>
  <si>
    <t>JSM10686</t>
  </si>
  <si>
    <t>2025-06-29</t>
  </si>
  <si>
    <t>JSM10687</t>
  </si>
  <si>
    <t>3.75</t>
  </si>
  <si>
    <t>JSM10688</t>
  </si>
  <si>
    <t>2026-07-07</t>
  </si>
  <si>
    <t>27500.0</t>
  </si>
  <si>
    <t>55.07</t>
  </si>
  <si>
    <t>JSM10689</t>
  </si>
  <si>
    <t>2025-06-09</t>
  </si>
  <si>
    <t>106900.0</t>
  </si>
  <si>
    <t>101600.0</t>
  </si>
  <si>
    <t>31.5</t>
  </si>
  <si>
    <t>JSM10690</t>
  </si>
  <si>
    <t>18.98</t>
  </si>
  <si>
    <t>JSM10691</t>
  </si>
  <si>
    <t>C0158</t>
  </si>
  <si>
    <t>Client 0158</t>
  </si>
  <si>
    <t>108700.0</t>
  </si>
  <si>
    <t>51400.0</t>
  </si>
  <si>
    <t>47.44</t>
  </si>
  <si>
    <t>JSM10692</t>
  </si>
  <si>
    <t>C0312</t>
  </si>
  <si>
    <t>Client 0312</t>
  </si>
  <si>
    <t>40.92</t>
  </si>
  <si>
    <t>JSM10693</t>
  </si>
  <si>
    <t>2026-11-19</t>
  </si>
  <si>
    <t>40.51</t>
  </si>
  <si>
    <t>JSM10694</t>
  </si>
  <si>
    <t>C0342</t>
  </si>
  <si>
    <t>Client 0342</t>
  </si>
  <si>
    <t>2026-01-05</t>
  </si>
  <si>
    <t>46.33</t>
  </si>
  <si>
    <t>JSM10695</t>
  </si>
  <si>
    <t>2025-12-26</t>
  </si>
  <si>
    <t>54.17</t>
  </si>
  <si>
    <t>JSM10696</t>
  </si>
  <si>
    <t>C0412</t>
  </si>
  <si>
    <t>Client 0412</t>
  </si>
  <si>
    <t>21.81</t>
  </si>
  <si>
    <t>JSM10697</t>
  </si>
  <si>
    <t>2025-08-01</t>
  </si>
  <si>
    <t>38400.0</t>
  </si>
  <si>
    <t>50.58</t>
  </si>
  <si>
    <t>JSM10698</t>
  </si>
  <si>
    <t>63100.0</t>
  </si>
  <si>
    <t>48.41</t>
  </si>
  <si>
    <t>JSM10699</t>
  </si>
  <si>
    <t>2026-05-18</t>
  </si>
  <si>
    <t>47.84</t>
  </si>
  <si>
    <t>JSM10700</t>
  </si>
  <si>
    <t>2025-01-03</t>
  </si>
  <si>
    <t>26.03</t>
  </si>
  <si>
    <t>JSM10701</t>
  </si>
  <si>
    <t>51900.0</t>
  </si>
  <si>
    <t>41.33</t>
  </si>
  <si>
    <t>JSM10702</t>
  </si>
  <si>
    <t>C0290</t>
  </si>
  <si>
    <t>Client 0290</t>
  </si>
  <si>
    <t>2026-03-23</t>
  </si>
  <si>
    <t>107100.0</t>
  </si>
  <si>
    <t>59200.0</t>
  </si>
  <si>
    <t>55.28</t>
  </si>
  <si>
    <t>JSM10703</t>
  </si>
  <si>
    <t>2025-06-16</t>
  </si>
  <si>
    <t>42000.0</t>
  </si>
  <si>
    <t>40.71</t>
  </si>
  <si>
    <t>JSM10704</t>
  </si>
  <si>
    <t>2026-03-06</t>
  </si>
  <si>
    <t>JSM10705</t>
  </si>
  <si>
    <t>31.47</t>
  </si>
  <si>
    <t>JSM10706</t>
  </si>
  <si>
    <t>2026-08-17</t>
  </si>
  <si>
    <t>44.79</t>
  </si>
  <si>
    <t>JSM10707</t>
  </si>
  <si>
    <t>10.36</t>
  </si>
  <si>
    <t>JSM10708</t>
  </si>
  <si>
    <t>C0214</t>
  </si>
  <si>
    <t>Client 0214</t>
  </si>
  <si>
    <t>2026-04-17</t>
  </si>
  <si>
    <t>31.3</t>
  </si>
  <si>
    <t>JSM10709</t>
  </si>
  <si>
    <t>2026-03-29</t>
  </si>
  <si>
    <t>27.48</t>
  </si>
  <si>
    <t>JSM10710</t>
  </si>
  <si>
    <t>128000.0</t>
  </si>
  <si>
    <t>121600.0</t>
  </si>
  <si>
    <t>90900.0</t>
  </si>
  <si>
    <t>JSM10711</t>
  </si>
  <si>
    <t>2025-04-25</t>
  </si>
  <si>
    <t>JSM10712</t>
  </si>
  <si>
    <t>42.18</t>
  </si>
  <si>
    <t>JSM10713</t>
  </si>
  <si>
    <t>44.15</t>
  </si>
  <si>
    <t>JSM10714</t>
  </si>
  <si>
    <t>36.41</t>
  </si>
  <si>
    <t>JSM10715</t>
  </si>
  <si>
    <t>C0259</t>
  </si>
  <si>
    <t>Client 0259</t>
  </si>
  <si>
    <t>56600.0</t>
  </si>
  <si>
    <t>21.5</t>
  </si>
  <si>
    <t>JSM10716</t>
  </si>
  <si>
    <t>150400.0</t>
  </si>
  <si>
    <t>142900.0</t>
  </si>
  <si>
    <t>93900.0</t>
  </si>
  <si>
    <t>34.29</t>
  </si>
  <si>
    <t>JSM10717</t>
  </si>
  <si>
    <t>24/01/2026</t>
  </si>
  <si>
    <t>43.33</t>
  </si>
  <si>
    <t>JSM10718</t>
  </si>
  <si>
    <t>23.66</t>
  </si>
  <si>
    <t>JSM10719</t>
  </si>
  <si>
    <t>2026-01-30</t>
  </si>
  <si>
    <t>28.6</t>
  </si>
  <si>
    <t>JSM10720</t>
  </si>
  <si>
    <t>C0149</t>
  </si>
  <si>
    <t>Client 0149</t>
  </si>
  <si>
    <t>2026-03-15</t>
  </si>
  <si>
    <t>48.85</t>
  </si>
  <si>
    <t>JSM10721</t>
  </si>
  <si>
    <t>112600.0</t>
  </si>
  <si>
    <t>107000.0</t>
  </si>
  <si>
    <t>73300.0</t>
  </si>
  <si>
    <t>JSM10722</t>
  </si>
  <si>
    <t>2025-06-22</t>
  </si>
  <si>
    <t>48.6</t>
  </si>
  <si>
    <t>JSM10723</t>
  </si>
  <si>
    <t>47.11</t>
  </si>
  <si>
    <t>JSM10724</t>
  </si>
  <si>
    <t>29.16</t>
  </si>
  <si>
    <t>JSM10725</t>
  </si>
  <si>
    <t>9.11</t>
  </si>
  <si>
    <t>JSM10726</t>
  </si>
  <si>
    <t>21.56</t>
  </si>
  <si>
    <t>JSM10727</t>
  </si>
  <si>
    <t>42.13</t>
  </si>
  <si>
    <t>JSM10728</t>
  </si>
  <si>
    <t>22.81</t>
  </si>
  <si>
    <t>JSM10729</t>
  </si>
  <si>
    <t>71900.0</t>
  </si>
  <si>
    <t>52.57</t>
  </si>
  <si>
    <t>JSM10730</t>
  </si>
  <si>
    <t>10.92</t>
  </si>
  <si>
    <t>JSM10731</t>
  </si>
  <si>
    <t>2026-01-22</t>
  </si>
  <si>
    <t>JSM10732</t>
  </si>
  <si>
    <t>2026-01-11</t>
  </si>
  <si>
    <t>11.51</t>
  </si>
  <si>
    <t>JSM10733</t>
  </si>
  <si>
    <t>2026-02-26</t>
  </si>
  <si>
    <t>20.9</t>
  </si>
  <si>
    <t>JSM10734</t>
  </si>
  <si>
    <t>47600.0</t>
  </si>
  <si>
    <t>29.62</t>
  </si>
  <si>
    <t>JSM10735</t>
  </si>
  <si>
    <t>2026-06-12</t>
  </si>
  <si>
    <t>34.58</t>
  </si>
  <si>
    <t>JSM10736</t>
  </si>
  <si>
    <t>C0166</t>
  </si>
  <si>
    <t>Client 0166</t>
  </si>
  <si>
    <t>2026-08-10</t>
  </si>
  <si>
    <t>56.66</t>
  </si>
  <si>
    <t>JSM10737</t>
  </si>
  <si>
    <t>2026-09-22</t>
  </si>
  <si>
    <t>-700.0</t>
  </si>
  <si>
    <t>-1.67</t>
  </si>
  <si>
    <t>JSM10738</t>
  </si>
  <si>
    <t>52.79</t>
  </si>
  <si>
    <t>JSM10739</t>
  </si>
  <si>
    <t>38.02</t>
  </si>
  <si>
    <t>JSM10740</t>
  </si>
  <si>
    <t>57600.0</t>
  </si>
  <si>
    <t>7.99</t>
  </si>
  <si>
    <t>JSM10741</t>
  </si>
  <si>
    <t>JSM10742</t>
  </si>
  <si>
    <t>2026-06-30</t>
  </si>
  <si>
    <t>57300.0</t>
  </si>
  <si>
    <t>50.55</t>
  </si>
  <si>
    <t>JSM10743</t>
  </si>
  <si>
    <t>JSM10744</t>
  </si>
  <si>
    <t>JSM10745</t>
  </si>
  <si>
    <t>2025-01-29</t>
  </si>
  <si>
    <t>48.59</t>
  </si>
  <si>
    <t>JSM10746</t>
  </si>
  <si>
    <t>2025-02-07</t>
  </si>
  <si>
    <t>41.59</t>
  </si>
  <si>
    <t>JSM10747</t>
  </si>
  <si>
    <t>2025-02-13</t>
  </si>
  <si>
    <t>32.91</t>
  </si>
  <si>
    <t>JSM10748</t>
  </si>
  <si>
    <t>C0209</t>
  </si>
  <si>
    <t>Client 0209</t>
  </si>
  <si>
    <t>6.08</t>
  </si>
  <si>
    <t>JSM10749</t>
  </si>
  <si>
    <t>84500.0</t>
  </si>
  <si>
    <t>21.03</t>
  </si>
  <si>
    <t>JSM10750</t>
  </si>
  <si>
    <t>2025-08-30</t>
  </si>
  <si>
    <t>32.74</t>
  </si>
  <si>
    <t>JSM10751</t>
  </si>
  <si>
    <t>42.78</t>
  </si>
  <si>
    <t>JSM10752</t>
  </si>
  <si>
    <t>52800.0</t>
  </si>
  <si>
    <t>18.18</t>
  </si>
  <si>
    <t>JSM10753</t>
  </si>
  <si>
    <t>C0011</t>
  </si>
  <si>
    <t>Client 0011</t>
  </si>
  <si>
    <t>25.74</t>
  </si>
  <si>
    <t>2.4</t>
  </si>
  <si>
    <t>JSM10754</t>
  </si>
  <si>
    <t>55.15</t>
  </si>
  <si>
    <t>JSM10755</t>
  </si>
  <si>
    <t>2025-09-19</t>
  </si>
  <si>
    <t>35.27</t>
  </si>
  <si>
    <t>JSM10756</t>
  </si>
  <si>
    <t>C0416</t>
  </si>
  <si>
    <t>Client 0416</t>
  </si>
  <si>
    <t>JSM10757</t>
  </si>
  <si>
    <t>79800.0</t>
  </si>
  <si>
    <t>53.51</t>
  </si>
  <si>
    <t>JSM10758</t>
  </si>
  <si>
    <t>2026-12-13</t>
  </si>
  <si>
    <t>77000.0</t>
  </si>
  <si>
    <t>65400.0</t>
  </si>
  <si>
    <t>24.46</t>
  </si>
  <si>
    <t>JSM10759</t>
  </si>
  <si>
    <t>2025-11-09</t>
  </si>
  <si>
    <t>79900.0</t>
  </si>
  <si>
    <t>52700.0</t>
  </si>
  <si>
    <t>34.04</t>
  </si>
  <si>
    <t>JSM10760</t>
  </si>
  <si>
    <t>74800.0</t>
  </si>
  <si>
    <t>53.73</t>
  </si>
  <si>
    <t>JSM10761</t>
  </si>
  <si>
    <t>JSM10762</t>
  </si>
  <si>
    <t>2025-01-24</t>
  </si>
  <si>
    <t>17.17</t>
  </si>
  <si>
    <t>JSM10763</t>
  </si>
  <si>
    <t>41.38</t>
  </si>
  <si>
    <t>JSM10764</t>
  </si>
  <si>
    <t>60400.0</t>
  </si>
  <si>
    <t>45.34</t>
  </si>
  <si>
    <t>JSM10765</t>
  </si>
  <si>
    <t>2025-09-30</t>
  </si>
  <si>
    <t>31.17</t>
  </si>
  <si>
    <t>JSM10766</t>
  </si>
  <si>
    <t>2026-11-25</t>
  </si>
  <si>
    <t>141000.0</t>
  </si>
  <si>
    <t>71600.0</t>
  </si>
  <si>
    <t>49.22</t>
  </si>
  <si>
    <t>JSM10767</t>
  </si>
  <si>
    <t>2026-04-07</t>
  </si>
  <si>
    <t>35.47</t>
  </si>
  <si>
    <t>JSM10768</t>
  </si>
  <si>
    <t>2026-02-12</t>
  </si>
  <si>
    <t>12.02</t>
  </si>
  <si>
    <t>JSM10769</t>
  </si>
  <si>
    <t>57.99</t>
  </si>
  <si>
    <t>JSM10770</t>
  </si>
  <si>
    <t>20.52</t>
  </si>
  <si>
    <t>JSM10771</t>
  </si>
  <si>
    <t>2026-04-25</t>
  </si>
  <si>
    <t>19.02</t>
  </si>
  <si>
    <t>JSM10772</t>
  </si>
  <si>
    <t>50.96</t>
  </si>
  <si>
    <t>JSM10773</t>
  </si>
  <si>
    <t>87300.0</t>
  </si>
  <si>
    <t>82900.0</t>
  </si>
  <si>
    <t>JSM10774</t>
  </si>
  <si>
    <t>42.72</t>
  </si>
  <si>
    <t>JSM10775</t>
  </si>
  <si>
    <t>2026-05-22</t>
  </si>
  <si>
    <t>JSM10776</t>
  </si>
  <si>
    <t>32.2</t>
  </si>
  <si>
    <t>JSM10777</t>
  </si>
  <si>
    <t>₹45,300</t>
  </si>
  <si>
    <t>51.43</t>
  </si>
  <si>
    <t>JSM10778</t>
  </si>
  <si>
    <t>JSM10779</t>
  </si>
  <si>
    <t>53.09</t>
  </si>
  <si>
    <t>JSM10780</t>
  </si>
  <si>
    <t>2026-11-03</t>
  </si>
  <si>
    <t>93800.0</t>
  </si>
  <si>
    <t>57800.0</t>
  </si>
  <si>
    <t>38.38</t>
  </si>
  <si>
    <t>JSM10781</t>
  </si>
  <si>
    <t>2025-02-26</t>
  </si>
  <si>
    <t>17.42</t>
  </si>
  <si>
    <t>JSM10782</t>
  </si>
  <si>
    <t>2026-02-13</t>
  </si>
  <si>
    <t>35.43</t>
  </si>
  <si>
    <t>JSM10783</t>
  </si>
  <si>
    <t>71200.0</t>
  </si>
  <si>
    <t>46.49</t>
  </si>
  <si>
    <t>JSM10784</t>
  </si>
  <si>
    <t>C0263</t>
  </si>
  <si>
    <t>Client 0263</t>
  </si>
  <si>
    <t>57.47</t>
  </si>
  <si>
    <t>JSM10785</t>
  </si>
  <si>
    <t>18.77</t>
  </si>
  <si>
    <t>JSM10786</t>
  </si>
  <si>
    <t>JSM10787</t>
  </si>
  <si>
    <t>43.03</t>
  </si>
  <si>
    <t>JSM10788</t>
  </si>
  <si>
    <t>54.11</t>
  </si>
  <si>
    <t>JSM10789</t>
  </si>
  <si>
    <t>34.05</t>
  </si>
  <si>
    <t>JSM10790</t>
  </si>
  <si>
    <t>2025-07-06</t>
  </si>
  <si>
    <t>46.64</t>
  </si>
  <si>
    <t>JSM10791</t>
  </si>
  <si>
    <t>144600.0</t>
  </si>
  <si>
    <t>88600.0</t>
  </si>
  <si>
    <t>JSM10792</t>
  </si>
  <si>
    <t>7.53</t>
  </si>
  <si>
    <t>JSM10793</t>
  </si>
  <si>
    <t>46.69</t>
  </si>
  <si>
    <t>JSM10794</t>
  </si>
  <si>
    <t>15.04</t>
  </si>
  <si>
    <t>JSM10795</t>
  </si>
  <si>
    <t>18.73</t>
  </si>
  <si>
    <t>JSM10796</t>
  </si>
  <si>
    <t>JSM10797</t>
  </si>
  <si>
    <t>86400.0</t>
  </si>
  <si>
    <t>77800.0</t>
  </si>
  <si>
    <t>23.65</t>
  </si>
  <si>
    <t>JSM10798</t>
  </si>
  <si>
    <t>48.89</t>
  </si>
  <si>
    <t>JSM10799</t>
  </si>
  <si>
    <t>JSM10800</t>
  </si>
  <si>
    <t>2026-08-14</t>
  </si>
  <si>
    <t>30.65</t>
  </si>
  <si>
    <t>JSM10801</t>
  </si>
  <si>
    <t>2026-12-16</t>
  </si>
  <si>
    <t>25.06</t>
  </si>
  <si>
    <t>JSM10802</t>
  </si>
  <si>
    <t>44.6</t>
  </si>
  <si>
    <t>JSM10803</t>
  </si>
  <si>
    <t>69300.0</t>
  </si>
  <si>
    <t>53.04</t>
  </si>
  <si>
    <t>JSM10804</t>
  </si>
  <si>
    <t>2025-06-27</t>
  </si>
  <si>
    <t>54000.0</t>
  </si>
  <si>
    <t>20.56</t>
  </si>
  <si>
    <t>JSM10805</t>
  </si>
  <si>
    <t>C0108</t>
  </si>
  <si>
    <t>Client 0108</t>
  </si>
  <si>
    <t>42.21</t>
  </si>
  <si>
    <t>JSM10806</t>
  </si>
  <si>
    <t>2025-02-02</t>
  </si>
  <si>
    <t>JSM10807</t>
  </si>
  <si>
    <t>2025-12-15</t>
  </si>
  <si>
    <t>22.68</t>
  </si>
  <si>
    <t>JSM10808</t>
  </si>
  <si>
    <t>37.84</t>
  </si>
  <si>
    <t>JSM10809</t>
  </si>
  <si>
    <t>34.39</t>
  </si>
  <si>
    <t>JSM10810</t>
  </si>
  <si>
    <t>57200.0</t>
  </si>
  <si>
    <t>25.52</t>
  </si>
  <si>
    <t>JSM10811</t>
  </si>
  <si>
    <t>-0.75</t>
  </si>
  <si>
    <t>JSM10812</t>
  </si>
  <si>
    <t>46.43</t>
  </si>
  <si>
    <t>JSM10813</t>
  </si>
  <si>
    <t>46.37</t>
  </si>
  <si>
    <t>JSM10814</t>
  </si>
  <si>
    <t>45700.0</t>
  </si>
  <si>
    <t>25.58</t>
  </si>
  <si>
    <t>JSM10815</t>
  </si>
  <si>
    <t>44.84</t>
  </si>
  <si>
    <t>JSM10816</t>
  </si>
  <si>
    <t>39.94</t>
  </si>
  <si>
    <t>JSM10817</t>
  </si>
  <si>
    <t>C0358</t>
  </si>
  <si>
    <t>Client 0358</t>
  </si>
  <si>
    <t>37.54</t>
  </si>
  <si>
    <t>JSM10818</t>
  </si>
  <si>
    <t>JSM10819</t>
  </si>
  <si>
    <t>36.52</t>
  </si>
  <si>
    <t>JSM10820</t>
  </si>
  <si>
    <t>₹34,200</t>
  </si>
  <si>
    <t>JSM10821</t>
  </si>
  <si>
    <t>C0153</t>
  </si>
  <si>
    <t>Client 0153</t>
  </si>
  <si>
    <t>5.52</t>
  </si>
  <si>
    <t>JSM10822</t>
  </si>
  <si>
    <t>C0366</t>
  </si>
  <si>
    <t>Client 0366</t>
  </si>
  <si>
    <t>52.35</t>
  </si>
  <si>
    <t>JSM10823</t>
  </si>
  <si>
    <t>C0076</t>
  </si>
  <si>
    <t>Client 0076</t>
  </si>
  <si>
    <t>2026-12-30</t>
  </si>
  <si>
    <t>JSM10824</t>
  </si>
  <si>
    <t>57.71</t>
  </si>
  <si>
    <t>JSM10825</t>
  </si>
  <si>
    <t>120600.0</t>
  </si>
  <si>
    <t>114600.0</t>
  </si>
  <si>
    <t>30.1</t>
  </si>
  <si>
    <t>JSM10826</t>
  </si>
  <si>
    <t>53000.0</t>
  </si>
  <si>
    <t>29.56</t>
  </si>
  <si>
    <t>JSM10827</t>
  </si>
  <si>
    <t>45.69</t>
  </si>
  <si>
    <t>JSM10828</t>
  </si>
  <si>
    <t>2026-06-20</t>
  </si>
  <si>
    <t>JSM10829</t>
  </si>
  <si>
    <t>2025-05-27</t>
  </si>
  <si>
    <t>JSM10830</t>
  </si>
  <si>
    <t>C0420</t>
  </si>
  <si>
    <t>Client 0420</t>
  </si>
  <si>
    <t>44.86</t>
  </si>
  <si>
    <t>JSM10831</t>
  </si>
  <si>
    <t>19.9</t>
  </si>
  <si>
    <t>JSM10832</t>
  </si>
  <si>
    <t>20.86</t>
  </si>
  <si>
    <t>JSM10833</t>
  </si>
  <si>
    <t>39.15</t>
  </si>
  <si>
    <t>JSM10834</t>
  </si>
  <si>
    <t>69000.0</t>
  </si>
  <si>
    <t>22.71</t>
  </si>
  <si>
    <t>JSM10835</t>
  </si>
  <si>
    <t>C0385</t>
  </si>
  <si>
    <t>Client 0385</t>
  </si>
  <si>
    <t>44.76</t>
  </si>
  <si>
    <t>JSM10836</t>
  </si>
  <si>
    <t>27.53</t>
  </si>
  <si>
    <t>JSM10837</t>
  </si>
  <si>
    <t>2025-07-04</t>
  </si>
  <si>
    <t>30.22</t>
  </si>
  <si>
    <t>JSM10838</t>
  </si>
  <si>
    <t>₹67,400</t>
  </si>
  <si>
    <t>54.45</t>
  </si>
  <si>
    <t>JSM10839</t>
  </si>
  <si>
    <t>C0031</t>
  </si>
  <si>
    <t>Client 0031</t>
  </si>
  <si>
    <t>55700.0</t>
  </si>
  <si>
    <t>43.99</t>
  </si>
  <si>
    <t>JSM10840</t>
  </si>
  <si>
    <t>27.15</t>
  </si>
  <si>
    <t>JSM10841</t>
  </si>
  <si>
    <t>C0253</t>
  </si>
  <si>
    <t>Client 0253</t>
  </si>
  <si>
    <t>33.33</t>
  </si>
  <si>
    <t>JSM10842</t>
  </si>
  <si>
    <t>C0034</t>
  </si>
  <si>
    <t>Client 0034</t>
  </si>
  <si>
    <t>26.13</t>
  </si>
  <si>
    <t>JSM10843</t>
  </si>
  <si>
    <t>29.65</t>
  </si>
  <si>
    <t>JSM10844</t>
  </si>
  <si>
    <t>78700.0</t>
  </si>
  <si>
    <t>4.61</t>
  </si>
  <si>
    <t>JSM10845</t>
  </si>
  <si>
    <t>2026-04-21</t>
  </si>
  <si>
    <t>48.71</t>
  </si>
  <si>
    <t>JSM10846</t>
  </si>
  <si>
    <t>86800.0</t>
  </si>
  <si>
    <t>23.52</t>
  </si>
  <si>
    <t>JSM10847</t>
  </si>
  <si>
    <t>20.81</t>
  </si>
  <si>
    <t>JSM10848</t>
  </si>
  <si>
    <t>JSM10849</t>
  </si>
  <si>
    <t>16.33</t>
  </si>
  <si>
    <t>JSM10850</t>
  </si>
  <si>
    <t>2026-07-24</t>
  </si>
  <si>
    <t>45.19</t>
  </si>
  <si>
    <t>JSM10851</t>
  </si>
  <si>
    <t>C0181</t>
  </si>
  <si>
    <t>Client 0181</t>
  </si>
  <si>
    <t>52.54</t>
  </si>
  <si>
    <t>JSM10852</t>
  </si>
  <si>
    <t>2025-08-15</t>
  </si>
  <si>
    <t>13.14</t>
  </si>
  <si>
    <t>JSM10853</t>
  </si>
  <si>
    <t>C0414</t>
  </si>
  <si>
    <t>Client 0414</t>
  </si>
  <si>
    <t>51000.0</t>
  </si>
  <si>
    <t>27.65</t>
  </si>
  <si>
    <t>JSM10854</t>
  </si>
  <si>
    <t>46.05</t>
  </si>
  <si>
    <t>JSM10855</t>
  </si>
  <si>
    <t>JSM10856</t>
  </si>
  <si>
    <t>72300.0</t>
  </si>
  <si>
    <t>61500.0</t>
  </si>
  <si>
    <t>54300.0</t>
  </si>
  <si>
    <t>11.71</t>
  </si>
  <si>
    <t>JSM10857</t>
  </si>
  <si>
    <t>2026-02-21</t>
  </si>
  <si>
    <t>34.51</t>
  </si>
  <si>
    <t>JSM10858</t>
  </si>
  <si>
    <t>C0025</t>
  </si>
  <si>
    <t>Client 0025</t>
  </si>
  <si>
    <t>JSM10859</t>
  </si>
  <si>
    <t>57.04</t>
  </si>
  <si>
    <t>JSM10860</t>
  </si>
  <si>
    <t>18.81</t>
  </si>
  <si>
    <t>JSM10861</t>
  </si>
  <si>
    <t>19.85</t>
  </si>
  <si>
    <t>JSM10862</t>
  </si>
  <si>
    <t>2025-04-08</t>
  </si>
  <si>
    <t>55.68</t>
  </si>
  <si>
    <t>JSM10863</t>
  </si>
  <si>
    <t>200.0</t>
  </si>
  <si>
    <t>1.31</t>
  </si>
  <si>
    <t>JSM10864</t>
  </si>
  <si>
    <t>48.1</t>
  </si>
  <si>
    <t>JSM10865</t>
  </si>
  <si>
    <t>2026-09-06</t>
  </si>
  <si>
    <t>26.89</t>
  </si>
  <si>
    <t>JSM10866</t>
  </si>
  <si>
    <t>2025-12-03</t>
  </si>
  <si>
    <t>18.82</t>
  </si>
  <si>
    <t>JSM10867</t>
  </si>
  <si>
    <t>2026-03-08</t>
  </si>
  <si>
    <t>19.91</t>
  </si>
  <si>
    <t>JSM10868</t>
  </si>
  <si>
    <t>2025-11-16</t>
  </si>
  <si>
    <t>54.38</t>
  </si>
  <si>
    <t>JSM10869</t>
  </si>
  <si>
    <t>41.67</t>
  </si>
  <si>
    <t>JSM10870</t>
  </si>
  <si>
    <t>2025-12-19</t>
  </si>
  <si>
    <t>44.89</t>
  </si>
  <si>
    <t>JSM10871</t>
  </si>
  <si>
    <t>C0308</t>
  </si>
  <si>
    <t>Client 0308</t>
  </si>
  <si>
    <t>11.26</t>
  </si>
  <si>
    <t>JSM10872</t>
  </si>
  <si>
    <t>2026-04-11</t>
  </si>
  <si>
    <t>70800.0</t>
  </si>
  <si>
    <t>JSM10873</t>
  </si>
  <si>
    <t>C0123</t>
  </si>
  <si>
    <t>Client 0123</t>
  </si>
  <si>
    <t>JSM10874</t>
  </si>
  <si>
    <t>C0006</t>
  </si>
  <si>
    <t>Client 0006</t>
  </si>
  <si>
    <t>2025-03-17</t>
  </si>
  <si>
    <t>46.51</t>
  </si>
  <si>
    <t>JSM10875</t>
  </si>
  <si>
    <t>JSM10876</t>
  </si>
  <si>
    <t>2025-09-09</t>
  </si>
  <si>
    <t>21.38</t>
  </si>
  <si>
    <t>JSM10877</t>
  </si>
  <si>
    <t>23.99</t>
  </si>
  <si>
    <t>JSM10878</t>
  </si>
  <si>
    <t>C0270</t>
  </si>
  <si>
    <t>Client 0270</t>
  </si>
  <si>
    <t>2026-10-01</t>
  </si>
  <si>
    <t>99400.0</t>
  </si>
  <si>
    <t>94400.0</t>
  </si>
  <si>
    <t>42.69</t>
  </si>
  <si>
    <t>JSM10879</t>
  </si>
  <si>
    <t>2026-01-23</t>
  </si>
  <si>
    <t>22.75</t>
  </si>
  <si>
    <t>JSM10880</t>
  </si>
  <si>
    <t>30.93</t>
  </si>
  <si>
    <t>JSM10881</t>
  </si>
  <si>
    <t>33.99</t>
  </si>
  <si>
    <t>JSM10882</t>
  </si>
  <si>
    <t>79000.0</t>
  </si>
  <si>
    <t>25.32</t>
  </si>
  <si>
    <t>JSM10883</t>
  </si>
  <si>
    <t>2026-08-21</t>
  </si>
  <si>
    <t>40.83</t>
  </si>
  <si>
    <t>JSM10884</t>
  </si>
  <si>
    <t>22.51</t>
  </si>
  <si>
    <t>JSM10885</t>
  </si>
  <si>
    <t>36.28</t>
  </si>
  <si>
    <t>JSM10886</t>
  </si>
  <si>
    <t>64800.0</t>
  </si>
  <si>
    <t>JSM10887</t>
  </si>
  <si>
    <t>47.21</t>
  </si>
  <si>
    <t>JSM10888</t>
  </si>
  <si>
    <t>23.15</t>
  </si>
  <si>
    <t>JSM10889</t>
  </si>
  <si>
    <t>35.67</t>
  </si>
  <si>
    <t>JSM10890</t>
  </si>
  <si>
    <t>12.83</t>
  </si>
  <si>
    <t>JSM10891</t>
  </si>
  <si>
    <t>2025-08-22</t>
  </si>
  <si>
    <t>5.21</t>
  </si>
  <si>
    <t>JSM10892</t>
  </si>
  <si>
    <t>2026-04-18</t>
  </si>
  <si>
    <t>37.23</t>
  </si>
  <si>
    <t>JSM10893</t>
  </si>
  <si>
    <t>C0225</t>
  </si>
  <si>
    <t>Client 0225</t>
  </si>
  <si>
    <t>84200.0</t>
  </si>
  <si>
    <t>54.51</t>
  </si>
  <si>
    <t>JSM10894</t>
  </si>
  <si>
    <t>52.44</t>
  </si>
  <si>
    <t>JSM10895</t>
  </si>
  <si>
    <t>2026-08-25</t>
  </si>
  <si>
    <t>JSM10896</t>
  </si>
  <si>
    <t>18.6</t>
  </si>
  <si>
    <t>JSM10897</t>
  </si>
  <si>
    <t xml:space="preserve"> mumbai </t>
  </si>
  <si>
    <t>42200.0</t>
  </si>
  <si>
    <t>31.28</t>
  </si>
  <si>
    <t>JSM10898</t>
  </si>
  <si>
    <t>62200.0</t>
  </si>
  <si>
    <t>JSM10899</t>
  </si>
  <si>
    <t>2025-02-28</t>
  </si>
  <si>
    <t>21.62</t>
  </si>
  <si>
    <t>JSM10900</t>
  </si>
  <si>
    <t>JSM10901</t>
  </si>
  <si>
    <t>2026-12-28</t>
  </si>
  <si>
    <t>23.76</t>
  </si>
  <si>
    <t>JSM10902</t>
  </si>
  <si>
    <t>C0104</t>
  </si>
  <si>
    <t>Client 0104</t>
  </si>
  <si>
    <t>83300.0</t>
  </si>
  <si>
    <t>75000.0</t>
  </si>
  <si>
    <t>53.07</t>
  </si>
  <si>
    <t>JSM10903</t>
  </si>
  <si>
    <t>JSM10904</t>
  </si>
  <si>
    <t>22.47</t>
  </si>
  <si>
    <t>JSM10905</t>
  </si>
  <si>
    <t>17.44</t>
  </si>
  <si>
    <t>JSM10906</t>
  </si>
  <si>
    <t>7.39</t>
  </si>
  <si>
    <t>JSM10907</t>
  </si>
  <si>
    <t>33.23</t>
  </si>
  <si>
    <t>JSM10908</t>
  </si>
  <si>
    <t>JSM10909</t>
  </si>
  <si>
    <t>JSM10910</t>
  </si>
  <si>
    <t>31.52</t>
  </si>
  <si>
    <t>JSM10911</t>
  </si>
  <si>
    <t>C0040</t>
  </si>
  <si>
    <t>Client 0040</t>
  </si>
  <si>
    <t>23.82</t>
  </si>
  <si>
    <t>JSM10912</t>
  </si>
  <si>
    <t>10.22</t>
  </si>
  <si>
    <t>JSM10913</t>
  </si>
  <si>
    <t>14.29</t>
  </si>
  <si>
    <t>JSM10914</t>
  </si>
  <si>
    <t>51.46</t>
  </si>
  <si>
    <t>JSM10915</t>
  </si>
  <si>
    <t>39.56</t>
  </si>
  <si>
    <t>JSM10916</t>
  </si>
  <si>
    <t>50.81</t>
  </si>
  <si>
    <t>JSM10917</t>
  </si>
  <si>
    <t>27.68</t>
  </si>
  <si>
    <t>JSM10918</t>
  </si>
  <si>
    <t>2026-11-05</t>
  </si>
  <si>
    <t>61800.0</t>
  </si>
  <si>
    <t>36.64</t>
  </si>
  <si>
    <t>JSM10919</t>
  </si>
  <si>
    <t>15.71</t>
  </si>
  <si>
    <t>JSM10920</t>
  </si>
  <si>
    <t>9.82</t>
  </si>
  <si>
    <t>JSM10921</t>
  </si>
  <si>
    <t>19.2</t>
  </si>
  <si>
    <t>JSM10922</t>
  </si>
  <si>
    <t>2025-01-22</t>
  </si>
  <si>
    <t>27.46</t>
  </si>
  <si>
    <t>JSM10923</t>
  </si>
  <si>
    <t>2025-10-31</t>
  </si>
  <si>
    <t>42.34</t>
  </si>
  <si>
    <t>JSM10924</t>
  </si>
  <si>
    <t>88700.0</t>
  </si>
  <si>
    <t>23.08</t>
  </si>
  <si>
    <t>JSM10925</t>
  </si>
  <si>
    <t>C0118</t>
  </si>
  <si>
    <t>Client 0118</t>
  </si>
  <si>
    <t>6.96</t>
  </si>
  <si>
    <t>JSM10926</t>
  </si>
  <si>
    <t>119900.0</t>
  </si>
  <si>
    <t>60700.0</t>
  </si>
  <si>
    <t>49.37</t>
  </si>
  <si>
    <t>JSM10927</t>
  </si>
  <si>
    <t>49.89</t>
  </si>
  <si>
    <t>JSM10928</t>
  </si>
  <si>
    <t>C0085</t>
  </si>
  <si>
    <t>Client 0085</t>
  </si>
  <si>
    <t>18.29</t>
  </si>
  <si>
    <t>JSM10929</t>
  </si>
  <si>
    <t>27.35</t>
  </si>
  <si>
    <t>JSM10930</t>
  </si>
  <si>
    <t>51.64</t>
  </si>
  <si>
    <t>JSM10931</t>
  </si>
  <si>
    <t>81500.0</t>
  </si>
  <si>
    <t>46.9</t>
  </si>
  <si>
    <t>JSM10932</t>
  </si>
  <si>
    <t>2025-10-18</t>
  </si>
  <si>
    <t>10.94</t>
  </si>
  <si>
    <t>JSM10933</t>
  </si>
  <si>
    <t>35.71</t>
  </si>
  <si>
    <t>JSM10934</t>
  </si>
  <si>
    <t>59700.0</t>
  </si>
  <si>
    <t>31.83</t>
  </si>
  <si>
    <t>JSM10935</t>
  </si>
  <si>
    <t>38.8</t>
  </si>
  <si>
    <t>JSM10936</t>
  </si>
  <si>
    <t>144700.0</t>
  </si>
  <si>
    <t>63300.0</t>
  </si>
  <si>
    <t>43.75</t>
  </si>
  <si>
    <t>JSM10937</t>
  </si>
  <si>
    <t>38.5</t>
  </si>
  <si>
    <t>JSM10938</t>
  </si>
  <si>
    <t>97200.0</t>
  </si>
  <si>
    <t>JSM10939</t>
  </si>
  <si>
    <t>C0257</t>
  </si>
  <si>
    <t>Client 0257</t>
  </si>
  <si>
    <t>39.47</t>
  </si>
  <si>
    <t>JSM10940</t>
  </si>
  <si>
    <t>21.89</t>
  </si>
  <si>
    <t>JSM10941</t>
  </si>
  <si>
    <t>2025-03-13</t>
  </si>
  <si>
    <t>44.64</t>
  </si>
  <si>
    <t>JSM10942</t>
  </si>
  <si>
    <t>33.08</t>
  </si>
  <si>
    <t>JSM10943</t>
  </si>
  <si>
    <t>C0384</t>
  </si>
  <si>
    <t>Client 0384</t>
  </si>
  <si>
    <t>2025-07-07</t>
  </si>
  <si>
    <t>51.1</t>
  </si>
  <si>
    <t>JSM10944</t>
  </si>
  <si>
    <t>2025-03-29</t>
  </si>
  <si>
    <t>49.66</t>
  </si>
  <si>
    <t>JSM10945</t>
  </si>
  <si>
    <t>2026-11-20</t>
  </si>
  <si>
    <t>54.86</t>
  </si>
  <si>
    <t>JSM10946</t>
  </si>
  <si>
    <t>C0193</t>
  </si>
  <si>
    <t>Client 0193</t>
  </si>
  <si>
    <t>4.69</t>
  </si>
  <si>
    <t>JSM10947</t>
  </si>
  <si>
    <t>C0173</t>
  </si>
  <si>
    <t>Client 0173</t>
  </si>
  <si>
    <t>56.89</t>
  </si>
  <si>
    <t>JSM10948</t>
  </si>
  <si>
    <t>2025-12-05</t>
  </si>
  <si>
    <t>50.71</t>
  </si>
  <si>
    <t>JSM10949</t>
  </si>
  <si>
    <t>-2.61</t>
  </si>
  <si>
    <t>JSM10950</t>
  </si>
  <si>
    <t>2025-11-26</t>
  </si>
  <si>
    <t>47.15</t>
  </si>
  <si>
    <t>JSM10951</t>
  </si>
  <si>
    <t>C0205</t>
  </si>
  <si>
    <t>Client 0205</t>
  </si>
  <si>
    <t>2026-09-20</t>
  </si>
  <si>
    <t>24.48</t>
  </si>
  <si>
    <t>JSM10952</t>
  </si>
  <si>
    <t>22.62</t>
  </si>
  <si>
    <t>JSM10953</t>
  </si>
  <si>
    <t>C0087</t>
  </si>
  <si>
    <t>Client 0087</t>
  </si>
  <si>
    <t>75500.0</t>
  </si>
  <si>
    <t>52.58</t>
  </si>
  <si>
    <t>JSM10954</t>
  </si>
  <si>
    <t>2026-03-22</t>
  </si>
  <si>
    <t>12.29</t>
  </si>
  <si>
    <t>JSM10955</t>
  </si>
  <si>
    <t>41.76</t>
  </si>
  <si>
    <t>JSM10956</t>
  </si>
  <si>
    <t>2026-09-08</t>
  </si>
  <si>
    <t>39.29</t>
  </si>
  <si>
    <t>JSM10957</t>
  </si>
  <si>
    <t>38.9</t>
  </si>
  <si>
    <t>JSM10958</t>
  </si>
  <si>
    <t>195100.0</t>
  </si>
  <si>
    <t>165800.0</t>
  </si>
  <si>
    <t>49.88</t>
  </si>
  <si>
    <t>JSM10959</t>
  </si>
  <si>
    <t>37.05</t>
  </si>
  <si>
    <t>JSM10960</t>
  </si>
  <si>
    <t>2026-11-28</t>
  </si>
  <si>
    <t>53.33</t>
  </si>
  <si>
    <t>JSM10961</t>
  </si>
  <si>
    <t>JSM10962</t>
  </si>
  <si>
    <t>28.99</t>
  </si>
  <si>
    <t>JSM10963</t>
  </si>
  <si>
    <t>17.83</t>
  </si>
  <si>
    <t>JSM10964</t>
  </si>
  <si>
    <t>2026-02-05</t>
  </si>
  <si>
    <t>JSM10965</t>
  </si>
  <si>
    <t>82200.0</t>
  </si>
  <si>
    <t>JSM10966</t>
  </si>
  <si>
    <t>13.42</t>
  </si>
  <si>
    <t>JSM10967</t>
  </si>
  <si>
    <t>C0186</t>
  </si>
  <si>
    <t>Client 0186</t>
  </si>
  <si>
    <t>15.62</t>
  </si>
  <si>
    <t>JSM10968</t>
  </si>
  <si>
    <t>60900.0</t>
  </si>
  <si>
    <t>17.04</t>
  </si>
  <si>
    <t>JSM10969</t>
  </si>
  <si>
    <t>64100.0</t>
  </si>
  <si>
    <t>23.69</t>
  </si>
  <si>
    <t>JSM10970</t>
  </si>
  <si>
    <t>2026-01-20</t>
  </si>
  <si>
    <t>54.62</t>
  </si>
  <si>
    <t>JSM10971</t>
  </si>
  <si>
    <t>39.25</t>
  </si>
  <si>
    <t>JSM10972</t>
  </si>
  <si>
    <t>55.12</t>
  </si>
  <si>
    <t>JSM10973</t>
  </si>
  <si>
    <t>30.73</t>
  </si>
  <si>
    <t>JSM10974</t>
  </si>
  <si>
    <t>JSM10975</t>
  </si>
  <si>
    <t>23.41</t>
  </si>
  <si>
    <t>JSM10976</t>
  </si>
  <si>
    <t>C0279</t>
  </si>
  <si>
    <t>Client 0279</t>
  </si>
  <si>
    <t>2025-06-25</t>
  </si>
  <si>
    <t>JSM10977</t>
  </si>
  <si>
    <t>JSM10978</t>
  </si>
  <si>
    <t>28.18</t>
  </si>
  <si>
    <t>JSM10979</t>
  </si>
  <si>
    <t>38.85</t>
  </si>
  <si>
    <t>JSM10980</t>
  </si>
  <si>
    <t>41.41</t>
  </si>
  <si>
    <t>JSM10981</t>
  </si>
  <si>
    <t>40.12</t>
  </si>
  <si>
    <t>JSM10982</t>
  </si>
  <si>
    <t>39.34</t>
  </si>
  <si>
    <t>JSM10983</t>
  </si>
  <si>
    <t>32.69</t>
  </si>
  <si>
    <t>JSM10984</t>
  </si>
  <si>
    <t>2025-04-18</t>
  </si>
  <si>
    <t>JSM10985</t>
  </si>
  <si>
    <t>2025-10-05</t>
  </si>
  <si>
    <t>14.95</t>
  </si>
  <si>
    <t>JSM10986</t>
  </si>
  <si>
    <t>C0245</t>
  </si>
  <si>
    <t>Client 0245</t>
  </si>
  <si>
    <t>91000.0</t>
  </si>
  <si>
    <t>32.64</t>
  </si>
  <si>
    <t>JSM10987</t>
  </si>
  <si>
    <t>JSM10988</t>
  </si>
  <si>
    <t>53.35</t>
  </si>
  <si>
    <t>JSM10989</t>
  </si>
  <si>
    <t>JSM10990</t>
  </si>
  <si>
    <t>2025-10-20</t>
  </si>
  <si>
    <t>34.67</t>
  </si>
  <si>
    <t>JSM10991</t>
  </si>
  <si>
    <t>JSM10992</t>
  </si>
  <si>
    <t>JSM10993</t>
  </si>
  <si>
    <t>25.82</t>
  </si>
  <si>
    <t>JSM10994</t>
  </si>
  <si>
    <t>33.03</t>
  </si>
  <si>
    <t>JSM10995</t>
  </si>
  <si>
    <t>2026-09-25</t>
  </si>
  <si>
    <t>33.94</t>
  </si>
  <si>
    <t>JSM10996</t>
  </si>
  <si>
    <t>2025-12-25</t>
  </si>
  <si>
    <t>56.31</t>
  </si>
  <si>
    <t>JSM10997</t>
  </si>
  <si>
    <t>2026-06-11</t>
  </si>
  <si>
    <t>15.85</t>
  </si>
  <si>
    <t>JSM10998</t>
  </si>
  <si>
    <t>6.31</t>
  </si>
  <si>
    <t>JSM10999</t>
  </si>
  <si>
    <t>74.0</t>
  </si>
  <si>
    <t>45600.0</t>
  </si>
  <si>
    <t>27.85</t>
  </si>
  <si>
    <t>JSM11000</t>
  </si>
  <si>
    <t>2025-05-17</t>
  </si>
  <si>
    <t xml:space="preserve"> bengaluru </t>
  </si>
  <si>
    <t>29.63</t>
  </si>
  <si>
    <t>JSM11001</t>
  </si>
  <si>
    <t>JSM11002</t>
  </si>
  <si>
    <t>JSM11003</t>
  </si>
  <si>
    <t>52.18</t>
  </si>
  <si>
    <t>JSM11004</t>
  </si>
  <si>
    <t>JSM11005</t>
  </si>
  <si>
    <t>54.42</t>
  </si>
  <si>
    <t>JSM11006</t>
  </si>
  <si>
    <t>49.57</t>
  </si>
  <si>
    <t>JSM11007</t>
  </si>
  <si>
    <t>20.73</t>
  </si>
  <si>
    <t>JSM11008</t>
  </si>
  <si>
    <t>6.92</t>
  </si>
  <si>
    <t>JSM11009</t>
  </si>
  <si>
    <t>JSM11010</t>
  </si>
  <si>
    <t>JSM11011</t>
  </si>
  <si>
    <t>C0172</t>
  </si>
  <si>
    <t>Client 0172</t>
  </si>
  <si>
    <t>82000.0</t>
  </si>
  <si>
    <t>38.66</t>
  </si>
  <si>
    <t>JSM11012</t>
  </si>
  <si>
    <t>15.03</t>
  </si>
  <si>
    <t>JSM11013</t>
  </si>
  <si>
    <t>27.3</t>
  </si>
  <si>
    <t>JSM11014</t>
  </si>
  <si>
    <t>2026-05-01</t>
  </si>
  <si>
    <t>JSM11015</t>
  </si>
  <si>
    <t>-1.02</t>
  </si>
  <si>
    <t>JSM11016</t>
  </si>
  <si>
    <t>C0269</t>
  </si>
  <si>
    <t>Client 0269</t>
  </si>
  <si>
    <t>2026-05-31</t>
  </si>
  <si>
    <t>76500.0</t>
  </si>
  <si>
    <t>0.33</t>
  </si>
  <si>
    <t>JSM11017</t>
  </si>
  <si>
    <t>69900.0</t>
  </si>
  <si>
    <t>JSM11018</t>
  </si>
  <si>
    <t>JSM11019</t>
  </si>
  <si>
    <t>38.59</t>
  </si>
  <si>
    <t>JSM11020</t>
  </si>
  <si>
    <t>2025-05-02</t>
  </si>
  <si>
    <t>41.48</t>
  </si>
  <si>
    <t>JSM11021</t>
  </si>
  <si>
    <t>2025-10-04</t>
  </si>
  <si>
    <t>JSM11022</t>
  </si>
  <si>
    <t>138200.0</t>
  </si>
  <si>
    <t>90700.0</t>
  </si>
  <si>
    <t>34.37</t>
  </si>
  <si>
    <t>JSM11023</t>
  </si>
  <si>
    <t>JSM11024</t>
  </si>
  <si>
    <t>61700.0</t>
  </si>
  <si>
    <t>32.42</t>
  </si>
  <si>
    <t>JSM11025</t>
  </si>
  <si>
    <t>2025-06-01</t>
  </si>
  <si>
    <t>JSM11026</t>
  </si>
  <si>
    <t>84700.0</t>
  </si>
  <si>
    <t>78100.0</t>
  </si>
  <si>
    <t>7.79</t>
  </si>
  <si>
    <t>JSM11027</t>
  </si>
  <si>
    <t>JSM11028</t>
  </si>
  <si>
    <t>41.58</t>
  </si>
  <si>
    <t>JSM11029</t>
  </si>
  <si>
    <t>JSM11030</t>
  </si>
  <si>
    <t>2025-05-23</t>
  </si>
  <si>
    <t>13.18</t>
  </si>
  <si>
    <t>JSM11031</t>
  </si>
  <si>
    <t>2025-02-27</t>
  </si>
  <si>
    <t>39.82</t>
  </si>
  <si>
    <t>JSM11032</t>
  </si>
  <si>
    <t>128900.0</t>
  </si>
  <si>
    <t>21.34</t>
  </si>
  <si>
    <t>JSM11033</t>
  </si>
  <si>
    <t>JSM11034</t>
  </si>
  <si>
    <t>27.43</t>
  </si>
  <si>
    <t>JSM11035</t>
  </si>
  <si>
    <t>13.73</t>
  </si>
  <si>
    <t>JSM11036</t>
  </si>
  <si>
    <t>2025-04-17</t>
  </si>
  <si>
    <t>42.73</t>
  </si>
  <si>
    <t>JSM11037</t>
  </si>
  <si>
    <t>C0077</t>
  </si>
  <si>
    <t>Client 0077</t>
  </si>
  <si>
    <t>45.91</t>
  </si>
  <si>
    <t>JSM11038</t>
  </si>
  <si>
    <t>2025-10-13</t>
  </si>
  <si>
    <t>JSM11039</t>
  </si>
  <si>
    <t>60100.0</t>
  </si>
  <si>
    <t>23.79</t>
  </si>
  <si>
    <t>JSM11040</t>
  </si>
  <si>
    <t>168400.0</t>
  </si>
  <si>
    <t>160000.0</t>
  </si>
  <si>
    <t>130500.0</t>
  </si>
  <si>
    <t>18.44</t>
  </si>
  <si>
    <t>JSM11041</t>
  </si>
  <si>
    <t>13.49</t>
  </si>
  <si>
    <t>JSM11042</t>
  </si>
  <si>
    <t>18.91</t>
  </si>
  <si>
    <t>JSM11043</t>
  </si>
  <si>
    <t>9.91</t>
  </si>
  <si>
    <t>JSM11044</t>
  </si>
  <si>
    <t>30.34</t>
  </si>
  <si>
    <t>JSM11045</t>
  </si>
  <si>
    <t>C0016</t>
  </si>
  <si>
    <t>Client 0016</t>
  </si>
  <si>
    <t>85500.0</t>
  </si>
  <si>
    <t>8.84</t>
  </si>
  <si>
    <t>JSM11046</t>
  </si>
  <si>
    <t>150700.0</t>
  </si>
  <si>
    <t>94600.0</t>
  </si>
  <si>
    <t>26.15</t>
  </si>
  <si>
    <t>JSM11047</t>
  </si>
  <si>
    <t>4.05</t>
  </si>
  <si>
    <t>JSM11048</t>
  </si>
  <si>
    <t>2026-02-10</t>
  </si>
  <si>
    <t>JSM11049</t>
  </si>
  <si>
    <t>2025-10-06</t>
  </si>
  <si>
    <t>28.76</t>
  </si>
  <si>
    <t>JSM11050</t>
  </si>
  <si>
    <t>2025-07-08</t>
  </si>
  <si>
    <t>45.64</t>
  </si>
  <si>
    <t>JSM11051</t>
  </si>
  <si>
    <t>25.86</t>
  </si>
  <si>
    <t>JSM11052</t>
  </si>
  <si>
    <t>99100.0</t>
  </si>
  <si>
    <t>25.23</t>
  </si>
  <si>
    <t>JSM11053</t>
  </si>
  <si>
    <t>8.9</t>
  </si>
  <si>
    <t>JSM11054</t>
  </si>
  <si>
    <t>36.72</t>
  </si>
  <si>
    <t>JSM11055</t>
  </si>
  <si>
    <t>2025-07-19</t>
  </si>
  <si>
    <t>122900.0</t>
  </si>
  <si>
    <t>116800.0</t>
  </si>
  <si>
    <t>33.9</t>
  </si>
  <si>
    <t>JSM11056</t>
  </si>
  <si>
    <t>52.99</t>
  </si>
  <si>
    <t>JSM11057</t>
  </si>
  <si>
    <t>44900.0</t>
  </si>
  <si>
    <t>21.83</t>
  </si>
  <si>
    <t>JSM11058</t>
  </si>
  <si>
    <t>34.38</t>
  </si>
  <si>
    <t>JSM11059</t>
  </si>
  <si>
    <t>2026-03-18</t>
  </si>
  <si>
    <t>29.35</t>
  </si>
  <si>
    <t>JSM11060</t>
  </si>
  <si>
    <t>17.33</t>
  </si>
  <si>
    <t>JSM11061</t>
  </si>
  <si>
    <t>21.59</t>
  </si>
  <si>
    <t>JSM11062</t>
  </si>
  <si>
    <t>29.24</t>
  </si>
  <si>
    <t>JSM11063</t>
  </si>
  <si>
    <t>27.02</t>
  </si>
  <si>
    <t>JSM11064</t>
  </si>
  <si>
    <t>38.63</t>
  </si>
  <si>
    <t>JSM11065</t>
  </si>
  <si>
    <t>2025-09-08</t>
  </si>
  <si>
    <t>44.06</t>
  </si>
  <si>
    <t>JSM11066</t>
  </si>
  <si>
    <t>JSM11067</t>
  </si>
  <si>
    <t>38.62</t>
  </si>
  <si>
    <t>JSM11068</t>
  </si>
  <si>
    <t>133500.0</t>
  </si>
  <si>
    <t>126800.0</t>
  </si>
  <si>
    <t>101900.0</t>
  </si>
  <si>
    <t>19.64</t>
  </si>
  <si>
    <t>JSM11069</t>
  </si>
  <si>
    <t>27.83</t>
  </si>
  <si>
    <t>JSM11070</t>
  </si>
  <si>
    <t>20.92</t>
  </si>
  <si>
    <t>JSM11071</t>
  </si>
  <si>
    <t>21.26</t>
  </si>
  <si>
    <t>JSM11072</t>
  </si>
  <si>
    <t>24.19</t>
  </si>
  <si>
    <t>JSM11073</t>
  </si>
  <si>
    <t>51.07</t>
  </si>
  <si>
    <t>JSM11074</t>
  </si>
  <si>
    <t>2026-07-29</t>
  </si>
  <si>
    <t>52100.0</t>
  </si>
  <si>
    <t>46900.0</t>
  </si>
  <si>
    <t>23.45</t>
  </si>
  <si>
    <t>JSM11075</t>
  </si>
  <si>
    <t>JSM11076</t>
  </si>
  <si>
    <t>JSM11077</t>
  </si>
  <si>
    <t>66800.0</t>
  </si>
  <si>
    <t>JSM11078</t>
  </si>
  <si>
    <t>17.18</t>
  </si>
  <si>
    <t>JSM11079</t>
  </si>
  <si>
    <t>2025-12-27</t>
  </si>
  <si>
    <t>68200.0</t>
  </si>
  <si>
    <t>39.19</t>
  </si>
  <si>
    <t>JSM11080</t>
  </si>
  <si>
    <t>40.88</t>
  </si>
  <si>
    <t>JSM11081</t>
  </si>
  <si>
    <t>25.9</t>
  </si>
  <si>
    <t>JSM11082</t>
  </si>
  <si>
    <t>29.7</t>
  </si>
  <si>
    <t>JSM11083</t>
  </si>
  <si>
    <t>18.03</t>
  </si>
  <si>
    <t>JSM11084</t>
  </si>
  <si>
    <t>104000.0</t>
  </si>
  <si>
    <t>57.12</t>
  </si>
  <si>
    <t>JSM11085</t>
  </si>
  <si>
    <t>2026-03-01</t>
  </si>
  <si>
    <t>42.8</t>
  </si>
  <si>
    <t>JSM11086</t>
  </si>
  <si>
    <t>31.45</t>
  </si>
  <si>
    <t>JSM11087</t>
  </si>
  <si>
    <t>142100.0</t>
  </si>
  <si>
    <t>113700.0</t>
  </si>
  <si>
    <t>4.31</t>
  </si>
  <si>
    <t>JSM11088</t>
  </si>
  <si>
    <t>2025-08-25</t>
  </si>
  <si>
    <t>82400.0</t>
  </si>
  <si>
    <t>42.23</t>
  </si>
  <si>
    <t>JSM11089</t>
  </si>
  <si>
    <t>28.89</t>
  </si>
  <si>
    <t>JSM11090</t>
  </si>
  <si>
    <t>JSM11091</t>
  </si>
  <si>
    <t>48.18</t>
  </si>
  <si>
    <t>JSM11092</t>
  </si>
  <si>
    <t>29.15</t>
  </si>
  <si>
    <t>JSM11093</t>
  </si>
  <si>
    <t>2025-03-21</t>
  </si>
  <si>
    <t>30.18</t>
  </si>
  <si>
    <t>JSM11094</t>
  </si>
  <si>
    <t>2026-05-14</t>
  </si>
  <si>
    <t>JSM11095</t>
  </si>
  <si>
    <t>74700.0</t>
  </si>
  <si>
    <t>49.55</t>
  </si>
  <si>
    <t>JSM11096</t>
  </si>
  <si>
    <t>2026-06-19</t>
  </si>
  <si>
    <t>35.46</t>
  </si>
  <si>
    <t>JSM11097</t>
  </si>
  <si>
    <t>2026-01-09</t>
  </si>
  <si>
    <t>50.31</t>
  </si>
  <si>
    <t>JSM11098</t>
  </si>
  <si>
    <t>2025-10-08</t>
  </si>
  <si>
    <t>48500.0</t>
  </si>
  <si>
    <t>10.31</t>
  </si>
  <si>
    <t>JSM11099</t>
  </si>
  <si>
    <t>2026-02-14</t>
  </si>
  <si>
    <t>44.83</t>
  </si>
  <si>
    <t>JSM11100</t>
  </si>
  <si>
    <t>22.82</t>
  </si>
  <si>
    <t>JSM11101</t>
  </si>
  <si>
    <t>JSM11102</t>
  </si>
  <si>
    <t>2025-09-17</t>
  </si>
  <si>
    <t>21.16</t>
  </si>
  <si>
    <t>JSM11103</t>
  </si>
  <si>
    <t>C0220</t>
  </si>
  <si>
    <t>Client 0220</t>
  </si>
  <si>
    <t>19.15</t>
  </si>
  <si>
    <t>JSM11104</t>
  </si>
  <si>
    <t>JSM11105</t>
  </si>
  <si>
    <t>24.26</t>
  </si>
  <si>
    <t>JSM11106</t>
  </si>
  <si>
    <t>32.93</t>
  </si>
  <si>
    <t>JSM11107</t>
  </si>
  <si>
    <t>9.88</t>
  </si>
  <si>
    <t>JSM11108</t>
  </si>
  <si>
    <t>38.18</t>
  </si>
  <si>
    <t>JSM11109</t>
  </si>
  <si>
    <t>JSM11110</t>
  </si>
  <si>
    <t>39.26</t>
  </si>
  <si>
    <t>JSM11111</t>
  </si>
  <si>
    <t>2025-08-18</t>
  </si>
  <si>
    <t>46.24</t>
  </si>
  <si>
    <t>JSM11112</t>
  </si>
  <si>
    <t>2025-04-01</t>
  </si>
  <si>
    <t>84900.0</t>
  </si>
  <si>
    <t>23.12</t>
  </si>
  <si>
    <t>JSM11113</t>
  </si>
  <si>
    <t>38.21</t>
  </si>
  <si>
    <t>JSM11114</t>
  </si>
  <si>
    <t>0.98</t>
  </si>
  <si>
    <t>JSM11115</t>
  </si>
  <si>
    <t>41.32</t>
  </si>
  <si>
    <t>JSM11116</t>
  </si>
  <si>
    <t>JSM11117</t>
  </si>
  <si>
    <t>2025-01-14</t>
  </si>
  <si>
    <t>₹32,600</t>
  </si>
  <si>
    <t>4.91</t>
  </si>
  <si>
    <t>JSM11118</t>
  </si>
  <si>
    <t>33.7</t>
  </si>
  <si>
    <t>JSM11119</t>
  </si>
  <si>
    <t>40.35</t>
  </si>
  <si>
    <t>JSM11120</t>
  </si>
  <si>
    <t>JSM11121</t>
  </si>
  <si>
    <t>45.88</t>
  </si>
  <si>
    <t>JSM11122</t>
  </si>
  <si>
    <t>JSM11123</t>
  </si>
  <si>
    <t>C0226</t>
  </si>
  <si>
    <t>Client 0226</t>
  </si>
  <si>
    <t>6.69</t>
  </si>
  <si>
    <t>JSM11124</t>
  </si>
  <si>
    <t>JSM11125</t>
  </si>
  <si>
    <t>30.32</t>
  </si>
  <si>
    <t>JSM11126</t>
  </si>
  <si>
    <t>2025-08-20</t>
  </si>
  <si>
    <t>37.95</t>
  </si>
  <si>
    <t>JSM11127</t>
  </si>
  <si>
    <t>30.4</t>
  </si>
  <si>
    <t>JSM11128</t>
  </si>
  <si>
    <t>32.67</t>
  </si>
  <si>
    <t>JSM11129</t>
  </si>
  <si>
    <t>51.65</t>
  </si>
  <si>
    <t>JSM11130</t>
  </si>
  <si>
    <t>40.33</t>
  </si>
  <si>
    <t>JSM11131</t>
  </si>
  <si>
    <t>-1.88</t>
  </si>
  <si>
    <t>JSM11132</t>
  </si>
  <si>
    <t>JSM11133</t>
  </si>
  <si>
    <t>2025-11-05</t>
  </si>
  <si>
    <t>JSM11134</t>
  </si>
  <si>
    <t>90200.0</t>
  </si>
  <si>
    <t>44.01</t>
  </si>
  <si>
    <t>JSM11135</t>
  </si>
  <si>
    <t>JSM11136</t>
  </si>
  <si>
    <t>JSM11137</t>
  </si>
  <si>
    <t>42.27</t>
  </si>
  <si>
    <t>JSM11138</t>
  </si>
  <si>
    <t>JSM11139</t>
  </si>
  <si>
    <t>JSM11140</t>
  </si>
  <si>
    <t>25.66</t>
  </si>
  <si>
    <t>JSM11141</t>
  </si>
  <si>
    <t>C0129</t>
  </si>
  <si>
    <t>Client 0129</t>
  </si>
  <si>
    <t>44.97</t>
  </si>
  <si>
    <t>JSM11142</t>
  </si>
  <si>
    <t>JSM11143</t>
  </si>
  <si>
    <t>2025-04-11</t>
  </si>
  <si>
    <t>48.98</t>
  </si>
  <si>
    <t>JSM11144</t>
  </si>
  <si>
    <t>2026-08-16</t>
  </si>
  <si>
    <t>JSM11145</t>
  </si>
  <si>
    <t>19.09</t>
  </si>
  <si>
    <t>JSM11146</t>
  </si>
  <si>
    <t>65900.0</t>
  </si>
  <si>
    <t>38.54</t>
  </si>
  <si>
    <t>JSM11147</t>
  </si>
  <si>
    <t>44.98</t>
  </si>
  <si>
    <t>JSM11148</t>
  </si>
  <si>
    <t>2025-09-06</t>
  </si>
  <si>
    <t>28.59</t>
  </si>
  <si>
    <t>JSM11149</t>
  </si>
  <si>
    <t>75200.0</t>
  </si>
  <si>
    <t>63900.0</t>
  </si>
  <si>
    <t>JSM11150</t>
  </si>
  <si>
    <t>2025-04-20</t>
  </si>
  <si>
    <t>53.08</t>
  </si>
  <si>
    <t>JSM11151</t>
  </si>
  <si>
    <t>49700.0</t>
  </si>
  <si>
    <t>50.21</t>
  </si>
  <si>
    <t>JSM11152</t>
  </si>
  <si>
    <t>11.36</t>
  </si>
  <si>
    <t>JSM11153</t>
  </si>
  <si>
    <t>26.96</t>
  </si>
  <si>
    <t>JSM11154</t>
  </si>
  <si>
    <t>23.63</t>
  </si>
  <si>
    <t>JSM11155</t>
  </si>
  <si>
    <t>2026-09-24</t>
  </si>
  <si>
    <t>20.78</t>
  </si>
  <si>
    <t>JSM11156</t>
  </si>
  <si>
    <t>JSM11157</t>
  </si>
  <si>
    <t>2026-11-15</t>
  </si>
  <si>
    <t>49.13</t>
  </si>
  <si>
    <t>JSM11158</t>
  </si>
  <si>
    <t>111200.0</t>
  </si>
  <si>
    <t>30.79</t>
  </si>
  <si>
    <t>JSM11159</t>
  </si>
  <si>
    <t>2025-12-30</t>
  </si>
  <si>
    <t>JSM11160</t>
  </si>
  <si>
    <t>24.74</t>
  </si>
  <si>
    <t>JSM11161</t>
  </si>
  <si>
    <t>13.54</t>
  </si>
  <si>
    <t>JSM11162</t>
  </si>
  <si>
    <t>2026-04-29</t>
  </si>
  <si>
    <t>19.54</t>
  </si>
  <si>
    <t>JSM11163</t>
  </si>
  <si>
    <t>48.44</t>
  </si>
  <si>
    <t>JSM11164</t>
  </si>
  <si>
    <t>6.67</t>
  </si>
  <si>
    <t>JSM11165</t>
  </si>
  <si>
    <t>151300.0</t>
  </si>
  <si>
    <t>128600.0</t>
  </si>
  <si>
    <t>102300.0</t>
  </si>
  <si>
    <t>20.45</t>
  </si>
  <si>
    <t>JSM11166</t>
  </si>
  <si>
    <t>18.32</t>
  </si>
  <si>
    <t>JSM11167</t>
  </si>
  <si>
    <t>18.96</t>
  </si>
  <si>
    <t>JSM11168</t>
  </si>
  <si>
    <t>2025-01-25</t>
  </si>
  <si>
    <t>35.22</t>
  </si>
  <si>
    <t>JSM11169</t>
  </si>
  <si>
    <t>2025-07-09</t>
  </si>
  <si>
    <t>49800.0</t>
  </si>
  <si>
    <t>27.27</t>
  </si>
  <si>
    <t>JSM11170</t>
  </si>
  <si>
    <t>53.53</t>
  </si>
  <si>
    <t>JSM11171</t>
  </si>
  <si>
    <t>24.79</t>
  </si>
  <si>
    <t>JSM11172</t>
  </si>
  <si>
    <t>10.16</t>
  </si>
  <si>
    <t>JSM11173</t>
  </si>
  <si>
    <t>32.79</t>
  </si>
  <si>
    <t>JSM11174</t>
  </si>
  <si>
    <t>JSM11175</t>
  </si>
  <si>
    <t>C0121</t>
  </si>
  <si>
    <t>Client 0121</t>
  </si>
  <si>
    <t>2026-05-21</t>
  </si>
  <si>
    <t>₹42,400</t>
  </si>
  <si>
    <t>56.13</t>
  </si>
  <si>
    <t>JSM11176</t>
  </si>
  <si>
    <t>2026-05-06</t>
  </si>
  <si>
    <t>24.88</t>
  </si>
  <si>
    <t>JSM11177</t>
  </si>
  <si>
    <t>JSM11178</t>
  </si>
  <si>
    <t>46.15</t>
  </si>
  <si>
    <t>JSM11179</t>
  </si>
  <si>
    <t>2026-03-14</t>
  </si>
  <si>
    <t>JSM11180</t>
  </si>
  <si>
    <t>49.15</t>
  </si>
  <si>
    <t>JSM11181</t>
  </si>
  <si>
    <t>2025-01-16</t>
  </si>
  <si>
    <t>100000.0</t>
  </si>
  <si>
    <t>52.2</t>
  </si>
  <si>
    <t>JSM11182</t>
  </si>
  <si>
    <t>-1.39</t>
  </si>
  <si>
    <t>JSM11183</t>
  </si>
  <si>
    <t>8.53</t>
  </si>
  <si>
    <t>JSM11184</t>
  </si>
  <si>
    <t>30.55</t>
  </si>
  <si>
    <t>JSM11185</t>
  </si>
  <si>
    <t>54.93</t>
  </si>
  <si>
    <t>JSM11186</t>
  </si>
  <si>
    <t>JSM11187</t>
  </si>
  <si>
    <t>10.91</t>
  </si>
  <si>
    <t>JSM11188</t>
  </si>
  <si>
    <t>2026-09-17</t>
  </si>
  <si>
    <t>72700.0</t>
  </si>
  <si>
    <t>9.58</t>
  </si>
  <si>
    <t>JSM11189</t>
  </si>
  <si>
    <t>30.05</t>
  </si>
  <si>
    <t>JSM11190</t>
  </si>
  <si>
    <t>54.27</t>
  </si>
  <si>
    <t>JSM11191</t>
  </si>
  <si>
    <t>24.69</t>
  </si>
  <si>
    <t>JSM11192</t>
  </si>
  <si>
    <t>85900.0</t>
  </si>
  <si>
    <t>22.12</t>
  </si>
  <si>
    <t>JSM11193</t>
  </si>
  <si>
    <t>2026-08-08</t>
  </si>
  <si>
    <t>92500.0</t>
  </si>
  <si>
    <t>51.14</t>
  </si>
  <si>
    <t>JSM11194</t>
  </si>
  <si>
    <t>46.89</t>
  </si>
  <si>
    <t>JSM11195</t>
  </si>
  <si>
    <t>55200.0</t>
  </si>
  <si>
    <t>18.58</t>
  </si>
  <si>
    <t>JSM11196</t>
  </si>
  <si>
    <t>26.01</t>
  </si>
  <si>
    <t>JSM11197</t>
  </si>
  <si>
    <t>2025-08-21</t>
  </si>
  <si>
    <t>58.06</t>
  </si>
  <si>
    <t>JSM11198</t>
  </si>
  <si>
    <t>C0351</t>
  </si>
  <si>
    <t>Client 0351</t>
  </si>
  <si>
    <t>2026-06-03</t>
  </si>
  <si>
    <t>117400.0</t>
  </si>
  <si>
    <t>105700.0</t>
  </si>
  <si>
    <t>27.63</t>
  </si>
  <si>
    <t>JSM11199</t>
  </si>
  <si>
    <t>C0009</t>
  </si>
  <si>
    <t>Client 0009</t>
  </si>
  <si>
    <t>39.45</t>
  </si>
  <si>
    <t>JSM11200</t>
  </si>
  <si>
    <t>C0058</t>
  </si>
  <si>
    <t>Client 0058</t>
  </si>
  <si>
    <t>JSM11201</t>
  </si>
  <si>
    <t>52.34</t>
  </si>
  <si>
    <t>JSM11202</t>
  </si>
  <si>
    <t>2026-09-29</t>
  </si>
  <si>
    <t>42.04</t>
  </si>
  <si>
    <t>JSM11203</t>
  </si>
  <si>
    <t>16.9</t>
  </si>
  <si>
    <t>JSM11204</t>
  </si>
  <si>
    <t>33.25</t>
  </si>
  <si>
    <t>JSM11205</t>
  </si>
  <si>
    <t>7.18</t>
  </si>
  <si>
    <t>JSM11206</t>
  </si>
  <si>
    <t>20.72</t>
  </si>
  <si>
    <t>JSM11207</t>
  </si>
  <si>
    <t>48.72</t>
  </si>
  <si>
    <t>JSM11208</t>
  </si>
  <si>
    <t>15.37</t>
  </si>
  <si>
    <t>JSM11209</t>
  </si>
  <si>
    <t>33.5</t>
  </si>
  <si>
    <t>JSM11210</t>
  </si>
  <si>
    <t>JSM11211</t>
  </si>
  <si>
    <t>115500.0</t>
  </si>
  <si>
    <t>15.3</t>
  </si>
  <si>
    <t>JSM11212</t>
  </si>
  <si>
    <t>23.11</t>
  </si>
  <si>
    <t>JSM11213</t>
  </si>
  <si>
    <t>JSM11214</t>
  </si>
  <si>
    <t>JSM11215</t>
  </si>
  <si>
    <t>JSM11216</t>
  </si>
  <si>
    <t>2026-06-15</t>
  </si>
  <si>
    <t>50.15</t>
  </si>
  <si>
    <t>JSM11217</t>
  </si>
  <si>
    <t>2025-02-12</t>
  </si>
  <si>
    <t>35.55</t>
  </si>
  <si>
    <t>JSM11218</t>
  </si>
  <si>
    <t>2025-10-22</t>
  </si>
  <si>
    <t>156500.0</t>
  </si>
  <si>
    <t>140900.0</t>
  </si>
  <si>
    <t>24.27</t>
  </si>
  <si>
    <t>JSM11219</t>
  </si>
  <si>
    <t>JSM11220</t>
  </si>
  <si>
    <t>42.08</t>
  </si>
  <si>
    <t>JSM11221</t>
  </si>
  <si>
    <t>94200.0</t>
  </si>
  <si>
    <t>31.49</t>
  </si>
  <si>
    <t>JSM11222</t>
  </si>
  <si>
    <t>41.98</t>
  </si>
  <si>
    <t>JSM11223</t>
  </si>
  <si>
    <t>89900.0</t>
  </si>
  <si>
    <t>35.01</t>
  </si>
  <si>
    <t>JSM11224</t>
  </si>
  <si>
    <t>27.19</t>
  </si>
  <si>
    <t>JSM11225</t>
  </si>
  <si>
    <t>JSM11226</t>
  </si>
  <si>
    <t>45.56</t>
  </si>
  <si>
    <t>JSM11227</t>
  </si>
  <si>
    <t>14.57</t>
  </si>
  <si>
    <t>JSM11228</t>
  </si>
  <si>
    <t>JSM11229</t>
  </si>
  <si>
    <t>8.14</t>
  </si>
  <si>
    <t>JSM11230</t>
  </si>
  <si>
    <t>2026-03-12</t>
  </si>
  <si>
    <t>53.49</t>
  </si>
  <si>
    <t>JSM11231</t>
  </si>
  <si>
    <t>99000.0</t>
  </si>
  <si>
    <t>JSM11232</t>
  </si>
  <si>
    <t>57.18</t>
  </si>
  <si>
    <t>JSM11233</t>
  </si>
  <si>
    <t>17.29</t>
  </si>
  <si>
    <t>JSM11234</t>
  </si>
  <si>
    <t>98400.0</t>
  </si>
  <si>
    <t>93500.0</t>
  </si>
  <si>
    <t>22.78</t>
  </si>
  <si>
    <t>JSM11235</t>
  </si>
  <si>
    <t>JSM11236</t>
  </si>
  <si>
    <t>39.64</t>
  </si>
  <si>
    <t>JSM11237</t>
  </si>
  <si>
    <t>44.19</t>
  </si>
  <si>
    <t>JSM11238</t>
  </si>
  <si>
    <t>26.67</t>
  </si>
  <si>
    <t>JSM11239</t>
  </si>
  <si>
    <t>35.73</t>
  </si>
  <si>
    <t>JSM11240</t>
  </si>
  <si>
    <t>22.26</t>
  </si>
  <si>
    <t>JSM11241</t>
  </si>
  <si>
    <t>JSM11242</t>
  </si>
  <si>
    <t>43.82</t>
  </si>
  <si>
    <t>JSM11243</t>
  </si>
  <si>
    <t>JSM11244</t>
  </si>
  <si>
    <t>C0248</t>
  </si>
  <si>
    <t>Client 0248</t>
  </si>
  <si>
    <t>51.51</t>
  </si>
  <si>
    <t>JSM11245</t>
  </si>
  <si>
    <t>115700.0</t>
  </si>
  <si>
    <t>JSM11246</t>
  </si>
  <si>
    <t>JSM11247</t>
  </si>
  <si>
    <t>20.55</t>
  </si>
  <si>
    <t>JSM11248</t>
  </si>
  <si>
    <t>52.92</t>
  </si>
  <si>
    <t>JSM11249</t>
  </si>
  <si>
    <t>JSM11250</t>
  </si>
  <si>
    <t>27.01</t>
  </si>
  <si>
    <t>JSM11251</t>
  </si>
  <si>
    <t>2025-02-09</t>
  </si>
  <si>
    <t>JSM11252</t>
  </si>
  <si>
    <t>13.05</t>
  </si>
  <si>
    <t>JSM11253</t>
  </si>
  <si>
    <t>₹52,700</t>
  </si>
  <si>
    <t>JSM11254</t>
  </si>
  <si>
    <t>50.09</t>
  </si>
  <si>
    <t>JSM11255</t>
  </si>
  <si>
    <t>77400.0</t>
  </si>
  <si>
    <t>41.2</t>
  </si>
  <si>
    <t>JSM11256</t>
  </si>
  <si>
    <t>2025-03-04</t>
  </si>
  <si>
    <t>35.48</t>
  </si>
  <si>
    <t>JSM11257</t>
  </si>
  <si>
    <t>53.47</t>
  </si>
  <si>
    <t>JSM11258</t>
  </si>
  <si>
    <t>65600.0</t>
  </si>
  <si>
    <t>56.71</t>
  </si>
  <si>
    <t>JSM11259</t>
  </si>
  <si>
    <t>28.84</t>
  </si>
  <si>
    <t>JSM11260</t>
  </si>
  <si>
    <t>53.05</t>
  </si>
  <si>
    <t>JSM11261</t>
  </si>
  <si>
    <t>2026-03-27</t>
  </si>
  <si>
    <t>12.03</t>
  </si>
  <si>
    <t>JSM11262</t>
  </si>
  <si>
    <t>21.13</t>
  </si>
  <si>
    <t>JSM11263</t>
  </si>
  <si>
    <t>JSM11264</t>
  </si>
  <si>
    <t>29.27</t>
  </si>
  <si>
    <t>2.0</t>
  </si>
  <si>
    <t>JSM11265</t>
  </si>
  <si>
    <t>27.06</t>
  </si>
  <si>
    <t>JSM11266</t>
  </si>
  <si>
    <t>31.53</t>
  </si>
  <si>
    <t>JSM11267</t>
  </si>
  <si>
    <t>56.46</t>
  </si>
  <si>
    <t>JSM11268</t>
  </si>
  <si>
    <t>41.05</t>
  </si>
  <si>
    <t>JSM11269</t>
  </si>
  <si>
    <t xml:space="preserve"> kolkata </t>
  </si>
  <si>
    <t>32.06</t>
  </si>
  <si>
    <t>JSM11270</t>
  </si>
  <si>
    <t>2026-07-12</t>
  </si>
  <si>
    <t>26.82</t>
  </si>
  <si>
    <t>JSM11271</t>
  </si>
  <si>
    <t>27.24</t>
  </si>
  <si>
    <t>JSM11272</t>
  </si>
  <si>
    <t>14.6</t>
  </si>
  <si>
    <t>JSM11273</t>
  </si>
  <si>
    <t>2026-10-13</t>
  </si>
  <si>
    <t>51.28</t>
  </si>
  <si>
    <t>JSM11274</t>
  </si>
  <si>
    <t>JSM11275</t>
  </si>
  <si>
    <t>2025-06-23</t>
  </si>
  <si>
    <t>-300.0</t>
  </si>
  <si>
    <t>-1.64</t>
  </si>
  <si>
    <t>JSM11276</t>
  </si>
  <si>
    <t>2026-10-20</t>
  </si>
  <si>
    <t>34.76</t>
  </si>
  <si>
    <t>JSM11277</t>
  </si>
  <si>
    <t>JSM11278</t>
  </si>
  <si>
    <t>2025-09-23</t>
  </si>
  <si>
    <t>27.66</t>
  </si>
  <si>
    <t>JSM11279</t>
  </si>
  <si>
    <t>118500.0</t>
  </si>
  <si>
    <t>90500.0</t>
  </si>
  <si>
    <t>JSM11280</t>
  </si>
  <si>
    <t>JSM11281</t>
  </si>
  <si>
    <t>179400.0</t>
  </si>
  <si>
    <t>170400.0</t>
  </si>
  <si>
    <t>24.53</t>
  </si>
  <si>
    <t>JSM11282</t>
  </si>
  <si>
    <t>54.78</t>
  </si>
  <si>
    <t>JSM11283</t>
  </si>
  <si>
    <t>JSM11284</t>
  </si>
  <si>
    <t>97600.0</t>
  </si>
  <si>
    <t>46.27</t>
  </si>
  <si>
    <t>JSM11285</t>
  </si>
  <si>
    <t>80300.0</t>
  </si>
  <si>
    <t>32.25</t>
  </si>
  <si>
    <t>JSM11286</t>
  </si>
  <si>
    <t>2026-03-13</t>
  </si>
  <si>
    <t>53.01</t>
  </si>
  <si>
    <t>JSM11287</t>
  </si>
  <si>
    <t>JSM11288</t>
  </si>
  <si>
    <t>24.91</t>
  </si>
  <si>
    <t>JSM11289</t>
  </si>
  <si>
    <t>13.35</t>
  </si>
  <si>
    <t>JSM11290</t>
  </si>
  <si>
    <t>43.66</t>
  </si>
  <si>
    <t>JSM11291</t>
  </si>
  <si>
    <t>125400.0</t>
  </si>
  <si>
    <t>106600.0</t>
  </si>
  <si>
    <t>42.87</t>
  </si>
  <si>
    <t>JSM11292</t>
  </si>
  <si>
    <t>66200.0</t>
  </si>
  <si>
    <t>56.65</t>
  </si>
  <si>
    <t>JSM11293</t>
  </si>
  <si>
    <t>37.61</t>
  </si>
  <si>
    <t>JSM11294</t>
  </si>
  <si>
    <t>50.17</t>
  </si>
  <si>
    <t>JSM11295</t>
  </si>
  <si>
    <t>103800.0</t>
  </si>
  <si>
    <t>76400.0</t>
  </si>
  <si>
    <t>7.95</t>
  </si>
  <si>
    <t>JSM11296</t>
  </si>
  <si>
    <t>36.54</t>
  </si>
  <si>
    <t>JSM11297</t>
  </si>
  <si>
    <t>31.46</t>
  </si>
  <si>
    <t>JSM11298</t>
  </si>
  <si>
    <t>31.41</t>
  </si>
  <si>
    <t>JSM11299</t>
  </si>
  <si>
    <t>5.84</t>
  </si>
  <si>
    <t>JSM11300</t>
  </si>
  <si>
    <t>9.9</t>
  </si>
  <si>
    <t>JSM11301</t>
  </si>
  <si>
    <t>25.18</t>
  </si>
  <si>
    <t>JSM11302</t>
  </si>
  <si>
    <t>40.97</t>
  </si>
  <si>
    <t>JSM11303</t>
  </si>
  <si>
    <t>2025-12-12</t>
  </si>
  <si>
    <t>JSM11304</t>
  </si>
  <si>
    <t>95700.0</t>
  </si>
  <si>
    <t>JSM11305</t>
  </si>
  <si>
    <t>47.49</t>
  </si>
  <si>
    <t>JSM11306</t>
  </si>
  <si>
    <t>JSM11307</t>
  </si>
  <si>
    <t>2026-09-16</t>
  </si>
  <si>
    <t>50.97</t>
  </si>
  <si>
    <t>JSM11308</t>
  </si>
  <si>
    <t>2025-09-21</t>
  </si>
  <si>
    <t>JSM11309</t>
  </si>
  <si>
    <t>40.46</t>
  </si>
  <si>
    <t>JSM11310</t>
  </si>
  <si>
    <t>2026-03-24</t>
  </si>
  <si>
    <t>15.61</t>
  </si>
  <si>
    <t>JSM11311</t>
  </si>
  <si>
    <t>-2.39</t>
  </si>
  <si>
    <t>JSM11312</t>
  </si>
  <si>
    <t>JSM11313</t>
  </si>
  <si>
    <t>6.94</t>
  </si>
  <si>
    <t>JSM11314</t>
  </si>
  <si>
    <t>35.1</t>
  </si>
  <si>
    <t>JSM11315</t>
  </si>
  <si>
    <t>1.1</t>
  </si>
  <si>
    <t>JSM11316</t>
  </si>
  <si>
    <t>JSM11317</t>
  </si>
  <si>
    <t>35.65</t>
  </si>
  <si>
    <t>JSM11318</t>
  </si>
  <si>
    <t>JSM11319</t>
  </si>
  <si>
    <t>2025-08-12</t>
  </si>
  <si>
    <t>125700.0</t>
  </si>
  <si>
    <t>106800.0</t>
  </si>
  <si>
    <t>32.12</t>
  </si>
  <si>
    <t>JSM11320</t>
  </si>
  <si>
    <t>47.06</t>
  </si>
  <si>
    <t>JSM11321</t>
  </si>
  <si>
    <t>2026-07-03</t>
  </si>
  <si>
    <t>87500.0</t>
  </si>
  <si>
    <t>6.71</t>
  </si>
  <si>
    <t>JSM11322</t>
  </si>
  <si>
    <t>96500.0</t>
  </si>
  <si>
    <t>JSM11323</t>
  </si>
  <si>
    <t>51.25</t>
  </si>
  <si>
    <t>JSM11324</t>
  </si>
  <si>
    <t>51.13</t>
  </si>
  <si>
    <t>JSM11325</t>
  </si>
  <si>
    <t>JSM11326</t>
  </si>
  <si>
    <t>50.94</t>
  </si>
  <si>
    <t>JSM11327</t>
  </si>
  <si>
    <t>40.4</t>
  </si>
  <si>
    <t>JSM11328</t>
  </si>
  <si>
    <t>JSM11329</t>
  </si>
  <si>
    <t>2025-02-03</t>
  </si>
  <si>
    <t>20.22</t>
  </si>
  <si>
    <t>JSM11330</t>
  </si>
  <si>
    <t>C0367</t>
  </si>
  <si>
    <t>Client 0367</t>
  </si>
  <si>
    <t>41.9</t>
  </si>
  <si>
    <t>JSM11331</t>
  </si>
  <si>
    <t>22.87</t>
  </si>
  <si>
    <t>JSM11332</t>
  </si>
  <si>
    <t>30.87</t>
  </si>
  <si>
    <t>JSM11333</t>
  </si>
  <si>
    <t>2025-09-28</t>
  </si>
  <si>
    <t>27.72</t>
  </si>
  <si>
    <t>JSM11334</t>
  </si>
  <si>
    <t>2025-09-24</t>
  </si>
  <si>
    <t>JSM11335</t>
  </si>
  <si>
    <t>24.85</t>
  </si>
  <si>
    <t>JSM11336</t>
  </si>
  <si>
    <t>2025-10-26</t>
  </si>
  <si>
    <t>152800.0</t>
  </si>
  <si>
    <t>145200.0</t>
  </si>
  <si>
    <t>30.37</t>
  </si>
  <si>
    <t>JSM11337</t>
  </si>
  <si>
    <t>JSM11338</t>
  </si>
  <si>
    <t>47.66</t>
  </si>
  <si>
    <t>JSM11339</t>
  </si>
  <si>
    <t>33.83</t>
  </si>
  <si>
    <t>JSM11340</t>
  </si>
  <si>
    <t>2026-10-26</t>
  </si>
  <si>
    <t>JSM11341</t>
  </si>
  <si>
    <t>2025-08-19</t>
  </si>
  <si>
    <t>55.43</t>
  </si>
  <si>
    <t>JSM11342</t>
  </si>
  <si>
    <t>JSM11343</t>
  </si>
  <si>
    <t>13.56</t>
  </si>
  <si>
    <t>JSM11344</t>
  </si>
  <si>
    <t>2025-09-20</t>
  </si>
  <si>
    <t>JSM11345</t>
  </si>
  <si>
    <t>26.28</t>
  </si>
  <si>
    <t>JSM11346</t>
  </si>
  <si>
    <t>JSM11347</t>
  </si>
  <si>
    <t>12/10/2026</t>
  </si>
  <si>
    <t>26.4</t>
  </si>
  <si>
    <t>JSM11348</t>
  </si>
  <si>
    <t>29.21</t>
  </si>
  <si>
    <t>JSM11349</t>
  </si>
  <si>
    <t>24.38</t>
  </si>
  <si>
    <t>JSM11350</t>
  </si>
  <si>
    <t>JSM11351</t>
  </si>
  <si>
    <t>JSM11352</t>
  </si>
  <si>
    <t>20.16</t>
  </si>
  <si>
    <t>JSM11353</t>
  </si>
  <si>
    <t>46.81</t>
  </si>
  <si>
    <t>JSM11354</t>
  </si>
  <si>
    <t>37.38</t>
  </si>
  <si>
    <t>JSM11355</t>
  </si>
  <si>
    <t>JSM11356</t>
  </si>
  <si>
    <t>10.49</t>
  </si>
  <si>
    <t>JSM11357</t>
  </si>
  <si>
    <t>2026-03-04</t>
  </si>
  <si>
    <t>JSM11358</t>
  </si>
  <si>
    <t>JSM11359</t>
  </si>
  <si>
    <t>C0165</t>
  </si>
  <si>
    <t>Client 0165</t>
  </si>
  <si>
    <t>47.03</t>
  </si>
  <si>
    <t>JSM11360</t>
  </si>
  <si>
    <t>2025-06-14</t>
  </si>
  <si>
    <t>45.22</t>
  </si>
  <si>
    <t>JSM11361</t>
  </si>
  <si>
    <t>JSM11362</t>
  </si>
  <si>
    <t>₹38,200</t>
  </si>
  <si>
    <t>JSM11363</t>
  </si>
  <si>
    <t>40.06</t>
  </si>
  <si>
    <t>JSM11364</t>
  </si>
  <si>
    <t>38.86</t>
  </si>
  <si>
    <t>JSM11365</t>
  </si>
  <si>
    <t>49.46</t>
  </si>
  <si>
    <t>JSM11366</t>
  </si>
  <si>
    <t>-1.26</t>
  </si>
  <si>
    <t>JSM11367</t>
  </si>
  <si>
    <t>JSM11368</t>
  </si>
  <si>
    <t>32.96</t>
  </si>
  <si>
    <t>JSM11369</t>
  </si>
  <si>
    <t>2025-03-16</t>
  </si>
  <si>
    <t>24.2</t>
  </si>
  <si>
    <t>JSM11370</t>
  </si>
  <si>
    <t>300.0</t>
  </si>
  <si>
    <t>1.16</t>
  </si>
  <si>
    <t>JSM11371</t>
  </si>
  <si>
    <t>34.6</t>
  </si>
  <si>
    <t>JSM11372</t>
  </si>
  <si>
    <t>JSM11373</t>
  </si>
  <si>
    <t>32.24</t>
  </si>
  <si>
    <t>JSM11374</t>
  </si>
  <si>
    <t>JSM11375</t>
  </si>
  <si>
    <t>47.08</t>
  </si>
  <si>
    <t>JSM11376</t>
  </si>
  <si>
    <t>9.69</t>
  </si>
  <si>
    <t>JSM11377</t>
  </si>
  <si>
    <t>2025-08-03</t>
  </si>
  <si>
    <t>23.21</t>
  </si>
  <si>
    <t>JSM11378</t>
  </si>
  <si>
    <t>2026-06-04</t>
  </si>
  <si>
    <t>65500.0</t>
  </si>
  <si>
    <t>30.23</t>
  </si>
  <si>
    <t>JSM11379</t>
  </si>
  <si>
    <t>52.16</t>
  </si>
  <si>
    <t>JSM11380</t>
  </si>
  <si>
    <t>152400.0</t>
  </si>
  <si>
    <t>24.8</t>
  </si>
  <si>
    <t>JSM11381</t>
  </si>
  <si>
    <t>34.66</t>
  </si>
  <si>
    <t>JSM11382</t>
  </si>
  <si>
    <t>38.92</t>
  </si>
  <si>
    <t>JSM11383</t>
  </si>
  <si>
    <t>22.29</t>
  </si>
  <si>
    <t>JSM11384</t>
  </si>
  <si>
    <t>C0207</t>
  </si>
  <si>
    <t>Client 0207</t>
  </si>
  <si>
    <t>57500.0</t>
  </si>
  <si>
    <t>13.91</t>
  </si>
  <si>
    <t>JSM11385</t>
  </si>
  <si>
    <t>2025-02-05</t>
  </si>
  <si>
    <t>25.08</t>
  </si>
  <si>
    <t>JSM11386</t>
  </si>
  <si>
    <t>JSM11387</t>
  </si>
  <si>
    <t>57.58</t>
  </si>
  <si>
    <t>JSM11388</t>
  </si>
  <si>
    <t>28.78</t>
  </si>
  <si>
    <t>JSM11389</t>
  </si>
  <si>
    <t>40.91</t>
  </si>
  <si>
    <t>JSM11390</t>
  </si>
  <si>
    <t>27.54</t>
  </si>
  <si>
    <t>JSM11391</t>
  </si>
  <si>
    <t>25.31</t>
  </si>
  <si>
    <t>JSM11392</t>
  </si>
  <si>
    <t>137200.0</t>
  </si>
  <si>
    <t>116600.0</t>
  </si>
  <si>
    <t>JSM11393</t>
  </si>
  <si>
    <t>40.61</t>
  </si>
  <si>
    <t>JSM11394</t>
  </si>
  <si>
    <t>136100.0</t>
  </si>
  <si>
    <t>108900.0</t>
  </si>
  <si>
    <t>1.84</t>
  </si>
  <si>
    <t>JSM11395</t>
  </si>
  <si>
    <t>2025-04-09</t>
  </si>
  <si>
    <t>44.41</t>
  </si>
  <si>
    <t>JSM11396</t>
  </si>
  <si>
    <t>JSM11397</t>
  </si>
  <si>
    <t>11.68</t>
  </si>
  <si>
    <t>JSM11398</t>
  </si>
  <si>
    <t>JSM11399</t>
  </si>
  <si>
    <t>C0356</t>
  </si>
  <si>
    <t>Client 0356</t>
  </si>
  <si>
    <t>JSM11400</t>
  </si>
  <si>
    <t>JSM11401</t>
  </si>
  <si>
    <t>11.76</t>
  </si>
  <si>
    <t>JSM11402</t>
  </si>
  <si>
    <t>39.06</t>
  </si>
  <si>
    <t>JSM11403</t>
  </si>
  <si>
    <t>38.19</t>
  </si>
  <si>
    <t>JSM11404</t>
  </si>
  <si>
    <t>27.47</t>
  </si>
  <si>
    <t>JSM11405</t>
  </si>
  <si>
    <t>44.67</t>
  </si>
  <si>
    <t>JSM11406</t>
  </si>
  <si>
    <t>51.55</t>
  </si>
  <si>
    <t>JSM11407</t>
  </si>
  <si>
    <t>JSM11408</t>
  </si>
  <si>
    <t>41.44</t>
  </si>
  <si>
    <t>JSM11409</t>
  </si>
  <si>
    <t>47.33</t>
  </si>
  <si>
    <t>JSM11410</t>
  </si>
  <si>
    <t>JSM11411</t>
  </si>
  <si>
    <t>27.76</t>
  </si>
  <si>
    <t>JSM11412</t>
  </si>
  <si>
    <t>JSM11413</t>
  </si>
  <si>
    <t>30.8</t>
  </si>
  <si>
    <t>JSM11414</t>
  </si>
  <si>
    <t>25.92</t>
  </si>
  <si>
    <t>JSM11415</t>
  </si>
  <si>
    <t>C0150</t>
  </si>
  <si>
    <t>Client 0150</t>
  </si>
  <si>
    <t>38.98</t>
  </si>
  <si>
    <t>JSM11416</t>
  </si>
  <si>
    <t>29.2</t>
  </si>
  <si>
    <t>JSM11417</t>
  </si>
  <si>
    <t>81300.0</t>
  </si>
  <si>
    <t>36.03</t>
  </si>
  <si>
    <t>JSM11418</t>
  </si>
  <si>
    <t>2025-11-10</t>
  </si>
  <si>
    <t>69200.0</t>
  </si>
  <si>
    <t>28.92</t>
  </si>
  <si>
    <t>JSM11419</t>
  </si>
  <si>
    <t>43.96</t>
  </si>
  <si>
    <t>JSM11420</t>
  </si>
  <si>
    <t>JSM11421</t>
  </si>
  <si>
    <t>C0102</t>
  </si>
  <si>
    <t>Client 0102</t>
  </si>
  <si>
    <t>151400.0</t>
  </si>
  <si>
    <t>128700.0</t>
  </si>
  <si>
    <t>99300.0</t>
  </si>
  <si>
    <t>22.84</t>
  </si>
  <si>
    <t>JSM11422</t>
  </si>
  <si>
    <t>12.41</t>
  </si>
  <si>
    <t>JSM11423</t>
  </si>
  <si>
    <t>2026-07-16</t>
  </si>
  <si>
    <t>9.38</t>
  </si>
  <si>
    <t>JSM11424</t>
  </si>
  <si>
    <t>17.4</t>
  </si>
  <si>
    <t>JSM11425</t>
  </si>
  <si>
    <t>27.04</t>
  </si>
  <si>
    <t>JSM11426</t>
  </si>
  <si>
    <t>42.38</t>
  </si>
  <si>
    <t>JSM11427</t>
  </si>
  <si>
    <t>29.76</t>
  </si>
  <si>
    <t>JSM11428</t>
  </si>
  <si>
    <t>JSM11429</t>
  </si>
  <si>
    <t>53.43</t>
  </si>
  <si>
    <t>JSM11430</t>
  </si>
  <si>
    <t>46.65</t>
  </si>
  <si>
    <t>JSM11431</t>
  </si>
  <si>
    <t>2025-10-10</t>
  </si>
  <si>
    <t>125600.0</t>
  </si>
  <si>
    <t>113000.0</t>
  </si>
  <si>
    <t>98700.0</t>
  </si>
  <si>
    <t>12.65</t>
  </si>
  <si>
    <t>JSM11432</t>
  </si>
  <si>
    <t>21.52</t>
  </si>
  <si>
    <t>JSM11433</t>
  </si>
  <si>
    <t>JSM11434</t>
  </si>
  <si>
    <t>131700.0</t>
  </si>
  <si>
    <t>32.65</t>
  </si>
  <si>
    <t>JSM11435</t>
  </si>
  <si>
    <t>JSM11436</t>
  </si>
  <si>
    <t>3.87</t>
  </si>
  <si>
    <t>JSM11437</t>
  </si>
  <si>
    <t>20.6</t>
  </si>
  <si>
    <t>JSM11438</t>
  </si>
  <si>
    <t>C0117</t>
  </si>
  <si>
    <t>Client 0117</t>
  </si>
  <si>
    <t>21.69</t>
  </si>
  <si>
    <t>JSM11439</t>
  </si>
  <si>
    <t>139400.0</t>
  </si>
  <si>
    <t>95800.0</t>
  </si>
  <si>
    <t>JSM11440</t>
  </si>
  <si>
    <t>86300.0</t>
  </si>
  <si>
    <t>26.84</t>
  </si>
  <si>
    <t>JSM11441</t>
  </si>
  <si>
    <t>106300.0</t>
  </si>
  <si>
    <t>101000.0</t>
  </si>
  <si>
    <t>82100.0</t>
  </si>
  <si>
    <t>JSM11442</t>
  </si>
  <si>
    <t>30.48</t>
  </si>
  <si>
    <t>JSM11443</t>
  </si>
  <si>
    <t>JSM11444</t>
  </si>
  <si>
    <t>14.65</t>
  </si>
  <si>
    <t>JSM11445</t>
  </si>
  <si>
    <t>30.28</t>
  </si>
  <si>
    <t>JSM11446</t>
  </si>
  <si>
    <t>19.04</t>
  </si>
  <si>
    <t>JSM11447</t>
  </si>
  <si>
    <t>22.49</t>
  </si>
  <si>
    <t>JSM11448</t>
  </si>
  <si>
    <t>JSM11449</t>
  </si>
  <si>
    <t>JSM11450</t>
  </si>
  <si>
    <t>2025-11-07</t>
  </si>
  <si>
    <t>5.78</t>
  </si>
  <si>
    <t>JSM11451</t>
  </si>
  <si>
    <t>48.24</t>
  </si>
  <si>
    <t>JSM11452</t>
  </si>
  <si>
    <t>12.57</t>
  </si>
  <si>
    <t>JSM11453</t>
  </si>
  <si>
    <t>96000.0</t>
  </si>
  <si>
    <t>53.85</t>
  </si>
  <si>
    <t>JSM11454</t>
  </si>
  <si>
    <t>87400.0</t>
  </si>
  <si>
    <t>JSM11455</t>
  </si>
  <si>
    <t>104900.0</t>
  </si>
  <si>
    <t>99700.0</t>
  </si>
  <si>
    <t>50.35</t>
  </si>
  <si>
    <t>JSM11456</t>
  </si>
  <si>
    <t>JSM11457</t>
  </si>
  <si>
    <t>42.97</t>
  </si>
  <si>
    <t>JSM11458</t>
  </si>
  <si>
    <t>JSM11459</t>
  </si>
  <si>
    <t>36.06</t>
  </si>
  <si>
    <t>JSM11460</t>
  </si>
  <si>
    <t>16.92</t>
  </si>
  <si>
    <t>JSM11461</t>
  </si>
  <si>
    <t>36.49</t>
  </si>
  <si>
    <t>JSM11462</t>
  </si>
  <si>
    <t>11.67</t>
  </si>
  <si>
    <t>JSM11463</t>
  </si>
  <si>
    <t>39.22</t>
  </si>
  <si>
    <t>JSM11464</t>
  </si>
  <si>
    <t>2026-03-26</t>
  </si>
  <si>
    <t>18.89</t>
  </si>
  <si>
    <t>JSM11465</t>
  </si>
  <si>
    <t>40.17</t>
  </si>
  <si>
    <t>JSM11466</t>
  </si>
  <si>
    <t>12.93</t>
  </si>
  <si>
    <t>JSM11467</t>
  </si>
  <si>
    <t>2026-02-01</t>
  </si>
  <si>
    <t>JSM11468</t>
  </si>
  <si>
    <t>55.56</t>
  </si>
  <si>
    <t>JSM11469</t>
  </si>
  <si>
    <t>25.19</t>
  </si>
  <si>
    <t>JSM11470</t>
  </si>
  <si>
    <t>38.32</t>
  </si>
  <si>
    <t>JSM11471</t>
  </si>
  <si>
    <t>42.56</t>
  </si>
  <si>
    <t>JSM11472</t>
  </si>
  <si>
    <t>17.27</t>
  </si>
  <si>
    <t>JSM11473</t>
  </si>
  <si>
    <t>11.89</t>
  </si>
  <si>
    <t>JSM11474</t>
  </si>
  <si>
    <t>JSM11475</t>
  </si>
  <si>
    <t>33.45</t>
  </si>
  <si>
    <t>JSM11476</t>
  </si>
  <si>
    <t>2025-06-10</t>
  </si>
  <si>
    <t>40.31</t>
  </si>
  <si>
    <t>JSM11477</t>
  </si>
  <si>
    <t>50.11</t>
  </si>
  <si>
    <t>JSM11478</t>
  </si>
  <si>
    <t>2025-11-21</t>
  </si>
  <si>
    <t>40.08</t>
  </si>
  <si>
    <t>JSM11479</t>
  </si>
  <si>
    <t>88900.0</t>
  </si>
  <si>
    <t>31.93</t>
  </si>
  <si>
    <t>JSM11480</t>
  </si>
  <si>
    <t>76600.0</t>
  </si>
  <si>
    <t>50.13</t>
  </si>
  <si>
    <t>JSM11481</t>
  </si>
  <si>
    <t>33.19</t>
  </si>
  <si>
    <t>JSM11482</t>
  </si>
  <si>
    <t>43.92</t>
  </si>
  <si>
    <t>JSM11483</t>
  </si>
  <si>
    <t>36.16</t>
  </si>
  <si>
    <t>JSM11484</t>
  </si>
  <si>
    <t>29.13</t>
  </si>
  <si>
    <t>JSM11485</t>
  </si>
  <si>
    <t>JSM11486</t>
  </si>
  <si>
    <t>38.31</t>
  </si>
  <si>
    <t>JSM11487</t>
  </si>
  <si>
    <t>49.73</t>
  </si>
  <si>
    <t>JSM11488</t>
  </si>
  <si>
    <t>10.54</t>
  </si>
  <si>
    <t>JSM11489</t>
  </si>
  <si>
    <t>JSM11490</t>
  </si>
  <si>
    <t>7.42</t>
  </si>
  <si>
    <t>JSM11491</t>
  </si>
  <si>
    <t>JSM11492</t>
  </si>
  <si>
    <t>JSM11493</t>
  </si>
  <si>
    <t>C0039</t>
  </si>
  <si>
    <t>Client 0039</t>
  </si>
  <si>
    <t>JSM11494</t>
  </si>
  <si>
    <t>JSM11495</t>
  </si>
  <si>
    <t>21.98</t>
  </si>
  <si>
    <t>JSM11496</t>
  </si>
  <si>
    <t>34.06</t>
  </si>
  <si>
    <t>JSM11497</t>
  </si>
  <si>
    <t>39300.0</t>
  </si>
  <si>
    <t>29.19</t>
  </si>
  <si>
    <t>JSM11498</t>
  </si>
  <si>
    <t>JSM11499</t>
  </si>
  <si>
    <t>57.33</t>
  </si>
  <si>
    <t>JSM11500</t>
  </si>
  <si>
    <t>31.6</t>
  </si>
  <si>
    <t>ongoing</t>
  </si>
  <si>
    <t>Delhi Ncr</t>
  </si>
  <si>
    <t>Unknown</t>
  </si>
  <si>
    <t>Column / Area</t>
  </si>
  <si>
    <t>Issue / Check</t>
  </si>
  <si>
    <t>Records affected</t>
  </si>
  <si>
    <t>Action taken</t>
  </si>
  <si>
    <t>All columns</t>
  </si>
  <si>
    <t>Exact duplicate records</t>
  </si>
  <si>
    <t>Removed exact duplicate rows; first occurrence retained.</t>
  </si>
  <si>
    <t>Missing values</t>
  </si>
  <si>
    <t>Replaced missing values with 'Unknown'.</t>
  </si>
  <si>
    <t>Kept blank because the true value cannot safely be inferred.</t>
  </si>
  <si>
    <t>Replaced missing values with 0 (treated as no discount).</t>
  </si>
  <si>
    <t>Inconsistent text/capitalization/spacing</t>
  </si>
  <si>
    <t>Standardized to one canonical format.</t>
  </si>
  <si>
    <t>Date conversion</t>
  </si>
  <si>
    <t>Converted ISO and DD/MM/YYYY values to proper dates.</t>
  </si>
  <si>
    <t>Numeric conversion</t>
  </si>
  <si>
    <t>Converted text/currency representations to numeric.</t>
  </si>
  <si>
    <t>Invalid duration (&lt;=0 or &gt;365)</t>
  </si>
  <si>
    <t>Set invalid values to blank.</t>
  </si>
  <si>
    <t>Invalid rating outside 1–5</t>
  </si>
  <si>
    <t>Negative discount</t>
  </si>
  <si>
    <t>Replaced negative discounts with 0.</t>
  </si>
  <si>
    <t>Logical consistency</t>
  </si>
  <si>
    <t>Recalculated as Quoted Value - Discount.</t>
  </si>
  <si>
    <t>Recalculated as Revenue - Project Cost.</t>
  </si>
  <si>
    <t>Recalculated as Profit / Revenue × 100.</t>
  </si>
  <si>
    <t>Column</t>
  </si>
  <si>
    <t>Meaning</t>
  </si>
  <si>
    <t>Unique project identifier</t>
  </si>
  <si>
    <t>Unique client identifier</t>
  </si>
  <si>
    <t>Client display name</t>
  </si>
  <si>
    <t>Project start/date</t>
  </si>
  <si>
    <t>Service delivered</t>
  </si>
  <si>
    <t>Service grouping</t>
  </si>
  <si>
    <t>Client industry</t>
  </si>
  <si>
    <t>Client region</t>
  </si>
  <si>
    <t>New or returning client</t>
  </si>
  <si>
    <t>Project status</t>
  </si>
  <si>
    <t>Number of team members</t>
  </si>
  <si>
    <t>Project duration in days</t>
  </si>
  <si>
    <t>Quoted project value</t>
  </si>
  <si>
    <t>Discount amount</t>
  </si>
  <si>
    <t>Recognized project revenue</t>
  </si>
  <si>
    <t>Project delivery cost</t>
  </si>
  <si>
    <t>Profit margin percentage</t>
  </si>
  <si>
    <t>Lead source</t>
  </si>
  <si>
    <t>Marketing spend</t>
  </si>
  <si>
    <t>Customer rating 1–5</t>
  </si>
  <si>
    <t>Acquisition channel</t>
  </si>
  <si>
    <t>Year</t>
  </si>
  <si>
    <t>Calendar year</t>
  </si>
  <si>
    <t>Month</t>
  </si>
  <si>
    <t>Calendar month number</t>
  </si>
  <si>
    <t>Month_Name</t>
  </si>
  <si>
    <t>Month name</t>
  </si>
  <si>
    <t>Year_Month</t>
  </si>
  <si>
    <t>Year-month key</t>
  </si>
  <si>
    <t>Project_Value</t>
  </si>
  <si>
    <t>Project value alias</t>
  </si>
  <si>
    <t>Revenue_per_Project</t>
  </si>
  <si>
    <t>Revenue per project</t>
  </si>
  <si>
    <t>Marketing_ROI</t>
  </si>
  <si>
    <t>Marketing ROI</t>
  </si>
  <si>
    <t>KPI</t>
  </si>
  <si>
    <t>Value</t>
  </si>
  <si>
    <t>Total Revenue</t>
  </si>
  <si>
    <t>Total Profit</t>
  </si>
  <si>
    <t>Total Projects</t>
  </si>
  <si>
    <t>Total Clients</t>
  </si>
  <si>
    <t>Average Project Value</t>
  </si>
  <si>
    <t>Average Profit Margin</t>
  </si>
  <si>
    <t>Average Customer Rating</t>
  </si>
  <si>
    <t>MONTHLY REVENUE ANALYSIS</t>
  </si>
  <si>
    <t>Projects</t>
  </si>
  <si>
    <t>Avg Profit Margin</t>
  </si>
  <si>
    <t>SERVICE PERFORMANCE</t>
  </si>
  <si>
    <t>Avg Margin</t>
  </si>
  <si>
    <t>Revenue Share</t>
  </si>
  <si>
    <t>REGIONAL PERFORMANCE</t>
  </si>
  <si>
    <t>CLIENT TYPE</t>
  </si>
  <si>
    <t>Client Type</t>
  </si>
  <si>
    <t>LEAD SOURCE</t>
  </si>
  <si>
    <t>Lead Source</t>
  </si>
  <si>
    <t>Marketing Spend</t>
  </si>
  <si>
    <t>ROI</t>
  </si>
  <si>
    <t>TOP 5 CLIENTS</t>
  </si>
  <si>
    <t>Rank</t>
  </si>
  <si>
    <t>Client ID</t>
  </si>
  <si>
    <t>Client Name</t>
  </si>
  <si>
    <t>Avg Rating</t>
  </si>
  <si>
    <t>BEGINNER BUSINESS OBSERVATIONS</t>
  </si>
  <si>
    <t>2. Total revenue is ₹69,877,300 across 1,501 projects, with total profit of ₹22,734,300.</t>
  </si>
  <si>
    <t>3. Mobile App Development is the highest-revenue service, generating ₹9,331,700.</t>
  </si>
  <si>
    <t>4. Web Development generates the highest total profit at ₹3,033,500.</t>
  </si>
  <si>
    <t>5. Bengaluru is the highest-revenue region, contributing ₹10,792,000 from 212 projects.</t>
  </si>
  <si>
    <t>6. Returning clients account for 38.4% of total revenue.</t>
  </si>
  <si>
    <t>7. Direct is the largest lead source by revenue, generating ₹13,274,500.</t>
  </si>
  <si>
    <t>8. There are 405 unique clients; 358 have more than one project, giving a repeat-client rate of 88.4%.</t>
  </si>
  <si>
    <t>Business Performance Dashboard – Beginner Level</t>
  </si>
  <si>
    <t>Clients</t>
  </si>
  <si>
    <t>Avg Project Value</t>
  </si>
  <si>
    <t>INTERMEDIATE – CUSTOMER, REVENUE &amp; BUSINESS ANALYSIS</t>
  </si>
  <si>
    <t>Metric</t>
  </si>
  <si>
    <t>Unique Clients</t>
  </si>
  <si>
    <t>Repeat Clients</t>
  </si>
  <si>
    <t>Repeat Client %</t>
  </si>
  <si>
    <t>New Client Revenue</t>
  </si>
  <si>
    <t>Returning Client Revenue</t>
  </si>
  <si>
    <t>Average Revenue per Client</t>
  </si>
  <si>
    <t>SERVICE PROFITABILITY</t>
  </si>
  <si>
    <t>CUSTOMER RANKING</t>
  </si>
  <si>
    <t>MARKETING / LEAD SOURCE PERFORMANCE</t>
  </si>
  <si>
    <t>INTERMEDIATE VISUAL SUMMARY</t>
  </si>
  <si>
    <t>Margin</t>
  </si>
  <si>
    <t>EVIDENCE-BACKED INTERMEDIATE FINDINGS</t>
  </si>
  <si>
    <t>2. Mobile App Development leads revenue at ₹9,331,700, while Web Development leads total profit at ₹3,033,500.</t>
  </si>
  <si>
    <t>3. 358 of 405 clients have multiple projects (88.4%), providing a measurable repeat-business segment.</t>
  </si>
  <si>
    <t>4. Direct is the largest lead source by revenue; its marketing spend should be considered alongside revenue when evaluating performance.</t>
  </si>
  <si>
    <t>5. Bengaluru is the highest-revenue region; regional performance should be compared using both revenue and margin.</t>
  </si>
  <si>
    <t>6. Education is the largest industry by revenue and is a useful segment for deeper customer and service analysis.</t>
  </si>
  <si>
    <t>DECISION-ORIENTED RECOMMENDATIONS</t>
  </si>
  <si>
    <t>2. Compare service volume with profit margin before prioritizing growth.</t>
  </si>
  <si>
    <t>3. Use repeat-client behavior to identify services that can support retention and follow-up opportunities.</t>
  </si>
  <si>
    <t>4. Evaluate lead sources using both revenue and marketing spend rather than project count alone.</t>
  </si>
  <si>
    <t>5. Investigate high-revenue regions or industries where margins are comparatively weaker.</t>
  </si>
  <si>
    <t>6. Use the advanced Power BI dashboard to filter these findings by time, service, region, industry and client type.</t>
  </si>
  <si>
    <t xml:space="preserve"> BEGINNER BUSINESS ANALYSIS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</si>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</sst>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\₹#,##0"/>
    <numFmt numFmtId="166" formatCode="0.0"/>
    <numFmt numFmtId="167" formatCode="mmm\ yyyy"/>
    <numFmt numFmtId="168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b/>
      <sz val="11"/>
      <color rgb="FFFFFFFF"/>
      <name val="Calibri"/>
    </font>
    <font>
      <b/>
      <sz val="13"/>
      <name val="Calibri"/>
    </font>
    <font>
      <b/>
      <sz val="20"/>
      <name val="Calibri"/>
    </font>
    <font>
      <i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2" borderId="2" xfId="0" applyFont="1" applyFill="1" applyBorder="1" applyAlignment="1">
      <alignment horizontal="center"/>
    </xf>
    <xf numFmtId="0" fontId="0" fillId="0" borderId="2" xfId="0" applyBorder="1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3" fillId="2" borderId="0" xfId="0" applyFont="1" applyFill="1" applyAlignment="1">
      <alignment horizontal="center"/>
    </xf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4" fillId="0" borderId="0" xfId="0" applyFont="1"/>
    <xf numFmtId="167" fontId="0" fillId="0" borderId="0" xfId="0" applyNumberFormat="1"/>
    <xf numFmtId="168" fontId="0" fillId="0" borderId="0" xfId="0" applyNumberFormat="1"/>
    <xf numFmtId="0" fontId="5" fillId="0" borderId="0" xfId="0" applyFont="1"/>
    <xf numFmtId="0" fontId="6" fillId="0" borderId="0" xfId="0" applyFont="1"/>
    <xf numFmtId="0" fontId="3" fillId="2" borderId="0" xfId="0" applyFont="1" applyFill="1"/>
    <xf numFmtId="165" fontId="2" fillId="0" borderId="0" xfId="0" applyNumberFormat="1" applyFont="1"/>
    <xf numFmtId="3" fontId="2" fillId="0" borderId="0" xfId="0" applyNumberFormat="1" applyFont="1"/>
    <xf numFmtId="166" fontId="2" fillId="0" borderId="0" xfId="0" applyNumberFormat="1" applyFont="1"/>
    <xf numFmtId="167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Beginner_Dashboard!$B$11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Beginner_Dashboard!$A$12:$A$35</c:f>
              <c:numCache>
                <c:formatCode>mmm\ yyyy</c:formatCode>
                <c:ptCount val="24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  <c:pt idx="21">
                  <c:v>46296</c:v>
                </c:pt>
                <c:pt idx="22">
                  <c:v>46327</c:v>
                </c:pt>
                <c:pt idx="23">
                  <c:v>46357</c:v>
                </c:pt>
              </c:numCache>
            </c:numRef>
          </c:cat>
          <c:val>
            <c:numRef>
              <c:f>Beginner_Dashboard!$B$12:$B$35</c:f>
              <c:numCache>
                <c:formatCode>\₹#,##0</c:formatCode>
                <c:ptCount val="24"/>
                <c:pt idx="0">
                  <c:v>2823200</c:v>
                </c:pt>
                <c:pt idx="1">
                  <c:v>2622300</c:v>
                </c:pt>
                <c:pt idx="2">
                  <c:v>2921200</c:v>
                </c:pt>
                <c:pt idx="3">
                  <c:v>3502500</c:v>
                </c:pt>
                <c:pt idx="4">
                  <c:v>3582200</c:v>
                </c:pt>
                <c:pt idx="5">
                  <c:v>2628000</c:v>
                </c:pt>
                <c:pt idx="6">
                  <c:v>2943200</c:v>
                </c:pt>
                <c:pt idx="7">
                  <c:v>2273800</c:v>
                </c:pt>
                <c:pt idx="8">
                  <c:v>2213300</c:v>
                </c:pt>
                <c:pt idx="9">
                  <c:v>3120200</c:v>
                </c:pt>
                <c:pt idx="10">
                  <c:v>3214200</c:v>
                </c:pt>
                <c:pt idx="11">
                  <c:v>2786200</c:v>
                </c:pt>
                <c:pt idx="12">
                  <c:v>2483900</c:v>
                </c:pt>
                <c:pt idx="13">
                  <c:v>3022400</c:v>
                </c:pt>
                <c:pt idx="14">
                  <c:v>2271300</c:v>
                </c:pt>
                <c:pt idx="15">
                  <c:v>3050000</c:v>
                </c:pt>
                <c:pt idx="16">
                  <c:v>2620300</c:v>
                </c:pt>
                <c:pt idx="17">
                  <c:v>2657700</c:v>
                </c:pt>
                <c:pt idx="18">
                  <c:v>3359200</c:v>
                </c:pt>
                <c:pt idx="19">
                  <c:v>3319500</c:v>
                </c:pt>
                <c:pt idx="20">
                  <c:v>2707400</c:v>
                </c:pt>
                <c:pt idx="21">
                  <c:v>2850000</c:v>
                </c:pt>
                <c:pt idx="22">
                  <c:v>3187600</c:v>
                </c:pt>
                <c:pt idx="23">
                  <c:v>3717700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35-473A-B913-73F4DB79F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mmm\ 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Service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Beginner_Dashboard!$G$11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Beginner_Dashboard!$F$12:$F$19</c:f>
              <c:strCache>
                <c:ptCount val="8"/>
                <c:pt idx="0">
                  <c:v>SEO</c:v>
                </c:pt>
                <c:pt idx="1">
                  <c:v>Social Media Marketing</c:v>
                </c:pt>
                <c:pt idx="2">
                  <c:v>Web Design</c:v>
                </c:pt>
                <c:pt idx="3">
                  <c:v>Web Development</c:v>
                </c:pt>
                <c:pt idx="4">
                  <c:v>Content Marketing</c:v>
                </c:pt>
                <c:pt idx="5">
                  <c:v>PPC</c:v>
                </c:pt>
                <c:pt idx="6">
                  <c:v>Online Reputation Management</c:v>
                </c:pt>
                <c:pt idx="7">
                  <c:v>Mobile App Development</c:v>
                </c:pt>
              </c:strCache>
            </c:strRef>
          </c:cat>
          <c:val>
            <c:numRef>
              <c:f>Beginner_Dashboard!$G$12:$G$19</c:f>
              <c:numCache>
                <c:formatCode>\₹#,##0</c:formatCode>
                <c:ptCount val="8"/>
                <c:pt idx="0">
                  <c:v>8439000</c:v>
                </c:pt>
                <c:pt idx="1">
                  <c:v>8645500</c:v>
                </c:pt>
                <c:pt idx="2">
                  <c:v>8576500</c:v>
                </c:pt>
                <c:pt idx="3">
                  <c:v>9287200</c:v>
                </c:pt>
                <c:pt idx="4">
                  <c:v>8179100</c:v>
                </c:pt>
                <c:pt idx="5">
                  <c:v>8826000</c:v>
                </c:pt>
                <c:pt idx="6">
                  <c:v>8592300</c:v>
                </c:pt>
                <c:pt idx="7">
                  <c:v>9331700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F-4207-8BB8-2DE3DBD76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Service Revenue vs Profit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Intermediate_Analysis!$B$61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Intermediate_Analysis!$A$62:$A$69</c:f>
              <c:strCache>
                <c:ptCount val="8"/>
                <c:pt idx="0">
                  <c:v>Mobile App Development</c:v>
                </c:pt>
                <c:pt idx="1">
                  <c:v>Web Development</c:v>
                </c:pt>
                <c:pt idx="2">
                  <c:v>PPC</c:v>
                </c:pt>
                <c:pt idx="3">
                  <c:v>Social Media Marketing</c:v>
                </c:pt>
                <c:pt idx="4">
                  <c:v>Online Reputation Management</c:v>
                </c:pt>
                <c:pt idx="5">
                  <c:v>Web Design</c:v>
                </c:pt>
                <c:pt idx="6">
                  <c:v>SEO</c:v>
                </c:pt>
                <c:pt idx="7">
                  <c:v>Content Marketing</c:v>
                </c:pt>
              </c:strCache>
            </c:strRef>
          </c:cat>
          <c:val>
            <c:numRef>
              <c:f>Intermediate_Analysis!$B$62:$B$69</c:f>
              <c:numCache>
                <c:formatCode>\₹#,##0</c:formatCode>
                <c:ptCount val="8"/>
                <c:pt idx="0">
                  <c:v>9331700</c:v>
                </c:pt>
                <c:pt idx="1">
                  <c:v>9287200</c:v>
                </c:pt>
                <c:pt idx="2">
                  <c:v>8826000</c:v>
                </c:pt>
                <c:pt idx="3">
                  <c:v>8645500</c:v>
                </c:pt>
                <c:pt idx="4">
                  <c:v>8592300</c:v>
                </c:pt>
                <c:pt idx="5">
                  <c:v>8576500</c:v>
                </c:pt>
                <c:pt idx="6">
                  <c:v>8439000</c:v>
                </c:pt>
                <c:pt idx="7">
                  <c:v>8179100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8-4A80-B199-A3FF2D7032CF}"/>
            </c:ext>
          </c:extLst>
        </c:ser>
        <c:ser>
          <c:idx val="1"/>
          <c:order val="1"/>
          <c:tx>
            <c:strRef>
              <c:f>Intermediate_Analysis!$C$61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Intermediate_Analysis!$A$62:$A$69</c:f>
              <c:strCache>
                <c:ptCount val="8"/>
                <c:pt idx="0">
                  <c:v>Mobile App Development</c:v>
                </c:pt>
                <c:pt idx="1">
                  <c:v>Web Development</c:v>
                </c:pt>
                <c:pt idx="2">
                  <c:v>PPC</c:v>
                </c:pt>
                <c:pt idx="3">
                  <c:v>Social Media Marketing</c:v>
                </c:pt>
                <c:pt idx="4">
                  <c:v>Online Reputation Management</c:v>
                </c:pt>
                <c:pt idx="5">
                  <c:v>Web Design</c:v>
                </c:pt>
                <c:pt idx="6">
                  <c:v>SEO</c:v>
                </c:pt>
                <c:pt idx="7">
                  <c:v>Content Marketing</c:v>
                </c:pt>
              </c:strCache>
            </c:strRef>
          </c:cat>
          <c:val>
            <c:numRef>
              <c:f>Intermediate_Analysis!$C$62:$C$69</c:f>
              <c:numCache>
                <c:formatCode>\₹#,##0</c:formatCode>
                <c:ptCount val="8"/>
                <c:pt idx="0">
                  <c:v>2932000</c:v>
                </c:pt>
                <c:pt idx="1">
                  <c:v>3033500</c:v>
                </c:pt>
                <c:pt idx="2">
                  <c:v>2830200</c:v>
                </c:pt>
                <c:pt idx="3">
                  <c:v>2735400</c:v>
                </c:pt>
                <c:pt idx="4">
                  <c:v>2910100</c:v>
                </c:pt>
                <c:pt idx="5">
                  <c:v>2898700</c:v>
                </c:pt>
                <c:pt idx="6">
                  <c:v>2754600</c:v>
                </c:pt>
                <c:pt idx="7">
                  <c:v>2639800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8-4A80-B199-A3FF2D703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Service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37</xdr:row>
      <xdr:rowOff>0</xdr:rowOff>
    </xdr:from>
    <xdr:ext cx="468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37</xdr:row>
      <xdr:rowOff>0</xdr:rowOff>
    </xdr:from>
    <xdr:ext cx="468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60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V1502">
  <autoFilter ref="A1:V1502" xr:uid="{00000000-0009-0000-0100-000001000000}"/>
  <tableColumns count="22">
    <tableColumn id="1" xr3:uid="{00000000-0010-0000-0000-000001000000}" name="Project_ID"/>
    <tableColumn id="2" xr3:uid="{00000000-0010-0000-0000-000002000000}" name="Client_ID"/>
    <tableColumn id="3" xr3:uid="{00000000-0010-0000-0000-000003000000}" name="Client_Name"/>
    <tableColumn id="4" xr3:uid="{00000000-0010-0000-0000-000004000000}" name="Project_Date"/>
    <tableColumn id="5" xr3:uid="{00000000-0010-0000-0000-000005000000}" name="Service"/>
    <tableColumn id="6" xr3:uid="{00000000-0010-0000-0000-000006000000}" name="Service_Category"/>
    <tableColumn id="7" xr3:uid="{00000000-0010-0000-0000-000007000000}" name="Industry"/>
    <tableColumn id="8" xr3:uid="{00000000-0010-0000-0000-000008000000}" name="Region"/>
    <tableColumn id="9" xr3:uid="{00000000-0010-0000-0000-000009000000}" name="Client_Type"/>
    <tableColumn id="10" xr3:uid="{00000000-0010-0000-0000-00000A000000}" name="Project_Status"/>
    <tableColumn id="11" xr3:uid="{00000000-0010-0000-0000-00000B000000}" name="Team_Size"/>
    <tableColumn id="12" xr3:uid="{00000000-0010-0000-0000-00000C000000}" name="Project_Duration_Days"/>
    <tableColumn id="13" xr3:uid="{00000000-0010-0000-0000-00000D000000}" name="Quoted_Value"/>
    <tableColumn id="14" xr3:uid="{00000000-0010-0000-0000-00000E000000}" name="Discount"/>
    <tableColumn id="15" xr3:uid="{00000000-0010-0000-0000-00000F000000}" name="Revenue"/>
    <tableColumn id="16" xr3:uid="{00000000-0010-0000-0000-000010000000}" name="Project_Cost"/>
    <tableColumn id="17" xr3:uid="{00000000-0010-0000-0000-000011000000}" name="Profit"/>
    <tableColumn id="18" xr3:uid="{00000000-0010-0000-0000-000012000000}" name="Profit_Margin_Pct"/>
    <tableColumn id="19" xr3:uid="{00000000-0010-0000-0000-000013000000}" name="Lead_Source"/>
    <tableColumn id="20" xr3:uid="{00000000-0010-0000-0000-000014000000}" name="Marketing_Spend"/>
    <tableColumn id="21" xr3:uid="{00000000-0010-0000-0000-000015000000}" name="Customer_Rating"/>
    <tableColumn id="22" xr3:uid="{00000000-0010-0000-0000-000016000000}" name="Acquisition_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13"/>
  <sheetViews>
    <sheetView workbookViewId="0">
      <selection activeCell="E19" sqref="E19"/>
    </sheetView>
  </sheetViews>
  <sheetFormatPr defaultRowHeight="14.4" x14ac:dyDescent="0.3"/>
  <cols>
    <col min="1" max="1" width="9.77734375" bestFit="1" customWidth="1"/>
    <col min="2" max="2" width="8.5546875" bestFit="1" customWidth="1"/>
    <col min="3" max="3" width="11.77734375" bestFit="1" customWidth="1"/>
    <col min="4" max="4" width="11.88671875" bestFit="1" customWidth="1"/>
    <col min="5" max="6" width="27.33203125" bestFit="1" customWidth="1"/>
    <col min="7" max="7" width="12.88671875" bestFit="1" customWidth="1"/>
    <col min="8" max="8" width="11.44140625" bestFit="1" customWidth="1"/>
    <col min="9" max="9" width="11" bestFit="1" customWidth="1"/>
    <col min="10" max="10" width="13.33203125" bestFit="1" customWidth="1"/>
    <col min="11" max="11" width="9.88671875" bestFit="1" customWidth="1"/>
    <col min="12" max="12" width="20.5546875" bestFit="1" customWidth="1"/>
    <col min="13" max="13" width="13.21875" bestFit="1" customWidth="1"/>
    <col min="14" max="14" width="8.33203125" bestFit="1" customWidth="1"/>
    <col min="15" max="15" width="8.5546875" bestFit="1" customWidth="1"/>
    <col min="16" max="16" width="11.6640625" bestFit="1" customWidth="1"/>
    <col min="17" max="17" width="7.5546875" bestFit="1" customWidth="1"/>
    <col min="18" max="18" width="16.44140625" bestFit="1" customWidth="1"/>
    <col min="19" max="19" width="14" bestFit="1" customWidth="1"/>
    <col min="20" max="20" width="16.109375" bestFit="1" customWidth="1"/>
    <col min="21" max="21" width="15.5546875" bestFit="1" customWidth="1"/>
    <col min="22" max="22" width="18.44140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  <c r="V2" t="s">
        <v>42</v>
      </c>
    </row>
    <row r="3" spans="1:22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26</v>
      </c>
      <c r="G3" t="s">
        <v>48</v>
      </c>
      <c r="H3" t="s">
        <v>49</v>
      </c>
      <c r="I3" t="s">
        <v>29</v>
      </c>
      <c r="J3" t="s">
        <v>30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V3" t="s">
        <v>58</v>
      </c>
    </row>
    <row r="4" spans="1:22" x14ac:dyDescent="0.3">
      <c r="A4" t="s">
        <v>61</v>
      </c>
      <c r="B4" t="s">
        <v>62</v>
      </c>
      <c r="C4" t="s">
        <v>63</v>
      </c>
      <c r="D4" t="s">
        <v>64</v>
      </c>
      <c r="E4" t="s">
        <v>65</v>
      </c>
      <c r="F4" t="s">
        <v>66</v>
      </c>
      <c r="G4" t="s">
        <v>67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 t="s">
        <v>81</v>
      </c>
      <c r="V4" t="s">
        <v>82</v>
      </c>
    </row>
    <row r="5" spans="1:22" x14ac:dyDescent="0.3">
      <c r="A5" t="s">
        <v>83</v>
      </c>
      <c r="B5" t="s">
        <v>84</v>
      </c>
      <c r="C5" t="s">
        <v>85</v>
      </c>
      <c r="D5" t="s">
        <v>86</v>
      </c>
      <c r="E5" t="s">
        <v>87</v>
      </c>
      <c r="F5" t="s">
        <v>26</v>
      </c>
      <c r="G5" t="s">
        <v>67</v>
      </c>
      <c r="H5" t="s">
        <v>88</v>
      </c>
      <c r="I5" t="s">
        <v>29</v>
      </c>
      <c r="J5" t="s">
        <v>30</v>
      </c>
      <c r="K5" t="s">
        <v>89</v>
      </c>
      <c r="L5" t="s">
        <v>90</v>
      </c>
      <c r="M5" t="s">
        <v>91</v>
      </c>
      <c r="N5" t="s">
        <v>92</v>
      </c>
      <c r="O5" t="s">
        <v>93</v>
      </c>
      <c r="P5" t="s">
        <v>94</v>
      </c>
      <c r="Q5" t="s">
        <v>95</v>
      </c>
      <c r="R5" t="s">
        <v>96</v>
      </c>
      <c r="S5" t="s">
        <v>97</v>
      </c>
      <c r="T5" t="s">
        <v>92</v>
      </c>
      <c r="U5" t="s">
        <v>98</v>
      </c>
      <c r="V5" t="s">
        <v>79</v>
      </c>
    </row>
    <row r="6" spans="1:22" x14ac:dyDescent="0.3">
      <c r="A6" t="s">
        <v>99</v>
      </c>
      <c r="B6" t="s">
        <v>100</v>
      </c>
      <c r="C6" t="s">
        <v>101</v>
      </c>
      <c r="D6" t="s">
        <v>102</v>
      </c>
      <c r="E6" t="s">
        <v>87</v>
      </c>
      <c r="F6" t="s">
        <v>26</v>
      </c>
      <c r="G6" t="s">
        <v>103</v>
      </c>
      <c r="H6" t="s">
        <v>104</v>
      </c>
      <c r="I6" t="s">
        <v>69</v>
      </c>
      <c r="J6" t="s">
        <v>30</v>
      </c>
      <c r="K6" t="s">
        <v>50</v>
      </c>
      <c r="L6" t="s">
        <v>105</v>
      </c>
      <c r="M6" t="s">
        <v>106</v>
      </c>
      <c r="N6" t="s">
        <v>107</v>
      </c>
      <c r="O6" t="s">
        <v>108</v>
      </c>
      <c r="P6" t="s">
        <v>109</v>
      </c>
      <c r="Q6" t="s">
        <v>110</v>
      </c>
      <c r="R6" t="s">
        <v>111</v>
      </c>
      <c r="S6" t="s">
        <v>39</v>
      </c>
      <c r="T6" t="s">
        <v>112</v>
      </c>
      <c r="U6" t="s">
        <v>113</v>
      </c>
      <c r="V6" t="s">
        <v>114</v>
      </c>
    </row>
    <row r="7" spans="1:22" x14ac:dyDescent="0.3">
      <c r="A7" t="s">
        <v>115</v>
      </c>
      <c r="B7" t="s">
        <v>116</v>
      </c>
      <c r="C7" t="s">
        <v>117</v>
      </c>
      <c r="D7" t="s">
        <v>46</v>
      </c>
      <c r="E7" t="s">
        <v>65</v>
      </c>
      <c r="F7" t="s">
        <v>66</v>
      </c>
      <c r="G7" t="s">
        <v>118</v>
      </c>
      <c r="H7" t="s">
        <v>68</v>
      </c>
      <c r="I7" t="s">
        <v>29</v>
      </c>
      <c r="J7" t="s">
        <v>30</v>
      </c>
      <c r="K7" t="s">
        <v>89</v>
      </c>
      <c r="L7" t="s">
        <v>119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  <c r="R7" t="s">
        <v>125</v>
      </c>
      <c r="S7" t="s">
        <v>126</v>
      </c>
      <c r="T7" t="s">
        <v>127</v>
      </c>
      <c r="U7" t="s">
        <v>128</v>
      </c>
      <c r="V7" t="s">
        <v>82</v>
      </c>
    </row>
    <row r="8" spans="1:22" x14ac:dyDescent="0.3">
      <c r="A8" t="s">
        <v>129</v>
      </c>
      <c r="B8" t="s">
        <v>130</v>
      </c>
      <c r="C8" t="s">
        <v>131</v>
      </c>
      <c r="D8" t="s">
        <v>132</v>
      </c>
      <c r="E8" t="s">
        <v>133</v>
      </c>
      <c r="F8" t="s">
        <v>134</v>
      </c>
      <c r="G8" t="s">
        <v>103</v>
      </c>
      <c r="H8" t="s">
        <v>68</v>
      </c>
      <c r="I8" t="s">
        <v>69</v>
      </c>
      <c r="J8" t="s">
        <v>30</v>
      </c>
      <c r="K8" t="s">
        <v>89</v>
      </c>
      <c r="L8" t="s">
        <v>135</v>
      </c>
      <c r="M8" t="s">
        <v>136</v>
      </c>
      <c r="N8" t="s">
        <v>137</v>
      </c>
      <c r="O8" t="s">
        <v>138</v>
      </c>
      <c r="P8" t="s">
        <v>139</v>
      </c>
      <c r="Q8" t="s">
        <v>140</v>
      </c>
      <c r="R8" t="s">
        <v>141</v>
      </c>
      <c r="S8" t="s">
        <v>58</v>
      </c>
      <c r="T8" t="s">
        <v>142</v>
      </c>
      <c r="U8" t="s">
        <v>60</v>
      </c>
      <c r="V8" t="s">
        <v>79</v>
      </c>
    </row>
    <row r="9" spans="1:22" x14ac:dyDescent="0.3">
      <c r="A9" t="s">
        <v>143</v>
      </c>
      <c r="B9" t="s">
        <v>144</v>
      </c>
      <c r="C9" t="s">
        <v>145</v>
      </c>
      <c r="D9" t="s">
        <v>146</v>
      </c>
      <c r="E9" t="s">
        <v>65</v>
      </c>
      <c r="F9" t="s">
        <v>66</v>
      </c>
      <c r="G9" t="s">
        <v>147</v>
      </c>
      <c r="H9" t="s">
        <v>49</v>
      </c>
      <c r="I9" t="s">
        <v>69</v>
      </c>
      <c r="J9" t="s">
        <v>30</v>
      </c>
      <c r="K9" t="s">
        <v>50</v>
      </c>
      <c r="L9" t="s">
        <v>148</v>
      </c>
      <c r="M9" t="s">
        <v>149</v>
      </c>
      <c r="N9" t="s">
        <v>150</v>
      </c>
      <c r="O9" t="s">
        <v>151</v>
      </c>
      <c r="P9" t="s">
        <v>152</v>
      </c>
      <c r="Q9" t="s">
        <v>153</v>
      </c>
      <c r="R9" t="s">
        <v>154</v>
      </c>
      <c r="S9" t="s">
        <v>39</v>
      </c>
      <c r="T9" t="s">
        <v>137</v>
      </c>
      <c r="U9" t="s">
        <v>155</v>
      </c>
      <c r="V9" t="s">
        <v>82</v>
      </c>
    </row>
    <row r="10" spans="1:22" x14ac:dyDescent="0.3">
      <c r="A10" t="s">
        <v>156</v>
      </c>
      <c r="B10" t="s">
        <v>157</v>
      </c>
      <c r="C10" t="s">
        <v>158</v>
      </c>
      <c r="D10" t="s">
        <v>159</v>
      </c>
      <c r="E10" t="s">
        <v>160</v>
      </c>
      <c r="F10" t="s">
        <v>161</v>
      </c>
      <c r="G10" t="s">
        <v>118</v>
      </c>
      <c r="H10" t="s">
        <v>49</v>
      </c>
      <c r="I10" t="s">
        <v>29</v>
      </c>
      <c r="J10" t="s">
        <v>162</v>
      </c>
      <c r="K10" t="s">
        <v>31</v>
      </c>
      <c r="L10" t="s">
        <v>163</v>
      </c>
      <c r="M10" t="s">
        <v>164</v>
      </c>
      <c r="N10" t="s">
        <v>165</v>
      </c>
      <c r="O10" t="s">
        <v>166</v>
      </c>
      <c r="P10" t="s">
        <v>167</v>
      </c>
      <c r="Q10" t="s">
        <v>168</v>
      </c>
      <c r="R10" t="s">
        <v>169</v>
      </c>
      <c r="S10" t="s">
        <v>97</v>
      </c>
      <c r="T10" t="s">
        <v>170</v>
      </c>
      <c r="U10" t="s">
        <v>171</v>
      </c>
      <c r="V10" t="s">
        <v>79</v>
      </c>
    </row>
    <row r="11" spans="1:22" x14ac:dyDescent="0.3">
      <c r="A11" t="s">
        <v>172</v>
      </c>
      <c r="B11" t="s">
        <v>173</v>
      </c>
      <c r="C11" t="s">
        <v>174</v>
      </c>
      <c r="D11" t="s">
        <v>175</v>
      </c>
      <c r="E11" t="s">
        <v>176</v>
      </c>
      <c r="F11" t="s">
        <v>161</v>
      </c>
      <c r="G11" t="s">
        <v>67</v>
      </c>
      <c r="H11" t="s">
        <v>28</v>
      </c>
      <c r="I11" t="s">
        <v>69</v>
      </c>
      <c r="J11" t="s">
        <v>30</v>
      </c>
      <c r="K11" t="s">
        <v>71</v>
      </c>
      <c r="L11" t="s">
        <v>177</v>
      </c>
      <c r="M11" t="s">
        <v>178</v>
      </c>
      <c r="N11" t="s">
        <v>179</v>
      </c>
      <c r="O11" t="s">
        <v>178</v>
      </c>
      <c r="P11" t="s">
        <v>180</v>
      </c>
      <c r="Q11" t="s">
        <v>77</v>
      </c>
      <c r="R11" t="s">
        <v>181</v>
      </c>
      <c r="S11" t="s">
        <v>182</v>
      </c>
      <c r="T11" t="s">
        <v>183</v>
      </c>
      <c r="U11" t="s">
        <v>128</v>
      </c>
      <c r="V11" t="s">
        <v>79</v>
      </c>
    </row>
    <row r="12" spans="1:22" x14ac:dyDescent="0.3">
      <c r="A12" t="s">
        <v>184</v>
      </c>
      <c r="B12" t="s">
        <v>185</v>
      </c>
      <c r="C12" t="s">
        <v>186</v>
      </c>
      <c r="D12" t="s">
        <v>187</v>
      </c>
      <c r="E12" t="s">
        <v>188</v>
      </c>
      <c r="F12" t="s">
        <v>188</v>
      </c>
      <c r="G12" t="s">
        <v>27</v>
      </c>
      <c r="H12" t="s">
        <v>68</v>
      </c>
      <c r="I12" t="s">
        <v>29</v>
      </c>
      <c r="J12" t="s">
        <v>30</v>
      </c>
      <c r="K12" t="s">
        <v>50</v>
      </c>
      <c r="L12" t="s">
        <v>189</v>
      </c>
      <c r="M12" t="s">
        <v>190</v>
      </c>
      <c r="N12" t="s">
        <v>191</v>
      </c>
      <c r="O12" t="s">
        <v>192</v>
      </c>
      <c r="P12" t="s">
        <v>193</v>
      </c>
      <c r="Q12" t="s">
        <v>194</v>
      </c>
      <c r="R12" t="s">
        <v>195</v>
      </c>
      <c r="S12" t="s">
        <v>97</v>
      </c>
      <c r="T12" t="s">
        <v>150</v>
      </c>
      <c r="V12" t="s">
        <v>114</v>
      </c>
    </row>
    <row r="13" spans="1:22" x14ac:dyDescent="0.3">
      <c r="A13" t="s">
        <v>196</v>
      </c>
      <c r="B13" t="s">
        <v>197</v>
      </c>
      <c r="C13" t="s">
        <v>198</v>
      </c>
      <c r="D13" t="s">
        <v>199</v>
      </c>
      <c r="E13" t="s">
        <v>161</v>
      </c>
      <c r="F13" t="s">
        <v>161</v>
      </c>
      <c r="G13" t="s">
        <v>67</v>
      </c>
      <c r="H13" t="s">
        <v>88</v>
      </c>
      <c r="I13" t="s">
        <v>69</v>
      </c>
      <c r="J13" t="s">
        <v>30</v>
      </c>
      <c r="K13" t="s">
        <v>200</v>
      </c>
      <c r="L13" t="s">
        <v>201</v>
      </c>
      <c r="M13" t="s">
        <v>202</v>
      </c>
      <c r="N13" t="s">
        <v>203</v>
      </c>
      <c r="O13" t="s">
        <v>204</v>
      </c>
      <c r="P13" t="s">
        <v>205</v>
      </c>
      <c r="Q13" t="s">
        <v>206</v>
      </c>
      <c r="R13" t="s">
        <v>207</v>
      </c>
      <c r="S13" t="s">
        <v>97</v>
      </c>
      <c r="T13" t="s">
        <v>208</v>
      </c>
      <c r="U13" t="s">
        <v>171</v>
      </c>
      <c r="V13" t="s">
        <v>42</v>
      </c>
    </row>
    <row r="14" spans="1:22" x14ac:dyDescent="0.3">
      <c r="A14" t="s">
        <v>209</v>
      </c>
      <c r="B14" t="s">
        <v>210</v>
      </c>
      <c r="C14" t="s">
        <v>211</v>
      </c>
      <c r="D14" t="s">
        <v>212</v>
      </c>
      <c r="E14" t="s">
        <v>65</v>
      </c>
      <c r="F14" t="s">
        <v>66</v>
      </c>
      <c r="G14" t="s">
        <v>213</v>
      </c>
      <c r="H14" t="s">
        <v>214</v>
      </c>
      <c r="I14" t="s">
        <v>69</v>
      </c>
      <c r="J14" t="s">
        <v>30</v>
      </c>
      <c r="K14" t="s">
        <v>215</v>
      </c>
      <c r="L14" t="s">
        <v>216</v>
      </c>
      <c r="M14" t="s">
        <v>217</v>
      </c>
      <c r="N14" t="s">
        <v>218</v>
      </c>
      <c r="O14" t="s">
        <v>219</v>
      </c>
      <c r="P14" t="s">
        <v>220</v>
      </c>
      <c r="Q14" t="s">
        <v>221</v>
      </c>
      <c r="R14" t="s">
        <v>222</v>
      </c>
      <c r="S14" t="s">
        <v>39</v>
      </c>
      <c r="T14" t="s">
        <v>37</v>
      </c>
      <c r="V14" t="s">
        <v>82</v>
      </c>
    </row>
    <row r="15" spans="1:22" x14ac:dyDescent="0.3">
      <c r="A15" t="s">
        <v>223</v>
      </c>
      <c r="B15" t="s">
        <v>224</v>
      </c>
      <c r="C15" t="s">
        <v>225</v>
      </c>
      <c r="D15" t="s">
        <v>226</v>
      </c>
      <c r="E15" t="s">
        <v>227</v>
      </c>
      <c r="F15" t="s">
        <v>228</v>
      </c>
      <c r="G15" t="s">
        <v>213</v>
      </c>
      <c r="H15" t="s">
        <v>229</v>
      </c>
      <c r="I15" t="s">
        <v>69</v>
      </c>
      <c r="J15" t="s">
        <v>162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  <c r="P15" t="s">
        <v>235</v>
      </c>
      <c r="Q15" t="s">
        <v>54</v>
      </c>
      <c r="R15" t="s">
        <v>236</v>
      </c>
      <c r="S15" t="s">
        <v>79</v>
      </c>
      <c r="T15" t="s">
        <v>237</v>
      </c>
      <c r="U15" t="s">
        <v>238</v>
      </c>
      <c r="V15" t="s">
        <v>58</v>
      </c>
    </row>
    <row r="16" spans="1:22" x14ac:dyDescent="0.3">
      <c r="A16" t="s">
        <v>239</v>
      </c>
      <c r="B16" t="s">
        <v>240</v>
      </c>
      <c r="C16" t="s">
        <v>241</v>
      </c>
      <c r="D16" t="s">
        <v>242</v>
      </c>
      <c r="E16" t="s">
        <v>243</v>
      </c>
      <c r="F16" t="s">
        <v>244</v>
      </c>
      <c r="G16" t="s">
        <v>67</v>
      </c>
      <c r="H16" t="s">
        <v>49</v>
      </c>
      <c r="I16" t="s">
        <v>69</v>
      </c>
      <c r="J16" t="s">
        <v>30</v>
      </c>
      <c r="K16" t="s">
        <v>245</v>
      </c>
      <c r="L16" t="s">
        <v>246</v>
      </c>
      <c r="M16" t="s">
        <v>247</v>
      </c>
      <c r="N16" t="s">
        <v>121</v>
      </c>
      <c r="O16" t="s">
        <v>248</v>
      </c>
      <c r="P16" t="s">
        <v>249</v>
      </c>
      <c r="Q16" t="s">
        <v>250</v>
      </c>
      <c r="R16" t="s">
        <v>251</v>
      </c>
      <c r="S16" t="s">
        <v>39</v>
      </c>
      <c r="T16" t="s">
        <v>252</v>
      </c>
      <c r="U16" t="s">
        <v>60</v>
      </c>
      <c r="V16" t="s">
        <v>114</v>
      </c>
    </row>
    <row r="17" spans="1:22" x14ac:dyDescent="0.3">
      <c r="A17" t="s">
        <v>253</v>
      </c>
      <c r="B17" t="s">
        <v>254</v>
      </c>
      <c r="C17" t="s">
        <v>255</v>
      </c>
      <c r="D17" t="s">
        <v>256</v>
      </c>
      <c r="E17" t="s">
        <v>47</v>
      </c>
      <c r="F17" t="s">
        <v>26</v>
      </c>
      <c r="G17" t="s">
        <v>213</v>
      </c>
      <c r="H17" t="s">
        <v>214</v>
      </c>
      <c r="I17" t="s">
        <v>29</v>
      </c>
      <c r="J17" t="s">
        <v>257</v>
      </c>
      <c r="K17" t="s">
        <v>89</v>
      </c>
      <c r="L17" t="s">
        <v>258</v>
      </c>
      <c r="M17" t="s">
        <v>259</v>
      </c>
      <c r="N17" t="s">
        <v>112</v>
      </c>
      <c r="O17" t="s">
        <v>218</v>
      </c>
      <c r="P17" t="s">
        <v>260</v>
      </c>
      <c r="Q17" t="s">
        <v>261</v>
      </c>
      <c r="R17" t="s">
        <v>262</v>
      </c>
      <c r="S17" t="s">
        <v>182</v>
      </c>
      <c r="T17" t="s">
        <v>59</v>
      </c>
      <c r="U17" t="s">
        <v>238</v>
      </c>
      <c r="V17" t="s">
        <v>114</v>
      </c>
    </row>
    <row r="18" spans="1:22" x14ac:dyDescent="0.3">
      <c r="A18" t="s">
        <v>263</v>
      </c>
      <c r="B18" t="s">
        <v>264</v>
      </c>
      <c r="C18" t="s">
        <v>265</v>
      </c>
      <c r="D18" t="s">
        <v>266</v>
      </c>
      <c r="E18" t="s">
        <v>267</v>
      </c>
      <c r="F18" t="s">
        <v>66</v>
      </c>
      <c r="G18" t="s">
        <v>103</v>
      </c>
      <c r="H18" t="s">
        <v>268</v>
      </c>
      <c r="I18" t="s">
        <v>69</v>
      </c>
      <c r="J18" t="s">
        <v>257</v>
      </c>
      <c r="K18" t="s">
        <v>200</v>
      </c>
      <c r="L18" t="s">
        <v>269</v>
      </c>
      <c r="M18" t="s">
        <v>270</v>
      </c>
      <c r="N18" t="s">
        <v>271</v>
      </c>
      <c r="O18" t="s">
        <v>272</v>
      </c>
      <c r="P18" t="s">
        <v>273</v>
      </c>
      <c r="Q18" t="s">
        <v>274</v>
      </c>
      <c r="R18" t="s">
        <v>275</v>
      </c>
      <c r="S18" t="s">
        <v>58</v>
      </c>
      <c r="T18" t="s">
        <v>276</v>
      </c>
      <c r="U18" t="s">
        <v>277</v>
      </c>
      <c r="V18" t="s">
        <v>82</v>
      </c>
    </row>
    <row r="19" spans="1:22" x14ac:dyDescent="0.3">
      <c r="A19" t="s">
        <v>278</v>
      </c>
      <c r="B19" t="s">
        <v>279</v>
      </c>
      <c r="C19" t="s">
        <v>280</v>
      </c>
      <c r="D19" t="s">
        <v>281</v>
      </c>
      <c r="E19" t="s">
        <v>282</v>
      </c>
      <c r="F19" t="s">
        <v>282</v>
      </c>
      <c r="G19" t="s">
        <v>118</v>
      </c>
      <c r="H19" t="s">
        <v>88</v>
      </c>
      <c r="I19" t="s">
        <v>69</v>
      </c>
      <c r="J19" t="s">
        <v>30</v>
      </c>
      <c r="K19" t="s">
        <v>89</v>
      </c>
      <c r="L19" t="s">
        <v>105</v>
      </c>
      <c r="M19" t="s">
        <v>283</v>
      </c>
      <c r="N19" t="s">
        <v>252</v>
      </c>
      <c r="O19" t="s">
        <v>284</v>
      </c>
      <c r="P19" t="s">
        <v>285</v>
      </c>
      <c r="Q19" t="s">
        <v>286</v>
      </c>
      <c r="R19" t="s">
        <v>287</v>
      </c>
      <c r="S19" t="s">
        <v>182</v>
      </c>
      <c r="T19" t="s">
        <v>203</v>
      </c>
      <c r="U19" t="s">
        <v>288</v>
      </c>
      <c r="V19" t="s">
        <v>58</v>
      </c>
    </row>
    <row r="20" spans="1:22" x14ac:dyDescent="0.3">
      <c r="A20" t="s">
        <v>289</v>
      </c>
      <c r="B20" t="s">
        <v>290</v>
      </c>
      <c r="C20" t="s">
        <v>291</v>
      </c>
      <c r="D20" t="s">
        <v>292</v>
      </c>
      <c r="E20" t="s">
        <v>134</v>
      </c>
      <c r="F20" t="s">
        <v>134</v>
      </c>
      <c r="G20" t="s">
        <v>103</v>
      </c>
      <c r="H20" t="s">
        <v>104</v>
      </c>
      <c r="I20" t="s">
        <v>69</v>
      </c>
      <c r="J20" t="s">
        <v>30</v>
      </c>
      <c r="K20" t="s">
        <v>293</v>
      </c>
      <c r="L20" t="s">
        <v>294</v>
      </c>
      <c r="M20" t="s">
        <v>295</v>
      </c>
      <c r="N20" t="s">
        <v>179</v>
      </c>
      <c r="O20" t="s">
        <v>295</v>
      </c>
      <c r="P20" t="s">
        <v>296</v>
      </c>
      <c r="Q20" t="s">
        <v>297</v>
      </c>
      <c r="R20" t="s">
        <v>298</v>
      </c>
      <c r="S20" t="s">
        <v>39</v>
      </c>
      <c r="T20" t="s">
        <v>299</v>
      </c>
      <c r="U20" t="s">
        <v>300</v>
      </c>
      <c r="V20" t="s">
        <v>82</v>
      </c>
    </row>
    <row r="21" spans="1:22" x14ac:dyDescent="0.3">
      <c r="A21" t="s">
        <v>301</v>
      </c>
      <c r="B21" t="s">
        <v>302</v>
      </c>
      <c r="C21" t="s">
        <v>303</v>
      </c>
      <c r="D21" t="s">
        <v>304</v>
      </c>
      <c r="E21" t="s">
        <v>47</v>
      </c>
      <c r="F21" t="s">
        <v>26</v>
      </c>
      <c r="G21" t="s">
        <v>213</v>
      </c>
      <c r="H21" t="s">
        <v>214</v>
      </c>
      <c r="I21" t="s">
        <v>69</v>
      </c>
      <c r="J21" t="s">
        <v>70</v>
      </c>
      <c r="K21" t="s">
        <v>230</v>
      </c>
      <c r="L21" t="s">
        <v>294</v>
      </c>
      <c r="M21" t="s">
        <v>305</v>
      </c>
      <c r="N21" t="s">
        <v>306</v>
      </c>
      <c r="O21" t="s">
        <v>307</v>
      </c>
      <c r="P21" t="s">
        <v>247</v>
      </c>
      <c r="Q21" t="s">
        <v>308</v>
      </c>
      <c r="R21" t="s">
        <v>309</v>
      </c>
      <c r="S21" t="s">
        <v>79</v>
      </c>
      <c r="T21" t="s">
        <v>310</v>
      </c>
      <c r="U21" t="s">
        <v>300</v>
      </c>
      <c r="V21" t="s">
        <v>79</v>
      </c>
    </row>
    <row r="22" spans="1:22" x14ac:dyDescent="0.3">
      <c r="A22" t="s">
        <v>311</v>
      </c>
      <c r="B22" t="s">
        <v>312</v>
      </c>
      <c r="C22" t="s">
        <v>313</v>
      </c>
      <c r="D22" t="s">
        <v>314</v>
      </c>
      <c r="E22" t="s">
        <v>161</v>
      </c>
      <c r="F22" t="s">
        <v>161</v>
      </c>
      <c r="G22" t="s">
        <v>48</v>
      </c>
      <c r="H22" t="s">
        <v>28</v>
      </c>
      <c r="I22" t="s">
        <v>29</v>
      </c>
      <c r="J22" t="s">
        <v>70</v>
      </c>
      <c r="K22" t="s">
        <v>89</v>
      </c>
      <c r="L22" t="s">
        <v>315</v>
      </c>
      <c r="M22" t="s">
        <v>316</v>
      </c>
      <c r="N22" t="s">
        <v>261</v>
      </c>
      <c r="O22" t="s">
        <v>317</v>
      </c>
      <c r="P22" t="s">
        <v>318</v>
      </c>
      <c r="Q22" t="s">
        <v>319</v>
      </c>
      <c r="R22" t="s">
        <v>320</v>
      </c>
      <c r="S22" t="s">
        <v>58</v>
      </c>
      <c r="T22" t="s">
        <v>321</v>
      </c>
      <c r="U22" t="s">
        <v>60</v>
      </c>
      <c r="V22" t="s">
        <v>42</v>
      </c>
    </row>
    <row r="23" spans="1:22" x14ac:dyDescent="0.3">
      <c r="A23" t="s">
        <v>322</v>
      </c>
      <c r="B23" t="s">
        <v>323</v>
      </c>
      <c r="C23" t="s">
        <v>324</v>
      </c>
      <c r="D23" t="s">
        <v>325</v>
      </c>
      <c r="E23" t="s">
        <v>26</v>
      </c>
      <c r="F23" t="s">
        <v>26</v>
      </c>
      <c r="G23" t="s">
        <v>103</v>
      </c>
      <c r="H23" t="s">
        <v>49</v>
      </c>
      <c r="I23" t="s">
        <v>29</v>
      </c>
      <c r="J23" t="s">
        <v>70</v>
      </c>
      <c r="K23" t="s">
        <v>215</v>
      </c>
      <c r="L23" t="s">
        <v>72</v>
      </c>
      <c r="M23" t="s">
        <v>52</v>
      </c>
      <c r="N23" t="s">
        <v>179</v>
      </c>
      <c r="O23" t="s">
        <v>52</v>
      </c>
      <c r="P23" t="s">
        <v>276</v>
      </c>
      <c r="Q23" t="s">
        <v>326</v>
      </c>
      <c r="R23" t="s">
        <v>327</v>
      </c>
      <c r="S23" t="s">
        <v>79</v>
      </c>
      <c r="T23" t="s">
        <v>328</v>
      </c>
      <c r="U23" t="s">
        <v>155</v>
      </c>
      <c r="V23" t="s">
        <v>58</v>
      </c>
    </row>
    <row r="24" spans="1:22" x14ac:dyDescent="0.3">
      <c r="A24" t="s">
        <v>329</v>
      </c>
      <c r="B24" t="s">
        <v>330</v>
      </c>
      <c r="C24" t="s">
        <v>331</v>
      </c>
      <c r="D24" t="s">
        <v>332</v>
      </c>
      <c r="E24" t="s">
        <v>282</v>
      </c>
      <c r="F24" t="s">
        <v>282</v>
      </c>
      <c r="G24" t="s">
        <v>27</v>
      </c>
      <c r="H24" t="s">
        <v>214</v>
      </c>
      <c r="I24" t="s">
        <v>29</v>
      </c>
      <c r="J24" t="s">
        <v>30</v>
      </c>
      <c r="K24" t="s">
        <v>71</v>
      </c>
      <c r="L24" t="s">
        <v>333</v>
      </c>
      <c r="M24" t="s">
        <v>334</v>
      </c>
      <c r="N24" t="s">
        <v>179</v>
      </c>
      <c r="O24" t="s">
        <v>334</v>
      </c>
      <c r="P24" t="s">
        <v>335</v>
      </c>
      <c r="Q24" t="s">
        <v>336</v>
      </c>
      <c r="R24" t="s">
        <v>337</v>
      </c>
      <c r="S24" t="s">
        <v>182</v>
      </c>
      <c r="T24" t="s">
        <v>308</v>
      </c>
      <c r="U24" t="s">
        <v>60</v>
      </c>
      <c r="V24" t="s">
        <v>42</v>
      </c>
    </row>
    <row r="25" spans="1:22" x14ac:dyDescent="0.3">
      <c r="A25" t="s">
        <v>338</v>
      </c>
      <c r="B25" t="s">
        <v>339</v>
      </c>
      <c r="C25" t="s">
        <v>340</v>
      </c>
      <c r="D25" t="s">
        <v>341</v>
      </c>
      <c r="E25" t="s">
        <v>342</v>
      </c>
      <c r="F25" t="s">
        <v>244</v>
      </c>
      <c r="G25" t="s">
        <v>213</v>
      </c>
      <c r="H25" t="s">
        <v>28</v>
      </c>
      <c r="I25" t="s">
        <v>69</v>
      </c>
      <c r="J25" t="s">
        <v>257</v>
      </c>
      <c r="K25" t="s">
        <v>293</v>
      </c>
      <c r="L25" t="s">
        <v>258</v>
      </c>
      <c r="M25" t="s">
        <v>343</v>
      </c>
      <c r="N25" t="s">
        <v>344</v>
      </c>
      <c r="O25" t="s">
        <v>345</v>
      </c>
      <c r="P25" t="s">
        <v>346</v>
      </c>
      <c r="Q25" t="s">
        <v>347</v>
      </c>
      <c r="R25" t="s">
        <v>348</v>
      </c>
      <c r="S25" t="s">
        <v>58</v>
      </c>
      <c r="T25" t="s">
        <v>336</v>
      </c>
      <c r="U25" t="s">
        <v>349</v>
      </c>
      <c r="V25" t="s">
        <v>79</v>
      </c>
    </row>
    <row r="26" spans="1:22" x14ac:dyDescent="0.3">
      <c r="A26" t="s">
        <v>350</v>
      </c>
      <c r="B26" t="s">
        <v>351</v>
      </c>
      <c r="C26" t="s">
        <v>352</v>
      </c>
      <c r="D26" t="s">
        <v>353</v>
      </c>
      <c r="E26" t="s">
        <v>354</v>
      </c>
      <c r="F26" t="s">
        <v>134</v>
      </c>
      <c r="G26" t="s">
        <v>67</v>
      </c>
      <c r="H26" t="s">
        <v>214</v>
      </c>
      <c r="I26" t="s">
        <v>69</v>
      </c>
      <c r="J26" t="s">
        <v>30</v>
      </c>
      <c r="K26" t="s">
        <v>71</v>
      </c>
      <c r="L26" t="s">
        <v>119</v>
      </c>
      <c r="M26" t="s">
        <v>355</v>
      </c>
      <c r="N26" t="s">
        <v>356</v>
      </c>
      <c r="O26" t="s">
        <v>357</v>
      </c>
      <c r="P26" t="s">
        <v>358</v>
      </c>
      <c r="Q26" t="s">
        <v>359</v>
      </c>
      <c r="R26" t="s">
        <v>360</v>
      </c>
      <c r="S26" t="s">
        <v>126</v>
      </c>
      <c r="T26" t="s">
        <v>361</v>
      </c>
      <c r="U26" t="s">
        <v>362</v>
      </c>
      <c r="V26" t="s">
        <v>79</v>
      </c>
    </row>
    <row r="27" spans="1:22" x14ac:dyDescent="0.3">
      <c r="A27" t="s">
        <v>363</v>
      </c>
      <c r="B27" t="s">
        <v>364</v>
      </c>
      <c r="C27" t="s">
        <v>365</v>
      </c>
      <c r="D27" t="s">
        <v>366</v>
      </c>
      <c r="E27" t="s">
        <v>282</v>
      </c>
      <c r="F27" t="s">
        <v>282</v>
      </c>
      <c r="G27" t="s">
        <v>147</v>
      </c>
      <c r="H27" t="s">
        <v>229</v>
      </c>
      <c r="I27" t="s">
        <v>29</v>
      </c>
      <c r="J27" t="s">
        <v>30</v>
      </c>
      <c r="K27" t="s">
        <v>230</v>
      </c>
      <c r="L27" t="s">
        <v>367</v>
      </c>
      <c r="M27" t="s">
        <v>368</v>
      </c>
      <c r="N27" t="s">
        <v>369</v>
      </c>
      <c r="O27" t="s">
        <v>370</v>
      </c>
      <c r="P27" t="s">
        <v>371</v>
      </c>
      <c r="Q27" t="s">
        <v>150</v>
      </c>
      <c r="R27" t="s">
        <v>372</v>
      </c>
      <c r="S27" t="s">
        <v>39</v>
      </c>
      <c r="T27" t="s">
        <v>369</v>
      </c>
      <c r="U27" t="s">
        <v>373</v>
      </c>
      <c r="V27" t="s">
        <v>42</v>
      </c>
    </row>
    <row r="28" spans="1:22" x14ac:dyDescent="0.3">
      <c r="A28" t="s">
        <v>374</v>
      </c>
      <c r="B28" t="s">
        <v>375</v>
      </c>
      <c r="C28" t="s">
        <v>376</v>
      </c>
      <c r="D28" t="s">
        <v>377</v>
      </c>
      <c r="E28" t="s">
        <v>378</v>
      </c>
      <c r="F28" t="s">
        <v>282</v>
      </c>
      <c r="G28" t="s">
        <v>27</v>
      </c>
      <c r="H28" t="s">
        <v>68</v>
      </c>
      <c r="I28" t="s">
        <v>69</v>
      </c>
      <c r="J28" t="s">
        <v>30</v>
      </c>
      <c r="K28" t="s">
        <v>71</v>
      </c>
      <c r="L28" t="s">
        <v>135</v>
      </c>
      <c r="M28" t="s">
        <v>379</v>
      </c>
      <c r="N28" t="s">
        <v>37</v>
      </c>
      <c r="O28" t="s">
        <v>380</v>
      </c>
      <c r="P28" t="s">
        <v>381</v>
      </c>
      <c r="Q28" t="s">
        <v>382</v>
      </c>
      <c r="R28" t="s">
        <v>383</v>
      </c>
      <c r="S28" t="s">
        <v>39</v>
      </c>
      <c r="T28" t="s">
        <v>384</v>
      </c>
      <c r="U28" t="s">
        <v>385</v>
      </c>
      <c r="V28" t="s">
        <v>58</v>
      </c>
    </row>
    <row r="29" spans="1:22" x14ac:dyDescent="0.3">
      <c r="A29" t="s">
        <v>386</v>
      </c>
      <c r="B29" t="s">
        <v>387</v>
      </c>
      <c r="C29" t="s">
        <v>388</v>
      </c>
      <c r="D29" t="s">
        <v>389</v>
      </c>
      <c r="E29" t="s">
        <v>47</v>
      </c>
      <c r="F29" t="s">
        <v>26</v>
      </c>
      <c r="G29" t="s">
        <v>147</v>
      </c>
      <c r="H29" t="s">
        <v>104</v>
      </c>
      <c r="I29" t="s">
        <v>69</v>
      </c>
      <c r="J29" t="s">
        <v>30</v>
      </c>
      <c r="K29" t="s">
        <v>200</v>
      </c>
      <c r="L29" t="s">
        <v>148</v>
      </c>
      <c r="M29" t="s">
        <v>390</v>
      </c>
      <c r="N29" t="s">
        <v>179</v>
      </c>
      <c r="O29" t="s">
        <v>390</v>
      </c>
      <c r="P29" t="s">
        <v>391</v>
      </c>
      <c r="Q29" t="s">
        <v>392</v>
      </c>
      <c r="R29" t="s">
        <v>393</v>
      </c>
      <c r="S29" t="s">
        <v>58</v>
      </c>
      <c r="T29" t="s">
        <v>92</v>
      </c>
      <c r="U29" t="s">
        <v>394</v>
      </c>
      <c r="V29" t="s">
        <v>58</v>
      </c>
    </row>
    <row r="30" spans="1:22" x14ac:dyDescent="0.3">
      <c r="A30" t="s">
        <v>395</v>
      </c>
      <c r="B30" t="s">
        <v>396</v>
      </c>
      <c r="C30" t="s">
        <v>397</v>
      </c>
      <c r="D30" t="s">
        <v>398</v>
      </c>
      <c r="E30" t="s">
        <v>399</v>
      </c>
      <c r="F30" t="s">
        <v>188</v>
      </c>
      <c r="G30" t="s">
        <v>213</v>
      </c>
      <c r="H30" t="s">
        <v>268</v>
      </c>
      <c r="I30" t="s">
        <v>29</v>
      </c>
      <c r="J30" t="s">
        <v>30</v>
      </c>
      <c r="K30" t="s">
        <v>215</v>
      </c>
      <c r="L30" t="s">
        <v>400</v>
      </c>
      <c r="M30" t="s">
        <v>401</v>
      </c>
      <c r="N30" t="s">
        <v>206</v>
      </c>
      <c r="O30" t="s">
        <v>402</v>
      </c>
      <c r="P30" t="s">
        <v>403</v>
      </c>
      <c r="Q30" t="s">
        <v>404</v>
      </c>
      <c r="R30" t="s">
        <v>405</v>
      </c>
      <c r="S30" t="s">
        <v>58</v>
      </c>
      <c r="T30" t="s">
        <v>406</v>
      </c>
      <c r="U30" t="s">
        <v>407</v>
      </c>
      <c r="V30" t="s">
        <v>82</v>
      </c>
    </row>
    <row r="31" spans="1:22" x14ac:dyDescent="0.3">
      <c r="A31" t="s">
        <v>408</v>
      </c>
      <c r="B31" t="s">
        <v>409</v>
      </c>
      <c r="C31" t="s">
        <v>410</v>
      </c>
      <c r="D31" t="s">
        <v>175</v>
      </c>
      <c r="E31" t="s">
        <v>47</v>
      </c>
      <c r="F31" t="s">
        <v>26</v>
      </c>
      <c r="G31" t="s">
        <v>67</v>
      </c>
      <c r="H31" t="s">
        <v>68</v>
      </c>
      <c r="I31" t="s">
        <v>29</v>
      </c>
      <c r="J31" t="s">
        <v>30</v>
      </c>
      <c r="K31" t="s">
        <v>89</v>
      </c>
      <c r="L31" t="s">
        <v>105</v>
      </c>
      <c r="M31" t="s">
        <v>411</v>
      </c>
      <c r="N31" t="s">
        <v>179</v>
      </c>
      <c r="O31" t="s">
        <v>411</v>
      </c>
      <c r="P31" t="s">
        <v>271</v>
      </c>
      <c r="Q31" t="s">
        <v>404</v>
      </c>
      <c r="R31" t="s">
        <v>412</v>
      </c>
      <c r="S31" t="s">
        <v>126</v>
      </c>
      <c r="T31" t="s">
        <v>321</v>
      </c>
      <c r="U31" t="s">
        <v>288</v>
      </c>
      <c r="V31" t="s">
        <v>42</v>
      </c>
    </row>
    <row r="32" spans="1:22" x14ac:dyDescent="0.3">
      <c r="A32" t="s">
        <v>413</v>
      </c>
      <c r="B32" t="s">
        <v>414</v>
      </c>
      <c r="C32" t="s">
        <v>415</v>
      </c>
      <c r="D32" t="s">
        <v>416</v>
      </c>
      <c r="E32" t="s">
        <v>417</v>
      </c>
      <c r="F32" t="s">
        <v>134</v>
      </c>
      <c r="G32" t="s">
        <v>147</v>
      </c>
      <c r="H32" t="s">
        <v>268</v>
      </c>
      <c r="I32" t="s">
        <v>69</v>
      </c>
      <c r="J32" t="s">
        <v>30</v>
      </c>
      <c r="K32" t="s">
        <v>71</v>
      </c>
      <c r="L32" t="s">
        <v>315</v>
      </c>
      <c r="M32" t="s">
        <v>418</v>
      </c>
      <c r="N32" t="s">
        <v>40</v>
      </c>
      <c r="O32" t="s">
        <v>419</v>
      </c>
      <c r="P32" t="s">
        <v>420</v>
      </c>
      <c r="Q32" t="s">
        <v>421</v>
      </c>
      <c r="R32" t="s">
        <v>422</v>
      </c>
      <c r="S32" t="s">
        <v>97</v>
      </c>
      <c r="T32" t="s">
        <v>153</v>
      </c>
      <c r="U32" t="s">
        <v>423</v>
      </c>
      <c r="V32" t="s">
        <v>42</v>
      </c>
    </row>
    <row r="33" spans="1:22" x14ac:dyDescent="0.3">
      <c r="A33" t="s">
        <v>424</v>
      </c>
      <c r="B33" t="s">
        <v>425</v>
      </c>
      <c r="C33" t="s">
        <v>426</v>
      </c>
      <c r="D33" t="s">
        <v>427</v>
      </c>
      <c r="E33" t="s">
        <v>227</v>
      </c>
      <c r="F33" t="s">
        <v>228</v>
      </c>
      <c r="G33" t="s">
        <v>67</v>
      </c>
      <c r="H33" t="s">
        <v>268</v>
      </c>
      <c r="I33" t="s">
        <v>29</v>
      </c>
      <c r="J33" t="s">
        <v>70</v>
      </c>
      <c r="K33" t="s">
        <v>89</v>
      </c>
      <c r="L33" t="s">
        <v>428</v>
      </c>
      <c r="M33" t="s">
        <v>429</v>
      </c>
      <c r="N33" t="s">
        <v>260</v>
      </c>
      <c r="O33" t="s">
        <v>430</v>
      </c>
      <c r="P33" t="s">
        <v>431</v>
      </c>
      <c r="Q33" t="s">
        <v>208</v>
      </c>
      <c r="R33" t="s">
        <v>432</v>
      </c>
      <c r="S33" t="s">
        <v>182</v>
      </c>
      <c r="T33" t="s">
        <v>433</v>
      </c>
      <c r="U33" t="s">
        <v>238</v>
      </c>
      <c r="V33" t="s">
        <v>114</v>
      </c>
    </row>
    <row r="34" spans="1:22" x14ac:dyDescent="0.3">
      <c r="A34" t="s">
        <v>434</v>
      </c>
      <c r="B34" t="s">
        <v>435</v>
      </c>
      <c r="C34" t="s">
        <v>436</v>
      </c>
      <c r="D34" t="s">
        <v>437</v>
      </c>
      <c r="E34" t="s">
        <v>438</v>
      </c>
      <c r="F34" t="s">
        <v>188</v>
      </c>
      <c r="G34" t="s">
        <v>147</v>
      </c>
      <c r="H34" t="s">
        <v>104</v>
      </c>
      <c r="I34" t="s">
        <v>29</v>
      </c>
      <c r="J34" t="s">
        <v>30</v>
      </c>
      <c r="K34" t="s">
        <v>230</v>
      </c>
      <c r="L34" t="s">
        <v>51</v>
      </c>
      <c r="M34" t="s">
        <v>439</v>
      </c>
      <c r="N34" t="s">
        <v>440</v>
      </c>
      <c r="O34" t="s">
        <v>153</v>
      </c>
      <c r="P34" t="s">
        <v>441</v>
      </c>
      <c r="Q34" t="s">
        <v>80</v>
      </c>
      <c r="R34" t="s">
        <v>442</v>
      </c>
      <c r="S34" t="s">
        <v>97</v>
      </c>
      <c r="T34" t="s">
        <v>59</v>
      </c>
      <c r="U34" t="s">
        <v>41</v>
      </c>
      <c r="V34" t="s">
        <v>79</v>
      </c>
    </row>
    <row r="35" spans="1:22" x14ac:dyDescent="0.3">
      <c r="A35" t="s">
        <v>443</v>
      </c>
      <c r="B35" t="s">
        <v>444</v>
      </c>
      <c r="C35" t="s">
        <v>445</v>
      </c>
      <c r="D35" t="s">
        <v>446</v>
      </c>
      <c r="E35" t="s">
        <v>267</v>
      </c>
      <c r="F35" t="s">
        <v>66</v>
      </c>
      <c r="G35" t="s">
        <v>67</v>
      </c>
      <c r="H35" t="s">
        <v>68</v>
      </c>
      <c r="I35" t="s">
        <v>29</v>
      </c>
      <c r="J35" t="s">
        <v>70</v>
      </c>
      <c r="K35" t="s">
        <v>215</v>
      </c>
      <c r="L35" t="s">
        <v>135</v>
      </c>
      <c r="M35" t="s">
        <v>447</v>
      </c>
      <c r="N35" t="s">
        <v>448</v>
      </c>
      <c r="O35" t="s">
        <v>449</v>
      </c>
      <c r="P35" t="s">
        <v>450</v>
      </c>
      <c r="Q35" t="s">
        <v>136</v>
      </c>
      <c r="R35" t="s">
        <v>451</v>
      </c>
      <c r="S35" t="s">
        <v>97</v>
      </c>
      <c r="T35" t="s">
        <v>452</v>
      </c>
      <c r="U35" t="s">
        <v>277</v>
      </c>
      <c r="V35" t="s">
        <v>79</v>
      </c>
    </row>
    <row r="36" spans="1:22" x14ac:dyDescent="0.3">
      <c r="A36" t="s">
        <v>453</v>
      </c>
      <c r="B36" t="s">
        <v>454</v>
      </c>
      <c r="C36" t="s">
        <v>455</v>
      </c>
      <c r="D36" t="s">
        <v>456</v>
      </c>
      <c r="E36" t="s">
        <v>160</v>
      </c>
      <c r="F36" t="s">
        <v>161</v>
      </c>
      <c r="G36" t="s">
        <v>213</v>
      </c>
      <c r="H36" t="s">
        <v>88</v>
      </c>
      <c r="I36" t="s">
        <v>69</v>
      </c>
      <c r="J36" t="s">
        <v>30</v>
      </c>
      <c r="K36" t="s">
        <v>89</v>
      </c>
      <c r="L36" t="s">
        <v>111</v>
      </c>
      <c r="M36" t="s">
        <v>457</v>
      </c>
      <c r="N36" t="s">
        <v>335</v>
      </c>
      <c r="O36" t="s">
        <v>458</v>
      </c>
      <c r="P36" t="s">
        <v>368</v>
      </c>
      <c r="Q36" t="s">
        <v>459</v>
      </c>
      <c r="R36" t="s">
        <v>460</v>
      </c>
      <c r="S36" t="s">
        <v>126</v>
      </c>
      <c r="T36" t="s">
        <v>461</v>
      </c>
      <c r="U36" t="s">
        <v>98</v>
      </c>
      <c r="V36" t="s">
        <v>58</v>
      </c>
    </row>
    <row r="37" spans="1:22" x14ac:dyDescent="0.3">
      <c r="A37" t="s">
        <v>462</v>
      </c>
      <c r="B37" t="s">
        <v>463</v>
      </c>
      <c r="C37" t="s">
        <v>464</v>
      </c>
      <c r="D37" t="s">
        <v>465</v>
      </c>
      <c r="E37" t="s">
        <v>228</v>
      </c>
      <c r="F37" t="s">
        <v>228</v>
      </c>
      <c r="G37" t="s">
        <v>118</v>
      </c>
      <c r="H37" t="s">
        <v>49</v>
      </c>
      <c r="I37" t="s">
        <v>69</v>
      </c>
      <c r="J37" t="s">
        <v>30</v>
      </c>
      <c r="K37" t="s">
        <v>293</v>
      </c>
      <c r="L37" t="s">
        <v>466</v>
      </c>
      <c r="M37" t="s">
        <v>467</v>
      </c>
      <c r="N37" t="s">
        <v>468</v>
      </c>
      <c r="O37" t="s">
        <v>469</v>
      </c>
      <c r="P37" t="s">
        <v>470</v>
      </c>
      <c r="Q37" t="s">
        <v>308</v>
      </c>
      <c r="R37" t="s">
        <v>471</v>
      </c>
      <c r="S37" t="s">
        <v>97</v>
      </c>
      <c r="T37" t="s">
        <v>237</v>
      </c>
      <c r="U37" t="s">
        <v>472</v>
      </c>
      <c r="V37" t="s">
        <v>114</v>
      </c>
    </row>
    <row r="38" spans="1:22" x14ac:dyDescent="0.3">
      <c r="A38" t="s">
        <v>473</v>
      </c>
      <c r="B38" t="s">
        <v>474</v>
      </c>
      <c r="C38" t="s">
        <v>475</v>
      </c>
      <c r="D38" t="s">
        <v>476</v>
      </c>
      <c r="E38" t="s">
        <v>47</v>
      </c>
      <c r="F38" t="s">
        <v>26</v>
      </c>
      <c r="G38" t="s">
        <v>103</v>
      </c>
      <c r="H38" t="s">
        <v>68</v>
      </c>
      <c r="I38" t="s">
        <v>69</v>
      </c>
      <c r="J38" t="s">
        <v>257</v>
      </c>
      <c r="K38" t="s">
        <v>200</v>
      </c>
      <c r="L38" t="s">
        <v>269</v>
      </c>
      <c r="M38" t="s">
        <v>477</v>
      </c>
      <c r="N38" t="s">
        <v>165</v>
      </c>
      <c r="O38" t="s">
        <v>478</v>
      </c>
      <c r="P38" t="s">
        <v>479</v>
      </c>
      <c r="Q38" t="s">
        <v>480</v>
      </c>
      <c r="R38" t="s">
        <v>481</v>
      </c>
      <c r="S38" t="s">
        <v>79</v>
      </c>
      <c r="T38" t="s">
        <v>482</v>
      </c>
      <c r="U38" t="s">
        <v>373</v>
      </c>
      <c r="V38" t="s">
        <v>79</v>
      </c>
    </row>
    <row r="39" spans="1:22" x14ac:dyDescent="0.3">
      <c r="A39" t="s">
        <v>483</v>
      </c>
      <c r="B39" t="s">
        <v>484</v>
      </c>
      <c r="C39" t="s">
        <v>485</v>
      </c>
      <c r="D39" t="s">
        <v>486</v>
      </c>
      <c r="E39" t="s">
        <v>342</v>
      </c>
      <c r="F39" t="s">
        <v>244</v>
      </c>
      <c r="G39" t="s">
        <v>67</v>
      </c>
      <c r="H39" t="s">
        <v>68</v>
      </c>
      <c r="I39" t="s">
        <v>29</v>
      </c>
      <c r="J39" t="s">
        <v>70</v>
      </c>
      <c r="K39" t="s">
        <v>200</v>
      </c>
      <c r="L39" t="s">
        <v>487</v>
      </c>
      <c r="M39" t="s">
        <v>488</v>
      </c>
      <c r="N39" t="s">
        <v>489</v>
      </c>
      <c r="O39" t="s">
        <v>490</v>
      </c>
      <c r="P39" t="s">
        <v>491</v>
      </c>
      <c r="Q39" t="s">
        <v>336</v>
      </c>
      <c r="R39" t="s">
        <v>492</v>
      </c>
      <c r="S39" t="s">
        <v>97</v>
      </c>
      <c r="T39" t="s">
        <v>95</v>
      </c>
      <c r="U39" t="s">
        <v>300</v>
      </c>
      <c r="V39" t="s">
        <v>42</v>
      </c>
    </row>
    <row r="40" spans="1:22" x14ac:dyDescent="0.3">
      <c r="A40" t="s">
        <v>493</v>
      </c>
      <c r="B40" t="s">
        <v>494</v>
      </c>
      <c r="C40" t="s">
        <v>495</v>
      </c>
      <c r="D40" t="s">
        <v>496</v>
      </c>
      <c r="E40" t="s">
        <v>161</v>
      </c>
      <c r="F40" t="s">
        <v>161</v>
      </c>
      <c r="G40" t="s">
        <v>118</v>
      </c>
      <c r="H40" t="s">
        <v>268</v>
      </c>
      <c r="I40" t="s">
        <v>29</v>
      </c>
      <c r="J40" t="s">
        <v>30</v>
      </c>
      <c r="K40" t="s">
        <v>31</v>
      </c>
      <c r="L40" t="s">
        <v>32</v>
      </c>
      <c r="M40" t="s">
        <v>232</v>
      </c>
      <c r="N40" t="s">
        <v>179</v>
      </c>
      <c r="O40" t="s">
        <v>232</v>
      </c>
      <c r="P40" t="s">
        <v>497</v>
      </c>
      <c r="Q40" t="s">
        <v>326</v>
      </c>
      <c r="R40" t="s">
        <v>498</v>
      </c>
      <c r="S40" t="s">
        <v>79</v>
      </c>
      <c r="T40" t="s">
        <v>499</v>
      </c>
      <c r="U40" t="s">
        <v>41</v>
      </c>
      <c r="V40" t="s">
        <v>114</v>
      </c>
    </row>
    <row r="41" spans="1:22" x14ac:dyDescent="0.3">
      <c r="A41" t="s">
        <v>500</v>
      </c>
      <c r="B41" t="s">
        <v>501</v>
      </c>
      <c r="C41" t="s">
        <v>502</v>
      </c>
      <c r="D41" t="s">
        <v>503</v>
      </c>
      <c r="E41" t="s">
        <v>244</v>
      </c>
      <c r="F41" t="s">
        <v>244</v>
      </c>
      <c r="G41" t="s">
        <v>67</v>
      </c>
      <c r="H41" t="s">
        <v>229</v>
      </c>
      <c r="I41" t="s">
        <v>69</v>
      </c>
      <c r="J41" t="s">
        <v>30</v>
      </c>
      <c r="K41" t="s">
        <v>200</v>
      </c>
      <c r="L41" t="s">
        <v>72</v>
      </c>
      <c r="M41" t="s">
        <v>504</v>
      </c>
      <c r="N41" t="s">
        <v>179</v>
      </c>
      <c r="O41" t="s">
        <v>504</v>
      </c>
      <c r="P41" t="s">
        <v>505</v>
      </c>
      <c r="Q41" t="s">
        <v>506</v>
      </c>
      <c r="R41" t="s">
        <v>507</v>
      </c>
      <c r="S41" t="s">
        <v>97</v>
      </c>
      <c r="T41" t="s">
        <v>107</v>
      </c>
      <c r="U41" t="s">
        <v>508</v>
      </c>
      <c r="V41" t="s">
        <v>58</v>
      </c>
    </row>
    <row r="42" spans="1:22" x14ac:dyDescent="0.3">
      <c r="A42" t="s">
        <v>509</v>
      </c>
      <c r="B42" t="s">
        <v>510</v>
      </c>
      <c r="C42" t="s">
        <v>511</v>
      </c>
      <c r="D42" t="s">
        <v>512</v>
      </c>
      <c r="E42" t="s">
        <v>176</v>
      </c>
      <c r="F42" t="s">
        <v>161</v>
      </c>
      <c r="G42" t="s">
        <v>67</v>
      </c>
      <c r="H42" t="s">
        <v>68</v>
      </c>
      <c r="I42" t="s">
        <v>69</v>
      </c>
      <c r="J42" t="s">
        <v>162</v>
      </c>
      <c r="K42" t="s">
        <v>215</v>
      </c>
      <c r="L42" t="s">
        <v>513</v>
      </c>
      <c r="M42" t="s">
        <v>514</v>
      </c>
      <c r="N42" t="s">
        <v>271</v>
      </c>
      <c r="O42" t="s">
        <v>515</v>
      </c>
      <c r="P42" t="s">
        <v>357</v>
      </c>
      <c r="Q42" t="s">
        <v>516</v>
      </c>
      <c r="R42" t="s">
        <v>517</v>
      </c>
      <c r="S42" t="s">
        <v>182</v>
      </c>
      <c r="T42" t="s">
        <v>518</v>
      </c>
      <c r="U42" t="s">
        <v>41</v>
      </c>
      <c r="V42" t="s">
        <v>82</v>
      </c>
    </row>
    <row r="43" spans="1:22" x14ac:dyDescent="0.3">
      <c r="A43" t="s">
        <v>519</v>
      </c>
      <c r="B43" t="s">
        <v>520</v>
      </c>
      <c r="C43" t="s">
        <v>521</v>
      </c>
      <c r="D43" t="s">
        <v>522</v>
      </c>
      <c r="E43" t="s">
        <v>243</v>
      </c>
      <c r="F43" t="s">
        <v>244</v>
      </c>
      <c r="G43" t="s">
        <v>48</v>
      </c>
      <c r="H43" t="s">
        <v>104</v>
      </c>
      <c r="I43" t="s">
        <v>29</v>
      </c>
      <c r="J43" t="s">
        <v>30</v>
      </c>
      <c r="K43" t="s">
        <v>200</v>
      </c>
      <c r="L43" t="s">
        <v>163</v>
      </c>
      <c r="M43" t="s">
        <v>523</v>
      </c>
      <c r="N43" t="s">
        <v>524</v>
      </c>
      <c r="O43" t="s">
        <v>525</v>
      </c>
      <c r="P43" t="s">
        <v>526</v>
      </c>
      <c r="Q43" t="s">
        <v>527</v>
      </c>
      <c r="R43" t="s">
        <v>528</v>
      </c>
      <c r="S43" t="s">
        <v>58</v>
      </c>
      <c r="T43" t="s">
        <v>529</v>
      </c>
      <c r="U43" t="s">
        <v>60</v>
      </c>
      <c r="V43" t="s">
        <v>58</v>
      </c>
    </row>
    <row r="44" spans="1:22" x14ac:dyDescent="0.3">
      <c r="A44" t="s">
        <v>530</v>
      </c>
      <c r="B44" t="s">
        <v>531</v>
      </c>
      <c r="C44" t="s">
        <v>532</v>
      </c>
      <c r="D44" t="s">
        <v>533</v>
      </c>
      <c r="E44" t="s">
        <v>133</v>
      </c>
      <c r="F44" t="s">
        <v>134</v>
      </c>
      <c r="G44" t="s">
        <v>118</v>
      </c>
      <c r="H44" t="s">
        <v>28</v>
      </c>
      <c r="I44" t="s">
        <v>29</v>
      </c>
      <c r="J44" t="s">
        <v>30</v>
      </c>
      <c r="K44" t="s">
        <v>200</v>
      </c>
      <c r="L44" t="s">
        <v>534</v>
      </c>
      <c r="M44" t="s">
        <v>535</v>
      </c>
      <c r="N44" t="s">
        <v>179</v>
      </c>
      <c r="O44" t="s">
        <v>535</v>
      </c>
      <c r="P44" t="s">
        <v>505</v>
      </c>
      <c r="Q44" t="s">
        <v>336</v>
      </c>
      <c r="R44" t="s">
        <v>536</v>
      </c>
      <c r="S44" t="s">
        <v>39</v>
      </c>
      <c r="T44" t="s">
        <v>150</v>
      </c>
      <c r="U44" t="s">
        <v>537</v>
      </c>
      <c r="V44" t="s">
        <v>82</v>
      </c>
    </row>
    <row r="45" spans="1:22" x14ac:dyDescent="0.3">
      <c r="A45" t="s">
        <v>538</v>
      </c>
      <c r="B45" t="s">
        <v>539</v>
      </c>
      <c r="C45" t="s">
        <v>540</v>
      </c>
      <c r="D45" t="s">
        <v>541</v>
      </c>
      <c r="E45" t="s">
        <v>399</v>
      </c>
      <c r="F45" t="s">
        <v>188</v>
      </c>
      <c r="G45" t="s">
        <v>118</v>
      </c>
      <c r="H45" t="s">
        <v>28</v>
      </c>
      <c r="I45" t="s">
        <v>69</v>
      </c>
      <c r="J45" t="s">
        <v>30</v>
      </c>
      <c r="K45" t="s">
        <v>230</v>
      </c>
      <c r="L45" t="s">
        <v>32</v>
      </c>
      <c r="M45" t="s">
        <v>542</v>
      </c>
      <c r="N45" t="s">
        <v>543</v>
      </c>
      <c r="O45" t="s">
        <v>458</v>
      </c>
      <c r="P45" t="s">
        <v>544</v>
      </c>
      <c r="Q45" t="s">
        <v>545</v>
      </c>
      <c r="R45" t="s">
        <v>546</v>
      </c>
      <c r="S45" t="s">
        <v>97</v>
      </c>
      <c r="T45" t="s">
        <v>121</v>
      </c>
      <c r="U45" t="s">
        <v>407</v>
      </c>
      <c r="V45" t="s">
        <v>82</v>
      </c>
    </row>
    <row r="46" spans="1:22" x14ac:dyDescent="0.3">
      <c r="A46" t="s">
        <v>547</v>
      </c>
      <c r="B46" t="s">
        <v>548</v>
      </c>
      <c r="C46" t="s">
        <v>549</v>
      </c>
      <c r="D46" t="s">
        <v>550</v>
      </c>
      <c r="E46" t="s">
        <v>227</v>
      </c>
      <c r="F46" t="s">
        <v>228</v>
      </c>
      <c r="G46" t="s">
        <v>67</v>
      </c>
      <c r="H46" t="s">
        <v>28</v>
      </c>
      <c r="I46" t="s">
        <v>29</v>
      </c>
      <c r="J46" t="s">
        <v>70</v>
      </c>
      <c r="K46" t="s">
        <v>200</v>
      </c>
      <c r="L46" t="s">
        <v>551</v>
      </c>
      <c r="M46" t="s">
        <v>552</v>
      </c>
      <c r="N46" t="s">
        <v>553</v>
      </c>
      <c r="O46" t="s">
        <v>554</v>
      </c>
      <c r="P46" t="s">
        <v>555</v>
      </c>
      <c r="Q46" t="s">
        <v>140</v>
      </c>
      <c r="R46" t="s">
        <v>556</v>
      </c>
      <c r="S46" t="s">
        <v>182</v>
      </c>
      <c r="T46" t="s">
        <v>369</v>
      </c>
      <c r="U46" t="s">
        <v>171</v>
      </c>
      <c r="V46" t="s">
        <v>42</v>
      </c>
    </row>
    <row r="47" spans="1:22" x14ac:dyDescent="0.3">
      <c r="A47" t="s">
        <v>557</v>
      </c>
      <c r="B47" t="s">
        <v>558</v>
      </c>
      <c r="C47" t="s">
        <v>559</v>
      </c>
      <c r="D47" t="s">
        <v>560</v>
      </c>
      <c r="E47" t="s">
        <v>267</v>
      </c>
      <c r="F47" t="s">
        <v>66</v>
      </c>
      <c r="G47" t="s">
        <v>118</v>
      </c>
      <c r="H47" t="s">
        <v>214</v>
      </c>
      <c r="I47" t="s">
        <v>29</v>
      </c>
      <c r="J47" t="s">
        <v>70</v>
      </c>
      <c r="K47" t="s">
        <v>200</v>
      </c>
      <c r="L47" t="s">
        <v>561</v>
      </c>
      <c r="M47" t="s">
        <v>562</v>
      </c>
      <c r="N47" t="s">
        <v>336</v>
      </c>
      <c r="O47" t="s">
        <v>563</v>
      </c>
      <c r="P47" t="s">
        <v>564</v>
      </c>
      <c r="Q47" t="s">
        <v>565</v>
      </c>
      <c r="R47" t="s">
        <v>566</v>
      </c>
      <c r="S47" t="s">
        <v>58</v>
      </c>
      <c r="T47" t="s">
        <v>567</v>
      </c>
      <c r="U47" t="s">
        <v>568</v>
      </c>
      <c r="V47" t="s">
        <v>79</v>
      </c>
    </row>
    <row r="48" spans="1:22" x14ac:dyDescent="0.3">
      <c r="A48" t="s">
        <v>569</v>
      </c>
      <c r="B48" t="s">
        <v>570</v>
      </c>
      <c r="C48" t="s">
        <v>571</v>
      </c>
      <c r="D48" t="s">
        <v>572</v>
      </c>
      <c r="E48" t="s">
        <v>417</v>
      </c>
      <c r="F48" t="s">
        <v>134</v>
      </c>
      <c r="G48" t="s">
        <v>118</v>
      </c>
      <c r="H48" t="s">
        <v>104</v>
      </c>
      <c r="I48" t="s">
        <v>69</v>
      </c>
      <c r="J48" t="s">
        <v>70</v>
      </c>
      <c r="K48" t="s">
        <v>71</v>
      </c>
      <c r="L48" t="s">
        <v>333</v>
      </c>
      <c r="M48" t="s">
        <v>192</v>
      </c>
      <c r="N48" t="s">
        <v>573</v>
      </c>
      <c r="O48" t="s">
        <v>574</v>
      </c>
      <c r="P48" t="s">
        <v>411</v>
      </c>
      <c r="Q48" t="s">
        <v>518</v>
      </c>
      <c r="R48" t="s">
        <v>575</v>
      </c>
      <c r="S48" t="s">
        <v>79</v>
      </c>
      <c r="T48" t="s">
        <v>529</v>
      </c>
      <c r="U48" t="s">
        <v>277</v>
      </c>
      <c r="V48" t="s">
        <v>82</v>
      </c>
    </row>
    <row r="49" spans="1:22" x14ac:dyDescent="0.3">
      <c r="A49" t="s">
        <v>576</v>
      </c>
      <c r="B49" t="s">
        <v>577</v>
      </c>
      <c r="C49" t="s">
        <v>578</v>
      </c>
      <c r="D49" t="s">
        <v>579</v>
      </c>
      <c r="E49" t="s">
        <v>133</v>
      </c>
      <c r="F49" t="s">
        <v>134</v>
      </c>
      <c r="G49" t="s">
        <v>580</v>
      </c>
      <c r="H49" t="s">
        <v>104</v>
      </c>
      <c r="I49" t="s">
        <v>69</v>
      </c>
      <c r="J49" t="s">
        <v>30</v>
      </c>
      <c r="K49" t="s">
        <v>71</v>
      </c>
      <c r="L49" t="s">
        <v>177</v>
      </c>
      <c r="M49" t="s">
        <v>581</v>
      </c>
      <c r="N49" t="s">
        <v>179</v>
      </c>
      <c r="O49" t="s">
        <v>581</v>
      </c>
      <c r="P49" t="s">
        <v>582</v>
      </c>
      <c r="Q49" t="s">
        <v>583</v>
      </c>
      <c r="R49" t="s">
        <v>584</v>
      </c>
      <c r="S49" t="s">
        <v>58</v>
      </c>
      <c r="T49" t="s">
        <v>59</v>
      </c>
      <c r="U49" t="s">
        <v>113</v>
      </c>
      <c r="V49" t="s">
        <v>79</v>
      </c>
    </row>
    <row r="50" spans="1:22" x14ac:dyDescent="0.3">
      <c r="A50" t="s">
        <v>585</v>
      </c>
      <c r="B50" t="s">
        <v>586</v>
      </c>
      <c r="C50" t="s">
        <v>587</v>
      </c>
      <c r="D50" t="s">
        <v>588</v>
      </c>
      <c r="E50" t="s">
        <v>133</v>
      </c>
      <c r="F50" t="s">
        <v>134</v>
      </c>
      <c r="G50" t="s">
        <v>213</v>
      </c>
      <c r="H50" t="s">
        <v>88</v>
      </c>
      <c r="I50" t="s">
        <v>69</v>
      </c>
      <c r="J50" t="s">
        <v>30</v>
      </c>
      <c r="K50" t="s">
        <v>200</v>
      </c>
      <c r="L50" t="s">
        <v>551</v>
      </c>
      <c r="M50" t="s">
        <v>589</v>
      </c>
      <c r="N50" t="s">
        <v>179</v>
      </c>
      <c r="O50" t="s">
        <v>589</v>
      </c>
      <c r="P50" t="s">
        <v>590</v>
      </c>
      <c r="Q50" t="s">
        <v>591</v>
      </c>
      <c r="R50" t="s">
        <v>592</v>
      </c>
      <c r="S50" t="s">
        <v>39</v>
      </c>
      <c r="T50" t="s">
        <v>593</v>
      </c>
      <c r="U50" t="s">
        <v>300</v>
      </c>
      <c r="V50" t="s">
        <v>79</v>
      </c>
    </row>
    <row r="51" spans="1:22" x14ac:dyDescent="0.3">
      <c r="A51" t="s">
        <v>594</v>
      </c>
      <c r="B51" t="s">
        <v>595</v>
      </c>
      <c r="C51" t="s">
        <v>596</v>
      </c>
      <c r="D51" t="s">
        <v>597</v>
      </c>
      <c r="E51" t="s">
        <v>133</v>
      </c>
      <c r="F51" t="s">
        <v>134</v>
      </c>
      <c r="G51" t="s">
        <v>27</v>
      </c>
      <c r="H51" t="s">
        <v>214</v>
      </c>
      <c r="I51" t="s">
        <v>29</v>
      </c>
      <c r="J51" t="s">
        <v>30</v>
      </c>
      <c r="K51" t="s">
        <v>50</v>
      </c>
      <c r="L51" t="s">
        <v>598</v>
      </c>
      <c r="M51" t="s">
        <v>599</v>
      </c>
      <c r="N51" t="s">
        <v>600</v>
      </c>
      <c r="O51" t="s">
        <v>601</v>
      </c>
      <c r="P51" t="s">
        <v>316</v>
      </c>
      <c r="Q51" t="s">
        <v>602</v>
      </c>
      <c r="R51" t="s">
        <v>603</v>
      </c>
      <c r="S51" t="s">
        <v>79</v>
      </c>
      <c r="T51" t="s">
        <v>604</v>
      </c>
      <c r="U51" t="s">
        <v>362</v>
      </c>
      <c r="V51" t="s">
        <v>79</v>
      </c>
    </row>
    <row r="52" spans="1:22" x14ac:dyDescent="0.3">
      <c r="A52" t="s">
        <v>605</v>
      </c>
      <c r="B52" t="s">
        <v>606</v>
      </c>
      <c r="C52" t="s">
        <v>607</v>
      </c>
      <c r="D52" t="s">
        <v>608</v>
      </c>
      <c r="E52" t="s">
        <v>399</v>
      </c>
      <c r="F52" t="s">
        <v>188</v>
      </c>
      <c r="G52" t="s">
        <v>213</v>
      </c>
      <c r="H52" t="s">
        <v>214</v>
      </c>
      <c r="I52" t="s">
        <v>69</v>
      </c>
      <c r="J52" t="s">
        <v>30</v>
      </c>
      <c r="K52" t="s">
        <v>50</v>
      </c>
      <c r="L52" t="s">
        <v>216</v>
      </c>
      <c r="M52" t="s">
        <v>609</v>
      </c>
      <c r="N52" t="s">
        <v>610</v>
      </c>
      <c r="O52" t="s">
        <v>611</v>
      </c>
      <c r="P52" t="s">
        <v>359</v>
      </c>
      <c r="Q52" t="s">
        <v>167</v>
      </c>
      <c r="R52" t="s">
        <v>612</v>
      </c>
      <c r="S52" t="s">
        <v>58</v>
      </c>
      <c r="T52" t="s">
        <v>613</v>
      </c>
      <c r="U52" t="s">
        <v>407</v>
      </c>
      <c r="V52" t="s">
        <v>82</v>
      </c>
    </row>
    <row r="53" spans="1:22" x14ac:dyDescent="0.3">
      <c r="A53" t="s">
        <v>614</v>
      </c>
      <c r="B53" t="s">
        <v>615</v>
      </c>
      <c r="C53" t="s">
        <v>616</v>
      </c>
      <c r="D53" t="s">
        <v>617</v>
      </c>
      <c r="E53" t="s">
        <v>133</v>
      </c>
      <c r="F53" t="s">
        <v>134</v>
      </c>
      <c r="G53" t="s">
        <v>67</v>
      </c>
      <c r="H53" t="s">
        <v>214</v>
      </c>
      <c r="I53" t="s">
        <v>69</v>
      </c>
      <c r="J53" t="s">
        <v>30</v>
      </c>
      <c r="K53" t="s">
        <v>50</v>
      </c>
      <c r="L53" t="s">
        <v>428</v>
      </c>
      <c r="M53" t="s">
        <v>618</v>
      </c>
      <c r="N53" t="s">
        <v>299</v>
      </c>
      <c r="O53" t="s">
        <v>619</v>
      </c>
      <c r="P53" t="s">
        <v>620</v>
      </c>
      <c r="Q53" t="s">
        <v>621</v>
      </c>
      <c r="R53" t="s">
        <v>622</v>
      </c>
      <c r="S53" t="s">
        <v>39</v>
      </c>
      <c r="T53" t="s">
        <v>121</v>
      </c>
      <c r="U53" t="s">
        <v>407</v>
      </c>
      <c r="V53" t="s">
        <v>82</v>
      </c>
    </row>
    <row r="54" spans="1:22" x14ac:dyDescent="0.3">
      <c r="A54" t="s">
        <v>623</v>
      </c>
      <c r="B54" t="s">
        <v>624</v>
      </c>
      <c r="C54" t="s">
        <v>625</v>
      </c>
      <c r="D54" t="s">
        <v>626</v>
      </c>
      <c r="E54" t="s">
        <v>134</v>
      </c>
      <c r="F54" t="s">
        <v>134</v>
      </c>
      <c r="G54" t="s">
        <v>213</v>
      </c>
      <c r="H54" t="s">
        <v>68</v>
      </c>
      <c r="I54" t="s">
        <v>29</v>
      </c>
      <c r="J54" t="s">
        <v>162</v>
      </c>
      <c r="K54" t="s">
        <v>215</v>
      </c>
      <c r="L54" t="s">
        <v>333</v>
      </c>
      <c r="M54" t="s">
        <v>627</v>
      </c>
      <c r="N54" t="s">
        <v>179</v>
      </c>
      <c r="O54" t="s">
        <v>627</v>
      </c>
      <c r="P54" t="s">
        <v>218</v>
      </c>
      <c r="Q54" t="s">
        <v>628</v>
      </c>
      <c r="R54" t="s">
        <v>629</v>
      </c>
      <c r="S54" t="s">
        <v>79</v>
      </c>
      <c r="T54" t="s">
        <v>165</v>
      </c>
      <c r="U54" t="s">
        <v>60</v>
      </c>
      <c r="V54" t="s">
        <v>79</v>
      </c>
    </row>
    <row r="55" spans="1:22" x14ac:dyDescent="0.3">
      <c r="A55" t="s">
        <v>630</v>
      </c>
      <c r="B55" t="s">
        <v>631</v>
      </c>
      <c r="C55" t="s">
        <v>632</v>
      </c>
      <c r="D55" t="s">
        <v>633</v>
      </c>
      <c r="E55" t="s">
        <v>634</v>
      </c>
      <c r="F55" t="s">
        <v>228</v>
      </c>
      <c r="G55" t="s">
        <v>580</v>
      </c>
      <c r="H55" t="s">
        <v>28</v>
      </c>
      <c r="I55" t="s">
        <v>69</v>
      </c>
      <c r="J55" t="s">
        <v>30</v>
      </c>
      <c r="K55" t="s">
        <v>89</v>
      </c>
      <c r="L55" t="s">
        <v>561</v>
      </c>
      <c r="M55" t="s">
        <v>635</v>
      </c>
      <c r="N55" t="s">
        <v>276</v>
      </c>
      <c r="O55" t="s">
        <v>636</v>
      </c>
      <c r="P55" t="s">
        <v>479</v>
      </c>
      <c r="Q55" t="s">
        <v>637</v>
      </c>
      <c r="R55" t="s">
        <v>638</v>
      </c>
      <c r="S55" t="s">
        <v>39</v>
      </c>
      <c r="T55" t="s">
        <v>321</v>
      </c>
      <c r="U55" t="s">
        <v>472</v>
      </c>
      <c r="V55" t="s">
        <v>114</v>
      </c>
    </row>
    <row r="56" spans="1:22" x14ac:dyDescent="0.3">
      <c r="A56" t="s">
        <v>639</v>
      </c>
      <c r="B56" t="s">
        <v>640</v>
      </c>
      <c r="C56" t="s">
        <v>641</v>
      </c>
      <c r="D56" t="s">
        <v>642</v>
      </c>
      <c r="E56" t="s">
        <v>160</v>
      </c>
      <c r="F56" t="s">
        <v>161</v>
      </c>
      <c r="G56" t="s">
        <v>48</v>
      </c>
      <c r="H56" t="s">
        <v>214</v>
      </c>
      <c r="I56" t="s">
        <v>69</v>
      </c>
      <c r="J56" t="s">
        <v>162</v>
      </c>
      <c r="K56" t="s">
        <v>293</v>
      </c>
      <c r="L56" t="s">
        <v>487</v>
      </c>
      <c r="M56" t="s">
        <v>643</v>
      </c>
      <c r="N56" t="s">
        <v>613</v>
      </c>
      <c r="O56" t="s">
        <v>644</v>
      </c>
      <c r="P56" t="s">
        <v>645</v>
      </c>
      <c r="Q56" t="s">
        <v>646</v>
      </c>
      <c r="R56" t="s">
        <v>647</v>
      </c>
      <c r="S56" t="s">
        <v>39</v>
      </c>
      <c r="T56" t="s">
        <v>648</v>
      </c>
      <c r="U56" t="s">
        <v>472</v>
      </c>
      <c r="V56" t="s">
        <v>82</v>
      </c>
    </row>
    <row r="57" spans="1:22" x14ac:dyDescent="0.3">
      <c r="A57" t="s">
        <v>649</v>
      </c>
      <c r="B57" t="s">
        <v>650</v>
      </c>
      <c r="C57" t="s">
        <v>651</v>
      </c>
      <c r="D57" t="s">
        <v>652</v>
      </c>
      <c r="E57" t="s">
        <v>267</v>
      </c>
      <c r="F57" t="s">
        <v>66</v>
      </c>
      <c r="G57" t="s">
        <v>103</v>
      </c>
      <c r="H57" t="s">
        <v>214</v>
      </c>
      <c r="I57" t="s">
        <v>69</v>
      </c>
      <c r="J57" t="s">
        <v>30</v>
      </c>
      <c r="K57" t="s">
        <v>200</v>
      </c>
      <c r="L57" t="s">
        <v>653</v>
      </c>
      <c r="M57" t="s">
        <v>654</v>
      </c>
      <c r="N57" t="s">
        <v>655</v>
      </c>
      <c r="O57" t="s">
        <v>656</v>
      </c>
      <c r="P57" t="s">
        <v>657</v>
      </c>
      <c r="Q57" t="s">
        <v>600</v>
      </c>
      <c r="R57" t="s">
        <v>658</v>
      </c>
      <c r="S57" t="s">
        <v>79</v>
      </c>
      <c r="T57" t="s">
        <v>40</v>
      </c>
      <c r="U57" t="s">
        <v>300</v>
      </c>
      <c r="V57" t="s">
        <v>82</v>
      </c>
    </row>
    <row r="58" spans="1:22" x14ac:dyDescent="0.3">
      <c r="A58" t="s">
        <v>659</v>
      </c>
      <c r="B58" t="s">
        <v>660</v>
      </c>
      <c r="C58" t="s">
        <v>661</v>
      </c>
      <c r="D58" t="s">
        <v>662</v>
      </c>
      <c r="E58" t="s">
        <v>160</v>
      </c>
      <c r="F58" t="s">
        <v>161</v>
      </c>
      <c r="G58" t="s">
        <v>48</v>
      </c>
      <c r="H58" t="s">
        <v>68</v>
      </c>
      <c r="I58" t="s">
        <v>69</v>
      </c>
      <c r="J58" t="s">
        <v>30</v>
      </c>
      <c r="K58" t="s">
        <v>200</v>
      </c>
      <c r="L58" t="s">
        <v>663</v>
      </c>
      <c r="M58" t="s">
        <v>664</v>
      </c>
      <c r="O58" t="s">
        <v>665</v>
      </c>
      <c r="P58" t="s">
        <v>666</v>
      </c>
      <c r="Q58" t="s">
        <v>260</v>
      </c>
      <c r="R58" t="s">
        <v>667</v>
      </c>
      <c r="S58" t="s">
        <v>58</v>
      </c>
      <c r="T58" t="s">
        <v>448</v>
      </c>
      <c r="U58" t="s">
        <v>407</v>
      </c>
      <c r="V58" t="s">
        <v>114</v>
      </c>
    </row>
    <row r="59" spans="1:22" x14ac:dyDescent="0.3">
      <c r="A59" t="s">
        <v>668</v>
      </c>
      <c r="B59" t="s">
        <v>669</v>
      </c>
      <c r="C59" t="s">
        <v>670</v>
      </c>
      <c r="D59" t="s">
        <v>671</v>
      </c>
      <c r="E59" t="s">
        <v>672</v>
      </c>
      <c r="F59" t="s">
        <v>244</v>
      </c>
      <c r="G59" t="s">
        <v>213</v>
      </c>
      <c r="H59" t="s">
        <v>214</v>
      </c>
      <c r="I59" t="s">
        <v>69</v>
      </c>
      <c r="J59" t="s">
        <v>30</v>
      </c>
      <c r="K59" t="s">
        <v>293</v>
      </c>
      <c r="L59" t="s">
        <v>294</v>
      </c>
      <c r="M59" t="s">
        <v>673</v>
      </c>
      <c r="N59" t="s">
        <v>392</v>
      </c>
      <c r="O59" t="s">
        <v>674</v>
      </c>
      <c r="P59" t="s">
        <v>525</v>
      </c>
      <c r="Q59" t="s">
        <v>675</v>
      </c>
      <c r="R59" t="s">
        <v>676</v>
      </c>
      <c r="S59" t="s">
        <v>79</v>
      </c>
      <c r="T59" t="s">
        <v>677</v>
      </c>
      <c r="U59" t="s">
        <v>362</v>
      </c>
      <c r="V59" t="s">
        <v>42</v>
      </c>
    </row>
    <row r="60" spans="1:22" x14ac:dyDescent="0.3">
      <c r="A60" t="s">
        <v>678</v>
      </c>
      <c r="B60" t="s">
        <v>679</v>
      </c>
      <c r="C60" t="s">
        <v>680</v>
      </c>
      <c r="D60" t="s">
        <v>681</v>
      </c>
      <c r="E60" t="s">
        <v>65</v>
      </c>
      <c r="F60" t="s">
        <v>66</v>
      </c>
      <c r="G60" t="s">
        <v>48</v>
      </c>
      <c r="H60" t="s">
        <v>268</v>
      </c>
      <c r="I60" t="s">
        <v>69</v>
      </c>
      <c r="J60" t="s">
        <v>30</v>
      </c>
      <c r="K60" t="s">
        <v>31</v>
      </c>
      <c r="L60" t="s">
        <v>682</v>
      </c>
      <c r="M60" t="s">
        <v>683</v>
      </c>
      <c r="N60" t="s">
        <v>461</v>
      </c>
      <c r="O60" t="s">
        <v>684</v>
      </c>
      <c r="P60" t="s">
        <v>497</v>
      </c>
      <c r="Q60" t="s">
        <v>685</v>
      </c>
      <c r="R60" t="s">
        <v>169</v>
      </c>
      <c r="S60" t="s">
        <v>58</v>
      </c>
      <c r="T60" t="s">
        <v>686</v>
      </c>
      <c r="U60" t="s">
        <v>568</v>
      </c>
      <c r="V60" t="s">
        <v>82</v>
      </c>
    </row>
    <row r="61" spans="1:22" x14ac:dyDescent="0.3">
      <c r="A61" t="s">
        <v>687</v>
      </c>
      <c r="B61" t="s">
        <v>688</v>
      </c>
      <c r="C61" t="s">
        <v>689</v>
      </c>
      <c r="D61" t="s">
        <v>690</v>
      </c>
      <c r="E61" t="s">
        <v>87</v>
      </c>
      <c r="F61" t="s">
        <v>26</v>
      </c>
      <c r="G61" t="s">
        <v>103</v>
      </c>
      <c r="H61" t="s">
        <v>104</v>
      </c>
      <c r="I61" t="s">
        <v>69</v>
      </c>
      <c r="J61" t="s">
        <v>30</v>
      </c>
      <c r="K61" t="s">
        <v>50</v>
      </c>
      <c r="L61" t="s">
        <v>691</v>
      </c>
      <c r="M61" t="s">
        <v>692</v>
      </c>
      <c r="N61" t="s">
        <v>648</v>
      </c>
      <c r="O61" t="s">
        <v>693</v>
      </c>
      <c r="P61" t="s">
        <v>694</v>
      </c>
      <c r="Q61" t="s">
        <v>695</v>
      </c>
      <c r="R61" t="s">
        <v>696</v>
      </c>
      <c r="S61" t="s">
        <v>97</v>
      </c>
      <c r="T61" t="s">
        <v>170</v>
      </c>
      <c r="U61" t="s">
        <v>155</v>
      </c>
      <c r="V61" t="s">
        <v>42</v>
      </c>
    </row>
    <row r="62" spans="1:22" x14ac:dyDescent="0.3">
      <c r="A62" t="s">
        <v>697</v>
      </c>
      <c r="B62" t="s">
        <v>698</v>
      </c>
      <c r="C62" t="s">
        <v>699</v>
      </c>
      <c r="D62" t="s">
        <v>700</v>
      </c>
      <c r="E62" t="s">
        <v>342</v>
      </c>
      <c r="F62" t="s">
        <v>244</v>
      </c>
      <c r="G62" t="s">
        <v>213</v>
      </c>
      <c r="H62" t="s">
        <v>214</v>
      </c>
      <c r="I62" t="s">
        <v>29</v>
      </c>
      <c r="J62" t="s">
        <v>70</v>
      </c>
      <c r="K62" t="s">
        <v>293</v>
      </c>
      <c r="L62" t="s">
        <v>119</v>
      </c>
      <c r="M62" t="s">
        <v>701</v>
      </c>
      <c r="N62" t="s">
        <v>54</v>
      </c>
      <c r="O62" t="s">
        <v>702</v>
      </c>
      <c r="P62" t="s">
        <v>703</v>
      </c>
      <c r="Q62" t="s">
        <v>259</v>
      </c>
      <c r="R62" t="s">
        <v>704</v>
      </c>
      <c r="S62" t="s">
        <v>97</v>
      </c>
      <c r="T62" t="s">
        <v>637</v>
      </c>
      <c r="U62" t="s">
        <v>155</v>
      </c>
      <c r="V62" t="s">
        <v>42</v>
      </c>
    </row>
    <row r="63" spans="1:22" x14ac:dyDescent="0.3">
      <c r="A63" t="s">
        <v>705</v>
      </c>
      <c r="B63" t="s">
        <v>706</v>
      </c>
      <c r="C63" t="s">
        <v>707</v>
      </c>
      <c r="D63" t="s">
        <v>708</v>
      </c>
      <c r="E63" t="s">
        <v>133</v>
      </c>
      <c r="F63" t="s">
        <v>134</v>
      </c>
      <c r="G63" t="s">
        <v>27</v>
      </c>
      <c r="H63" t="s">
        <v>68</v>
      </c>
      <c r="I63" t="s">
        <v>69</v>
      </c>
      <c r="J63" t="s">
        <v>70</v>
      </c>
      <c r="K63" t="s">
        <v>230</v>
      </c>
      <c r="L63" t="s">
        <v>682</v>
      </c>
      <c r="M63" t="s">
        <v>709</v>
      </c>
      <c r="N63" t="s">
        <v>710</v>
      </c>
      <c r="O63" t="s">
        <v>711</v>
      </c>
      <c r="P63" t="s">
        <v>712</v>
      </c>
      <c r="Q63" t="s">
        <v>685</v>
      </c>
      <c r="R63" t="s">
        <v>713</v>
      </c>
      <c r="S63" t="s">
        <v>126</v>
      </c>
      <c r="T63" t="s">
        <v>714</v>
      </c>
      <c r="U63" t="s">
        <v>300</v>
      </c>
      <c r="V63" t="s">
        <v>42</v>
      </c>
    </row>
    <row r="64" spans="1:22" x14ac:dyDescent="0.3">
      <c r="A64" t="s">
        <v>715</v>
      </c>
      <c r="B64" t="s">
        <v>716</v>
      </c>
      <c r="C64" t="s">
        <v>717</v>
      </c>
      <c r="D64" t="s">
        <v>718</v>
      </c>
      <c r="E64" t="s">
        <v>342</v>
      </c>
      <c r="F64" t="s">
        <v>244</v>
      </c>
      <c r="G64" t="s">
        <v>27</v>
      </c>
      <c r="H64" t="s">
        <v>49</v>
      </c>
      <c r="I64" t="s">
        <v>29</v>
      </c>
      <c r="J64" t="s">
        <v>30</v>
      </c>
      <c r="K64" t="s">
        <v>200</v>
      </c>
      <c r="L64" t="s">
        <v>719</v>
      </c>
      <c r="M64" t="s">
        <v>720</v>
      </c>
      <c r="N64" t="s">
        <v>721</v>
      </c>
      <c r="O64" t="s">
        <v>722</v>
      </c>
      <c r="P64" t="s">
        <v>723</v>
      </c>
      <c r="Q64" t="s">
        <v>724</v>
      </c>
      <c r="R64" t="s">
        <v>725</v>
      </c>
      <c r="S64" t="s">
        <v>39</v>
      </c>
      <c r="T64" t="s">
        <v>326</v>
      </c>
      <c r="U64" t="s">
        <v>277</v>
      </c>
      <c r="V64" t="s">
        <v>82</v>
      </c>
    </row>
    <row r="65" spans="1:22" x14ac:dyDescent="0.3">
      <c r="A65" t="s">
        <v>726</v>
      </c>
      <c r="B65" t="s">
        <v>727</v>
      </c>
      <c r="C65" t="s">
        <v>728</v>
      </c>
      <c r="D65" t="s">
        <v>729</v>
      </c>
      <c r="E65" t="s">
        <v>730</v>
      </c>
      <c r="F65" t="s">
        <v>26</v>
      </c>
      <c r="G65" t="s">
        <v>118</v>
      </c>
      <c r="H65" t="s">
        <v>104</v>
      </c>
      <c r="I65" t="s">
        <v>69</v>
      </c>
      <c r="J65" t="s">
        <v>30</v>
      </c>
      <c r="K65" t="s">
        <v>293</v>
      </c>
      <c r="L65" t="s">
        <v>731</v>
      </c>
      <c r="M65" t="s">
        <v>732</v>
      </c>
      <c r="N65" t="s">
        <v>328</v>
      </c>
      <c r="O65" t="s">
        <v>733</v>
      </c>
      <c r="P65" t="s">
        <v>734</v>
      </c>
      <c r="Q65" t="s">
        <v>735</v>
      </c>
      <c r="R65" t="s">
        <v>736</v>
      </c>
      <c r="S65" t="s">
        <v>182</v>
      </c>
      <c r="T65" t="s">
        <v>92</v>
      </c>
      <c r="U65" t="s">
        <v>537</v>
      </c>
      <c r="V65" t="s">
        <v>82</v>
      </c>
    </row>
    <row r="66" spans="1:22" x14ac:dyDescent="0.3">
      <c r="A66" t="s">
        <v>737</v>
      </c>
      <c r="B66" t="s">
        <v>738</v>
      </c>
      <c r="C66" t="s">
        <v>739</v>
      </c>
      <c r="D66" t="s">
        <v>740</v>
      </c>
      <c r="E66" t="s">
        <v>243</v>
      </c>
      <c r="F66" t="s">
        <v>244</v>
      </c>
      <c r="G66" t="s">
        <v>580</v>
      </c>
      <c r="H66" t="s">
        <v>68</v>
      </c>
      <c r="I66" t="s">
        <v>69</v>
      </c>
      <c r="J66" t="s">
        <v>30</v>
      </c>
      <c r="K66" t="s">
        <v>89</v>
      </c>
      <c r="L66" t="s">
        <v>294</v>
      </c>
      <c r="M66" t="s">
        <v>741</v>
      </c>
      <c r="N66" t="s">
        <v>179</v>
      </c>
      <c r="O66" t="s">
        <v>741</v>
      </c>
      <c r="P66" t="s">
        <v>149</v>
      </c>
      <c r="Q66" t="s">
        <v>742</v>
      </c>
      <c r="R66" t="s">
        <v>743</v>
      </c>
      <c r="S66" t="s">
        <v>58</v>
      </c>
      <c r="T66" t="s">
        <v>321</v>
      </c>
      <c r="U66" t="s">
        <v>744</v>
      </c>
      <c r="V66" t="s">
        <v>114</v>
      </c>
    </row>
    <row r="67" spans="1:22" x14ac:dyDescent="0.3">
      <c r="A67" t="s">
        <v>745</v>
      </c>
      <c r="B67" t="s">
        <v>746</v>
      </c>
      <c r="C67" t="s">
        <v>747</v>
      </c>
      <c r="D67" t="s">
        <v>748</v>
      </c>
      <c r="E67" t="s">
        <v>267</v>
      </c>
      <c r="F67" t="s">
        <v>66</v>
      </c>
      <c r="G67" t="s">
        <v>67</v>
      </c>
      <c r="H67" t="s">
        <v>229</v>
      </c>
      <c r="I67" t="s">
        <v>69</v>
      </c>
      <c r="J67" t="s">
        <v>30</v>
      </c>
      <c r="K67" t="s">
        <v>245</v>
      </c>
      <c r="L67" t="s">
        <v>749</v>
      </c>
      <c r="M67" t="s">
        <v>750</v>
      </c>
      <c r="N67" t="s">
        <v>751</v>
      </c>
      <c r="O67" t="s">
        <v>752</v>
      </c>
      <c r="P67" t="s">
        <v>753</v>
      </c>
      <c r="Q67" t="s">
        <v>218</v>
      </c>
      <c r="R67" t="s">
        <v>754</v>
      </c>
      <c r="S67" t="s">
        <v>79</v>
      </c>
      <c r="T67" t="s">
        <v>648</v>
      </c>
      <c r="U67" t="s">
        <v>472</v>
      </c>
      <c r="V67" t="s">
        <v>42</v>
      </c>
    </row>
    <row r="68" spans="1:22" x14ac:dyDescent="0.3">
      <c r="A68" t="s">
        <v>755</v>
      </c>
      <c r="B68" t="s">
        <v>756</v>
      </c>
      <c r="C68" t="s">
        <v>757</v>
      </c>
      <c r="D68" t="s">
        <v>758</v>
      </c>
      <c r="E68" t="s">
        <v>267</v>
      </c>
      <c r="F68" t="s">
        <v>66</v>
      </c>
      <c r="G68" t="s">
        <v>48</v>
      </c>
      <c r="H68" t="s">
        <v>229</v>
      </c>
      <c r="I68" t="s">
        <v>69</v>
      </c>
      <c r="J68" t="s">
        <v>30</v>
      </c>
      <c r="K68" t="s">
        <v>245</v>
      </c>
      <c r="L68" t="s">
        <v>148</v>
      </c>
      <c r="M68" t="s">
        <v>759</v>
      </c>
      <c r="N68" t="s">
        <v>489</v>
      </c>
      <c r="O68" t="s">
        <v>712</v>
      </c>
      <c r="P68" t="s">
        <v>760</v>
      </c>
      <c r="Q68" t="s">
        <v>543</v>
      </c>
      <c r="R68" t="s">
        <v>761</v>
      </c>
      <c r="S68" t="s">
        <v>39</v>
      </c>
      <c r="T68" t="s">
        <v>610</v>
      </c>
      <c r="U68" t="s">
        <v>60</v>
      </c>
      <c r="V68" t="s">
        <v>79</v>
      </c>
    </row>
    <row r="69" spans="1:22" x14ac:dyDescent="0.3">
      <c r="A69" t="s">
        <v>762</v>
      </c>
      <c r="B69" t="s">
        <v>763</v>
      </c>
      <c r="C69" t="s">
        <v>764</v>
      </c>
      <c r="D69" t="s">
        <v>765</v>
      </c>
      <c r="E69" t="s">
        <v>438</v>
      </c>
      <c r="F69" t="s">
        <v>188</v>
      </c>
      <c r="G69" t="s">
        <v>118</v>
      </c>
      <c r="H69" t="s">
        <v>268</v>
      </c>
      <c r="I69" t="s">
        <v>29</v>
      </c>
      <c r="J69" t="s">
        <v>30</v>
      </c>
      <c r="K69" t="s">
        <v>31</v>
      </c>
      <c r="L69" t="s">
        <v>766</v>
      </c>
      <c r="M69" t="s">
        <v>767</v>
      </c>
      <c r="N69" t="s">
        <v>179</v>
      </c>
      <c r="O69" t="s">
        <v>767</v>
      </c>
      <c r="P69" t="s">
        <v>768</v>
      </c>
      <c r="Q69" t="s">
        <v>610</v>
      </c>
      <c r="R69" t="s">
        <v>769</v>
      </c>
      <c r="S69" t="s">
        <v>182</v>
      </c>
      <c r="T69" t="s">
        <v>770</v>
      </c>
      <c r="U69" t="s">
        <v>349</v>
      </c>
      <c r="V69" t="s">
        <v>82</v>
      </c>
    </row>
    <row r="70" spans="1:22" x14ac:dyDescent="0.3">
      <c r="A70" t="s">
        <v>771</v>
      </c>
      <c r="B70" t="s">
        <v>279</v>
      </c>
      <c r="C70" t="s">
        <v>280</v>
      </c>
      <c r="D70" t="s">
        <v>772</v>
      </c>
      <c r="E70" t="s">
        <v>672</v>
      </c>
      <c r="F70" t="s">
        <v>244</v>
      </c>
      <c r="G70" t="s">
        <v>580</v>
      </c>
      <c r="H70" t="s">
        <v>49</v>
      </c>
      <c r="I70" t="s">
        <v>69</v>
      </c>
      <c r="J70" t="s">
        <v>30</v>
      </c>
      <c r="K70" t="s">
        <v>89</v>
      </c>
      <c r="L70" t="s">
        <v>773</v>
      </c>
      <c r="M70" t="s">
        <v>193</v>
      </c>
      <c r="N70" t="s">
        <v>328</v>
      </c>
      <c r="O70" t="s">
        <v>774</v>
      </c>
      <c r="P70" t="s">
        <v>565</v>
      </c>
      <c r="Q70" t="s">
        <v>392</v>
      </c>
      <c r="R70" t="s">
        <v>775</v>
      </c>
      <c r="S70" t="s">
        <v>97</v>
      </c>
      <c r="T70" t="s">
        <v>165</v>
      </c>
      <c r="U70" t="s">
        <v>423</v>
      </c>
      <c r="V70" t="s">
        <v>79</v>
      </c>
    </row>
    <row r="71" spans="1:22" x14ac:dyDescent="0.3">
      <c r="A71" t="s">
        <v>776</v>
      </c>
      <c r="B71" t="s">
        <v>777</v>
      </c>
      <c r="C71" t="s">
        <v>778</v>
      </c>
      <c r="D71" t="s">
        <v>779</v>
      </c>
      <c r="E71" t="s">
        <v>780</v>
      </c>
      <c r="F71" t="s">
        <v>282</v>
      </c>
      <c r="G71" t="s">
        <v>103</v>
      </c>
      <c r="H71" t="s">
        <v>268</v>
      </c>
      <c r="I71" t="s">
        <v>69</v>
      </c>
      <c r="J71" t="s">
        <v>30</v>
      </c>
      <c r="K71" t="s">
        <v>89</v>
      </c>
      <c r="L71" t="s">
        <v>51</v>
      </c>
      <c r="M71" t="s">
        <v>781</v>
      </c>
      <c r="N71" t="s">
        <v>782</v>
      </c>
      <c r="O71" t="s">
        <v>783</v>
      </c>
      <c r="P71" t="s">
        <v>164</v>
      </c>
      <c r="Q71" t="s">
        <v>784</v>
      </c>
      <c r="R71" t="s">
        <v>785</v>
      </c>
      <c r="S71" t="s">
        <v>97</v>
      </c>
      <c r="T71" t="s">
        <v>183</v>
      </c>
      <c r="U71" t="s">
        <v>128</v>
      </c>
      <c r="V71" t="s">
        <v>58</v>
      </c>
    </row>
    <row r="72" spans="1:22" x14ac:dyDescent="0.3">
      <c r="A72" t="s">
        <v>786</v>
      </c>
      <c r="B72" t="s">
        <v>787</v>
      </c>
      <c r="C72" t="s">
        <v>788</v>
      </c>
      <c r="D72" t="s">
        <v>789</v>
      </c>
      <c r="E72" t="s">
        <v>438</v>
      </c>
      <c r="F72" t="s">
        <v>188</v>
      </c>
      <c r="G72" t="s">
        <v>118</v>
      </c>
      <c r="H72" t="s">
        <v>214</v>
      </c>
      <c r="I72" t="s">
        <v>69</v>
      </c>
      <c r="J72" t="s">
        <v>30</v>
      </c>
      <c r="K72" t="s">
        <v>50</v>
      </c>
      <c r="L72" t="s">
        <v>269</v>
      </c>
      <c r="M72" t="s">
        <v>790</v>
      </c>
      <c r="N72" t="s">
        <v>179</v>
      </c>
      <c r="O72" t="s">
        <v>790</v>
      </c>
      <c r="P72" t="s">
        <v>791</v>
      </c>
      <c r="Q72" t="s">
        <v>792</v>
      </c>
      <c r="R72" t="s">
        <v>793</v>
      </c>
      <c r="S72" t="s">
        <v>126</v>
      </c>
      <c r="T72" t="s">
        <v>441</v>
      </c>
      <c r="U72" t="s">
        <v>407</v>
      </c>
      <c r="V72" t="s">
        <v>82</v>
      </c>
    </row>
    <row r="73" spans="1:22" x14ac:dyDescent="0.3">
      <c r="A73" t="s">
        <v>794</v>
      </c>
      <c r="B73" t="s">
        <v>795</v>
      </c>
      <c r="C73" t="s">
        <v>796</v>
      </c>
      <c r="D73" t="s">
        <v>797</v>
      </c>
      <c r="E73" t="s">
        <v>267</v>
      </c>
      <c r="F73" t="s">
        <v>66</v>
      </c>
      <c r="G73" t="s">
        <v>213</v>
      </c>
      <c r="H73" t="s">
        <v>49</v>
      </c>
      <c r="I73" t="s">
        <v>29</v>
      </c>
      <c r="J73" t="s">
        <v>30</v>
      </c>
      <c r="K73" t="s">
        <v>31</v>
      </c>
      <c r="L73" t="s">
        <v>315</v>
      </c>
      <c r="M73" t="s">
        <v>798</v>
      </c>
      <c r="N73" t="s">
        <v>448</v>
      </c>
      <c r="O73" t="s">
        <v>774</v>
      </c>
      <c r="P73" t="s">
        <v>734</v>
      </c>
      <c r="Q73" t="s">
        <v>168</v>
      </c>
      <c r="R73" t="s">
        <v>799</v>
      </c>
      <c r="S73" t="s">
        <v>79</v>
      </c>
      <c r="T73" t="s">
        <v>112</v>
      </c>
      <c r="U73" t="s">
        <v>373</v>
      </c>
      <c r="V73" t="s">
        <v>79</v>
      </c>
    </row>
    <row r="74" spans="1:22" x14ac:dyDescent="0.3">
      <c r="A74" t="s">
        <v>800</v>
      </c>
      <c r="B74" t="s">
        <v>801</v>
      </c>
      <c r="C74" t="s">
        <v>802</v>
      </c>
      <c r="D74" t="s">
        <v>803</v>
      </c>
      <c r="E74" t="s">
        <v>66</v>
      </c>
      <c r="F74" t="s">
        <v>66</v>
      </c>
      <c r="G74" t="s">
        <v>103</v>
      </c>
      <c r="H74" t="s">
        <v>268</v>
      </c>
      <c r="I74" t="s">
        <v>69</v>
      </c>
      <c r="J74" t="s">
        <v>30</v>
      </c>
      <c r="K74" t="s">
        <v>50</v>
      </c>
      <c r="L74" t="s">
        <v>766</v>
      </c>
      <c r="M74" t="s">
        <v>411</v>
      </c>
      <c r="N74" t="s">
        <v>499</v>
      </c>
      <c r="O74" t="s">
        <v>804</v>
      </c>
      <c r="P74" t="s">
        <v>805</v>
      </c>
      <c r="Q74" t="s">
        <v>806</v>
      </c>
      <c r="R74" t="s">
        <v>807</v>
      </c>
      <c r="S74" t="s">
        <v>79</v>
      </c>
      <c r="T74" t="s">
        <v>140</v>
      </c>
      <c r="U74" t="s">
        <v>277</v>
      </c>
      <c r="V74" t="s">
        <v>82</v>
      </c>
    </row>
    <row r="75" spans="1:22" x14ac:dyDescent="0.3">
      <c r="A75" t="s">
        <v>808</v>
      </c>
      <c r="B75" t="s">
        <v>809</v>
      </c>
      <c r="C75" t="s">
        <v>810</v>
      </c>
      <c r="D75" t="s">
        <v>811</v>
      </c>
      <c r="E75" t="s">
        <v>228</v>
      </c>
      <c r="F75" t="s">
        <v>228</v>
      </c>
      <c r="G75" t="s">
        <v>147</v>
      </c>
      <c r="H75" t="s">
        <v>268</v>
      </c>
      <c r="I75" t="s">
        <v>29</v>
      </c>
      <c r="J75" t="s">
        <v>30</v>
      </c>
      <c r="K75" t="s">
        <v>50</v>
      </c>
      <c r="L75" t="s">
        <v>812</v>
      </c>
      <c r="M75" t="s">
        <v>813</v>
      </c>
      <c r="N75" t="s">
        <v>179</v>
      </c>
      <c r="O75" t="s">
        <v>813</v>
      </c>
      <c r="P75" t="s">
        <v>814</v>
      </c>
      <c r="Q75" t="s">
        <v>784</v>
      </c>
      <c r="R75" t="s">
        <v>815</v>
      </c>
      <c r="S75" t="s">
        <v>97</v>
      </c>
      <c r="T75" t="s">
        <v>816</v>
      </c>
      <c r="U75" t="s">
        <v>277</v>
      </c>
      <c r="V75" t="s">
        <v>114</v>
      </c>
    </row>
    <row r="76" spans="1:22" x14ac:dyDescent="0.3">
      <c r="A76" t="s">
        <v>817</v>
      </c>
      <c r="B76" t="s">
        <v>818</v>
      </c>
      <c r="C76" t="s">
        <v>819</v>
      </c>
      <c r="D76" t="s">
        <v>820</v>
      </c>
      <c r="E76" t="s">
        <v>780</v>
      </c>
      <c r="F76" t="s">
        <v>282</v>
      </c>
      <c r="G76" t="s">
        <v>118</v>
      </c>
      <c r="H76" t="s">
        <v>68</v>
      </c>
      <c r="I76" t="s">
        <v>29</v>
      </c>
      <c r="J76" t="s">
        <v>30</v>
      </c>
      <c r="K76" t="s">
        <v>230</v>
      </c>
      <c r="L76" t="s">
        <v>258</v>
      </c>
      <c r="M76" t="s">
        <v>821</v>
      </c>
      <c r="N76" t="s">
        <v>179</v>
      </c>
      <c r="O76" t="s">
        <v>821</v>
      </c>
      <c r="P76" t="s">
        <v>791</v>
      </c>
      <c r="Q76" t="s">
        <v>822</v>
      </c>
      <c r="R76" t="s">
        <v>823</v>
      </c>
      <c r="S76" t="s">
        <v>39</v>
      </c>
      <c r="T76" t="s">
        <v>655</v>
      </c>
      <c r="U76" t="s">
        <v>744</v>
      </c>
      <c r="V76" t="s">
        <v>82</v>
      </c>
    </row>
    <row r="77" spans="1:22" x14ac:dyDescent="0.3">
      <c r="A77" t="s">
        <v>824</v>
      </c>
      <c r="B77" t="s">
        <v>825</v>
      </c>
      <c r="C77" t="s">
        <v>826</v>
      </c>
      <c r="D77" t="s">
        <v>827</v>
      </c>
      <c r="E77" t="s">
        <v>378</v>
      </c>
      <c r="F77" t="s">
        <v>282</v>
      </c>
      <c r="G77" t="s">
        <v>147</v>
      </c>
      <c r="H77" t="s">
        <v>68</v>
      </c>
      <c r="I77" t="s">
        <v>29</v>
      </c>
      <c r="J77" t="s">
        <v>30</v>
      </c>
      <c r="K77" t="s">
        <v>200</v>
      </c>
      <c r="L77" t="s">
        <v>105</v>
      </c>
      <c r="M77" t="s">
        <v>250</v>
      </c>
      <c r="N77" t="s">
        <v>621</v>
      </c>
      <c r="O77" t="s">
        <v>828</v>
      </c>
      <c r="P77" t="s">
        <v>774</v>
      </c>
      <c r="Q77" t="s">
        <v>112</v>
      </c>
      <c r="R77" t="s">
        <v>829</v>
      </c>
      <c r="S77" t="s">
        <v>79</v>
      </c>
      <c r="T77" t="s">
        <v>80</v>
      </c>
      <c r="U77" t="s">
        <v>171</v>
      </c>
      <c r="V77" t="s">
        <v>58</v>
      </c>
    </row>
    <row r="78" spans="1:22" x14ac:dyDescent="0.3">
      <c r="A78" t="s">
        <v>830</v>
      </c>
      <c r="B78" t="s">
        <v>254</v>
      </c>
      <c r="C78" t="s">
        <v>255</v>
      </c>
      <c r="D78" t="s">
        <v>831</v>
      </c>
      <c r="E78" t="s">
        <v>65</v>
      </c>
      <c r="F78" t="s">
        <v>66</v>
      </c>
      <c r="G78" t="s">
        <v>103</v>
      </c>
      <c r="H78" t="s">
        <v>28</v>
      </c>
      <c r="I78" t="s">
        <v>29</v>
      </c>
      <c r="J78" t="s">
        <v>30</v>
      </c>
      <c r="K78" t="s">
        <v>89</v>
      </c>
      <c r="L78" t="s">
        <v>362</v>
      </c>
      <c r="M78" t="s">
        <v>590</v>
      </c>
      <c r="N78" t="s">
        <v>237</v>
      </c>
      <c r="O78" t="s">
        <v>832</v>
      </c>
      <c r="P78" t="s">
        <v>149</v>
      </c>
      <c r="Q78" t="s">
        <v>518</v>
      </c>
      <c r="R78" t="s">
        <v>833</v>
      </c>
      <c r="S78" t="s">
        <v>58</v>
      </c>
      <c r="T78" t="s">
        <v>80</v>
      </c>
      <c r="U78" t="s">
        <v>98</v>
      </c>
      <c r="V78" t="s">
        <v>79</v>
      </c>
    </row>
    <row r="79" spans="1:22" x14ac:dyDescent="0.3">
      <c r="A79" t="s">
        <v>834</v>
      </c>
      <c r="B79" t="s">
        <v>290</v>
      </c>
      <c r="C79" t="s">
        <v>291</v>
      </c>
      <c r="D79" t="s">
        <v>835</v>
      </c>
      <c r="E79" t="s">
        <v>66</v>
      </c>
      <c r="F79" t="s">
        <v>66</v>
      </c>
      <c r="G79" t="s">
        <v>27</v>
      </c>
      <c r="H79" t="s">
        <v>49</v>
      </c>
      <c r="I79" t="s">
        <v>69</v>
      </c>
      <c r="J79" t="s">
        <v>30</v>
      </c>
      <c r="K79" t="s">
        <v>230</v>
      </c>
      <c r="L79" t="s">
        <v>513</v>
      </c>
      <c r="M79" t="s">
        <v>120</v>
      </c>
      <c r="N79" t="s">
        <v>836</v>
      </c>
      <c r="O79" t="s">
        <v>274</v>
      </c>
      <c r="P79" t="s">
        <v>381</v>
      </c>
      <c r="Q79" t="s">
        <v>774</v>
      </c>
      <c r="R79" t="s">
        <v>837</v>
      </c>
      <c r="S79" t="s">
        <v>97</v>
      </c>
      <c r="T79" t="s">
        <v>110</v>
      </c>
      <c r="U79" t="s">
        <v>171</v>
      </c>
      <c r="V79" t="s">
        <v>114</v>
      </c>
    </row>
    <row r="80" spans="1:22" x14ac:dyDescent="0.3">
      <c r="A80" t="s">
        <v>838</v>
      </c>
      <c r="B80" t="s">
        <v>839</v>
      </c>
      <c r="C80" t="s">
        <v>840</v>
      </c>
      <c r="D80" t="s">
        <v>841</v>
      </c>
      <c r="E80" t="s">
        <v>267</v>
      </c>
      <c r="F80" t="s">
        <v>66</v>
      </c>
      <c r="G80" t="s">
        <v>27</v>
      </c>
      <c r="H80" t="s">
        <v>68</v>
      </c>
      <c r="I80" t="s">
        <v>69</v>
      </c>
      <c r="J80" t="s">
        <v>30</v>
      </c>
      <c r="K80" t="s">
        <v>71</v>
      </c>
      <c r="L80" t="s">
        <v>400</v>
      </c>
      <c r="M80" t="s">
        <v>497</v>
      </c>
      <c r="N80" t="s">
        <v>179</v>
      </c>
      <c r="O80" t="s">
        <v>497</v>
      </c>
      <c r="P80" t="s">
        <v>842</v>
      </c>
      <c r="Q80" t="s">
        <v>482</v>
      </c>
      <c r="R80" t="s">
        <v>843</v>
      </c>
      <c r="S80" t="s">
        <v>39</v>
      </c>
      <c r="T80" t="s">
        <v>308</v>
      </c>
      <c r="U80" t="s">
        <v>407</v>
      </c>
      <c r="V80" t="s">
        <v>79</v>
      </c>
    </row>
    <row r="81" spans="1:22" x14ac:dyDescent="0.3">
      <c r="A81" t="s">
        <v>844</v>
      </c>
      <c r="B81" t="s">
        <v>845</v>
      </c>
      <c r="C81" t="s">
        <v>846</v>
      </c>
      <c r="D81" t="s">
        <v>847</v>
      </c>
      <c r="E81" t="s">
        <v>282</v>
      </c>
      <c r="F81" t="s">
        <v>282</v>
      </c>
      <c r="G81" t="s">
        <v>67</v>
      </c>
      <c r="H81" t="s">
        <v>268</v>
      </c>
      <c r="I81" t="s">
        <v>69</v>
      </c>
      <c r="J81" t="s">
        <v>30</v>
      </c>
      <c r="K81" t="s">
        <v>245</v>
      </c>
      <c r="L81" t="s">
        <v>367</v>
      </c>
      <c r="M81" t="s">
        <v>848</v>
      </c>
      <c r="N81" t="s">
        <v>179</v>
      </c>
      <c r="O81" t="s">
        <v>848</v>
      </c>
      <c r="P81" t="s">
        <v>849</v>
      </c>
      <c r="Q81" t="s">
        <v>850</v>
      </c>
      <c r="R81" t="s">
        <v>851</v>
      </c>
      <c r="S81" t="s">
        <v>97</v>
      </c>
      <c r="T81" t="s">
        <v>655</v>
      </c>
      <c r="U81" t="s">
        <v>155</v>
      </c>
      <c r="V81" t="s">
        <v>79</v>
      </c>
    </row>
    <row r="82" spans="1:22" x14ac:dyDescent="0.3">
      <c r="A82" t="s">
        <v>852</v>
      </c>
      <c r="B82" t="s">
        <v>853</v>
      </c>
      <c r="C82" t="s">
        <v>854</v>
      </c>
      <c r="D82" t="s">
        <v>855</v>
      </c>
      <c r="E82" t="s">
        <v>47</v>
      </c>
      <c r="F82" t="s">
        <v>26</v>
      </c>
      <c r="G82" t="s">
        <v>48</v>
      </c>
      <c r="H82" t="s">
        <v>104</v>
      </c>
      <c r="I82" t="s">
        <v>69</v>
      </c>
      <c r="J82" t="s">
        <v>70</v>
      </c>
      <c r="K82" t="s">
        <v>230</v>
      </c>
      <c r="L82" t="s">
        <v>258</v>
      </c>
      <c r="M82" t="s">
        <v>856</v>
      </c>
      <c r="N82" t="s">
        <v>179</v>
      </c>
      <c r="O82" t="s">
        <v>856</v>
      </c>
      <c r="P82" t="s">
        <v>857</v>
      </c>
      <c r="Q82" t="s">
        <v>714</v>
      </c>
      <c r="R82" t="s">
        <v>858</v>
      </c>
      <c r="S82" t="s">
        <v>182</v>
      </c>
      <c r="T82" t="s">
        <v>361</v>
      </c>
      <c r="U82" t="s">
        <v>288</v>
      </c>
      <c r="V82" t="s">
        <v>114</v>
      </c>
    </row>
    <row r="83" spans="1:22" x14ac:dyDescent="0.3">
      <c r="A83" t="s">
        <v>859</v>
      </c>
      <c r="B83" t="s">
        <v>860</v>
      </c>
      <c r="C83" t="s">
        <v>861</v>
      </c>
      <c r="D83" t="s">
        <v>862</v>
      </c>
      <c r="E83" t="s">
        <v>634</v>
      </c>
      <c r="F83" t="s">
        <v>228</v>
      </c>
      <c r="G83" t="s">
        <v>67</v>
      </c>
      <c r="H83" t="s">
        <v>214</v>
      </c>
      <c r="I83" t="s">
        <v>29</v>
      </c>
      <c r="J83" t="s">
        <v>30</v>
      </c>
      <c r="K83" t="s">
        <v>89</v>
      </c>
      <c r="L83" t="s">
        <v>487</v>
      </c>
      <c r="M83" t="s">
        <v>863</v>
      </c>
      <c r="N83" t="s">
        <v>735</v>
      </c>
      <c r="O83" t="s">
        <v>864</v>
      </c>
      <c r="P83" t="s">
        <v>865</v>
      </c>
      <c r="Q83" t="s">
        <v>694</v>
      </c>
      <c r="R83" t="s">
        <v>866</v>
      </c>
      <c r="S83" t="s">
        <v>39</v>
      </c>
      <c r="T83" t="s">
        <v>721</v>
      </c>
      <c r="U83" t="s">
        <v>867</v>
      </c>
      <c r="V83" t="s">
        <v>79</v>
      </c>
    </row>
    <row r="84" spans="1:22" x14ac:dyDescent="0.3">
      <c r="A84" t="s">
        <v>868</v>
      </c>
      <c r="B84" t="s">
        <v>869</v>
      </c>
      <c r="C84" t="s">
        <v>870</v>
      </c>
      <c r="D84" t="s">
        <v>325</v>
      </c>
      <c r="E84" t="s">
        <v>65</v>
      </c>
      <c r="F84" t="s">
        <v>66</v>
      </c>
      <c r="G84" t="s">
        <v>580</v>
      </c>
      <c r="H84" t="s">
        <v>104</v>
      </c>
      <c r="I84" t="s">
        <v>69</v>
      </c>
      <c r="J84" t="s">
        <v>30</v>
      </c>
      <c r="K84" t="s">
        <v>230</v>
      </c>
      <c r="L84" t="s">
        <v>871</v>
      </c>
      <c r="M84" t="s">
        <v>872</v>
      </c>
      <c r="N84" t="s">
        <v>34</v>
      </c>
      <c r="O84" t="s">
        <v>873</v>
      </c>
      <c r="P84" t="s">
        <v>857</v>
      </c>
      <c r="Q84" t="s">
        <v>170</v>
      </c>
      <c r="R84" t="s">
        <v>874</v>
      </c>
      <c r="S84" t="s">
        <v>182</v>
      </c>
      <c r="T84" t="s">
        <v>321</v>
      </c>
      <c r="U84" t="s">
        <v>288</v>
      </c>
      <c r="V84" t="s">
        <v>42</v>
      </c>
    </row>
    <row r="85" spans="1:22" x14ac:dyDescent="0.3">
      <c r="A85" t="s">
        <v>875</v>
      </c>
      <c r="B85" t="s">
        <v>876</v>
      </c>
      <c r="C85" t="s">
        <v>877</v>
      </c>
      <c r="D85" t="s">
        <v>878</v>
      </c>
      <c r="E85" t="s">
        <v>176</v>
      </c>
      <c r="F85" t="s">
        <v>161</v>
      </c>
      <c r="G85" t="s">
        <v>147</v>
      </c>
      <c r="H85" t="s">
        <v>268</v>
      </c>
      <c r="I85" t="s">
        <v>69</v>
      </c>
      <c r="J85" t="s">
        <v>30</v>
      </c>
      <c r="K85" t="s">
        <v>230</v>
      </c>
      <c r="L85" t="s">
        <v>32</v>
      </c>
      <c r="M85" t="s">
        <v>205</v>
      </c>
      <c r="N85" t="s">
        <v>499</v>
      </c>
      <c r="O85" t="s">
        <v>879</v>
      </c>
      <c r="P85" t="s">
        <v>880</v>
      </c>
      <c r="Q85" t="s">
        <v>881</v>
      </c>
      <c r="R85" t="s">
        <v>882</v>
      </c>
      <c r="S85" t="s">
        <v>182</v>
      </c>
      <c r="T85" t="s">
        <v>183</v>
      </c>
      <c r="U85" t="s">
        <v>60</v>
      </c>
      <c r="V85" t="s">
        <v>42</v>
      </c>
    </row>
    <row r="86" spans="1:22" x14ac:dyDescent="0.3">
      <c r="A86" t="s">
        <v>883</v>
      </c>
      <c r="B86" t="s">
        <v>688</v>
      </c>
      <c r="C86" t="s">
        <v>689</v>
      </c>
      <c r="D86" t="s">
        <v>884</v>
      </c>
      <c r="E86" t="s">
        <v>227</v>
      </c>
      <c r="F86" t="s">
        <v>228</v>
      </c>
      <c r="G86" t="s">
        <v>48</v>
      </c>
      <c r="H86" t="s">
        <v>214</v>
      </c>
      <c r="I86" t="s">
        <v>69</v>
      </c>
      <c r="J86" t="s">
        <v>162</v>
      </c>
      <c r="K86" t="s">
        <v>245</v>
      </c>
      <c r="L86" t="s">
        <v>487</v>
      </c>
      <c r="M86" t="s">
        <v>885</v>
      </c>
      <c r="N86" t="s">
        <v>886</v>
      </c>
      <c r="O86" t="s">
        <v>887</v>
      </c>
      <c r="P86" t="s">
        <v>562</v>
      </c>
      <c r="Q86" t="s">
        <v>153</v>
      </c>
      <c r="R86" t="s">
        <v>888</v>
      </c>
      <c r="S86" t="s">
        <v>39</v>
      </c>
      <c r="T86" t="s">
        <v>714</v>
      </c>
      <c r="U86" t="s">
        <v>407</v>
      </c>
      <c r="V86" t="s">
        <v>79</v>
      </c>
    </row>
    <row r="87" spans="1:22" x14ac:dyDescent="0.3">
      <c r="A87" t="s">
        <v>889</v>
      </c>
      <c r="B87" t="s">
        <v>890</v>
      </c>
      <c r="C87" t="s">
        <v>891</v>
      </c>
      <c r="D87" t="s">
        <v>892</v>
      </c>
      <c r="E87" t="s">
        <v>893</v>
      </c>
      <c r="F87" t="s">
        <v>188</v>
      </c>
      <c r="G87" t="s">
        <v>118</v>
      </c>
      <c r="H87" t="s">
        <v>28</v>
      </c>
      <c r="I87" t="s">
        <v>69</v>
      </c>
      <c r="J87" t="s">
        <v>70</v>
      </c>
      <c r="K87" t="s">
        <v>215</v>
      </c>
      <c r="L87" t="s">
        <v>894</v>
      </c>
      <c r="M87" t="s">
        <v>895</v>
      </c>
      <c r="N87" t="s">
        <v>896</v>
      </c>
      <c r="O87" t="s">
        <v>897</v>
      </c>
      <c r="P87" t="s">
        <v>898</v>
      </c>
      <c r="Q87" t="s">
        <v>193</v>
      </c>
      <c r="R87" t="s">
        <v>899</v>
      </c>
      <c r="S87" t="s">
        <v>97</v>
      </c>
      <c r="T87" t="s">
        <v>482</v>
      </c>
      <c r="U87" t="s">
        <v>60</v>
      </c>
      <c r="V87" t="s">
        <v>79</v>
      </c>
    </row>
    <row r="88" spans="1:22" x14ac:dyDescent="0.3">
      <c r="A88" t="s">
        <v>900</v>
      </c>
      <c r="B88" t="s">
        <v>539</v>
      </c>
      <c r="C88" t="s">
        <v>540</v>
      </c>
      <c r="D88" t="s">
        <v>901</v>
      </c>
      <c r="E88" t="s">
        <v>66</v>
      </c>
      <c r="F88" t="s">
        <v>66</v>
      </c>
      <c r="G88" t="s">
        <v>118</v>
      </c>
      <c r="H88" t="s">
        <v>268</v>
      </c>
      <c r="I88" t="s">
        <v>69</v>
      </c>
      <c r="J88" t="s">
        <v>30</v>
      </c>
      <c r="K88" t="s">
        <v>50</v>
      </c>
      <c r="L88" t="s">
        <v>902</v>
      </c>
      <c r="M88" t="s">
        <v>816</v>
      </c>
      <c r="N88" t="s">
        <v>53</v>
      </c>
      <c r="O88" t="s">
        <v>565</v>
      </c>
      <c r="P88" t="s">
        <v>675</v>
      </c>
      <c r="Q88" t="s">
        <v>710</v>
      </c>
      <c r="R88" t="s">
        <v>903</v>
      </c>
      <c r="S88" t="s">
        <v>126</v>
      </c>
      <c r="T88" t="s">
        <v>59</v>
      </c>
      <c r="U88" t="s">
        <v>288</v>
      </c>
      <c r="V88" t="s">
        <v>42</v>
      </c>
    </row>
    <row r="89" spans="1:22" x14ac:dyDescent="0.3">
      <c r="A89" t="s">
        <v>904</v>
      </c>
      <c r="B89" t="s">
        <v>302</v>
      </c>
      <c r="C89" t="s">
        <v>303</v>
      </c>
      <c r="D89" t="s">
        <v>905</v>
      </c>
      <c r="E89" t="s">
        <v>176</v>
      </c>
      <c r="F89" t="s">
        <v>161</v>
      </c>
      <c r="G89" t="s">
        <v>103</v>
      </c>
      <c r="H89" t="s">
        <v>229</v>
      </c>
      <c r="I89" t="s">
        <v>69</v>
      </c>
      <c r="J89" t="s">
        <v>30</v>
      </c>
      <c r="K89" t="s">
        <v>50</v>
      </c>
      <c r="L89" t="s">
        <v>906</v>
      </c>
      <c r="M89" t="s">
        <v>907</v>
      </c>
      <c r="N89" t="s">
        <v>179</v>
      </c>
      <c r="O89" t="s">
        <v>907</v>
      </c>
      <c r="P89" t="s">
        <v>458</v>
      </c>
      <c r="Q89" t="s">
        <v>857</v>
      </c>
      <c r="R89" t="s">
        <v>481</v>
      </c>
      <c r="S89" t="s">
        <v>182</v>
      </c>
      <c r="T89" t="s">
        <v>908</v>
      </c>
      <c r="U89" t="s">
        <v>98</v>
      </c>
      <c r="V89" t="s">
        <v>79</v>
      </c>
    </row>
    <row r="90" spans="1:22" x14ac:dyDescent="0.3">
      <c r="A90" t="s">
        <v>909</v>
      </c>
      <c r="B90" t="s">
        <v>910</v>
      </c>
      <c r="C90" t="s">
        <v>911</v>
      </c>
      <c r="D90" t="s">
        <v>912</v>
      </c>
      <c r="E90" t="s">
        <v>282</v>
      </c>
      <c r="F90" t="s">
        <v>282</v>
      </c>
      <c r="G90" t="s">
        <v>67</v>
      </c>
      <c r="H90" t="s">
        <v>214</v>
      </c>
      <c r="I90" t="s">
        <v>69</v>
      </c>
      <c r="J90" t="s">
        <v>30</v>
      </c>
      <c r="K90" t="s">
        <v>31</v>
      </c>
      <c r="L90" t="s">
        <v>333</v>
      </c>
      <c r="M90" t="s">
        <v>913</v>
      </c>
      <c r="N90" t="s">
        <v>468</v>
      </c>
      <c r="O90" t="s">
        <v>914</v>
      </c>
      <c r="P90" t="s">
        <v>915</v>
      </c>
      <c r="Q90" t="s">
        <v>806</v>
      </c>
      <c r="R90" t="s">
        <v>916</v>
      </c>
      <c r="S90" t="s">
        <v>97</v>
      </c>
      <c r="T90" t="s">
        <v>468</v>
      </c>
      <c r="U90" t="s">
        <v>113</v>
      </c>
      <c r="V90" t="s">
        <v>79</v>
      </c>
    </row>
    <row r="91" spans="1:22" x14ac:dyDescent="0.3">
      <c r="A91" t="s">
        <v>917</v>
      </c>
      <c r="B91" t="s">
        <v>918</v>
      </c>
      <c r="C91" t="s">
        <v>919</v>
      </c>
      <c r="D91" t="s">
        <v>920</v>
      </c>
      <c r="E91" t="s">
        <v>87</v>
      </c>
      <c r="F91" t="s">
        <v>26</v>
      </c>
      <c r="G91" t="s">
        <v>147</v>
      </c>
      <c r="H91" t="s">
        <v>28</v>
      </c>
      <c r="I91" t="s">
        <v>29</v>
      </c>
      <c r="J91" t="s">
        <v>70</v>
      </c>
      <c r="K91" t="s">
        <v>31</v>
      </c>
      <c r="L91" t="s">
        <v>258</v>
      </c>
      <c r="M91" t="s">
        <v>581</v>
      </c>
      <c r="N91" t="s">
        <v>179</v>
      </c>
      <c r="O91" t="s">
        <v>581</v>
      </c>
      <c r="P91" t="s">
        <v>675</v>
      </c>
      <c r="Q91" t="s">
        <v>921</v>
      </c>
      <c r="R91" t="s">
        <v>922</v>
      </c>
      <c r="S91" t="s">
        <v>39</v>
      </c>
      <c r="T91" t="s">
        <v>440</v>
      </c>
      <c r="U91" t="s">
        <v>867</v>
      </c>
      <c r="V91" t="s">
        <v>114</v>
      </c>
    </row>
    <row r="92" spans="1:22" x14ac:dyDescent="0.3">
      <c r="A92" t="s">
        <v>923</v>
      </c>
      <c r="B92" t="s">
        <v>924</v>
      </c>
      <c r="C92" t="s">
        <v>925</v>
      </c>
      <c r="D92" t="s">
        <v>926</v>
      </c>
      <c r="E92" t="s">
        <v>87</v>
      </c>
      <c r="F92" t="s">
        <v>26</v>
      </c>
      <c r="G92" t="s">
        <v>67</v>
      </c>
      <c r="H92" t="s">
        <v>28</v>
      </c>
      <c r="I92" t="s">
        <v>69</v>
      </c>
      <c r="J92" t="s">
        <v>30</v>
      </c>
      <c r="K92" t="s">
        <v>71</v>
      </c>
      <c r="L92" t="s">
        <v>927</v>
      </c>
      <c r="M92" t="s">
        <v>928</v>
      </c>
      <c r="N92" t="s">
        <v>714</v>
      </c>
      <c r="O92" t="s">
        <v>929</v>
      </c>
      <c r="P92" t="s">
        <v>930</v>
      </c>
      <c r="Q92" t="s">
        <v>931</v>
      </c>
      <c r="R92" t="s">
        <v>932</v>
      </c>
      <c r="S92" t="s">
        <v>58</v>
      </c>
      <c r="T92" t="s">
        <v>168</v>
      </c>
      <c r="U92" t="s">
        <v>472</v>
      </c>
      <c r="V92" t="s">
        <v>79</v>
      </c>
    </row>
    <row r="93" spans="1:22" x14ac:dyDescent="0.3">
      <c r="A93" t="s">
        <v>933</v>
      </c>
      <c r="B93" t="s">
        <v>934</v>
      </c>
      <c r="C93" t="s">
        <v>935</v>
      </c>
      <c r="D93" t="s">
        <v>936</v>
      </c>
      <c r="E93" t="s">
        <v>133</v>
      </c>
      <c r="F93" t="s">
        <v>134</v>
      </c>
      <c r="G93" t="s">
        <v>27</v>
      </c>
      <c r="H93" t="s">
        <v>268</v>
      </c>
      <c r="I93" t="s">
        <v>69</v>
      </c>
      <c r="J93" t="s">
        <v>30</v>
      </c>
      <c r="K93" t="s">
        <v>71</v>
      </c>
      <c r="L93" t="s">
        <v>937</v>
      </c>
      <c r="M93" t="s">
        <v>938</v>
      </c>
      <c r="N93" t="s">
        <v>179</v>
      </c>
      <c r="O93" t="s">
        <v>938</v>
      </c>
      <c r="P93" t="s">
        <v>939</v>
      </c>
      <c r="Q93" t="s">
        <v>940</v>
      </c>
      <c r="R93" t="s">
        <v>941</v>
      </c>
      <c r="S93" t="s">
        <v>58</v>
      </c>
      <c r="T93" t="s">
        <v>167</v>
      </c>
      <c r="U93" t="s">
        <v>300</v>
      </c>
      <c r="V93" t="s">
        <v>82</v>
      </c>
    </row>
    <row r="94" spans="1:22" x14ac:dyDescent="0.3">
      <c r="A94" t="s">
        <v>942</v>
      </c>
      <c r="B94" t="s">
        <v>943</v>
      </c>
      <c r="C94" t="s">
        <v>944</v>
      </c>
      <c r="D94" t="s">
        <v>945</v>
      </c>
      <c r="E94" t="s">
        <v>267</v>
      </c>
      <c r="F94" t="s">
        <v>66</v>
      </c>
      <c r="G94" t="s">
        <v>580</v>
      </c>
      <c r="H94" t="s">
        <v>68</v>
      </c>
      <c r="I94" t="s">
        <v>29</v>
      </c>
      <c r="J94" t="s">
        <v>70</v>
      </c>
      <c r="K94" t="s">
        <v>230</v>
      </c>
      <c r="L94" t="s">
        <v>105</v>
      </c>
      <c r="M94" t="s">
        <v>946</v>
      </c>
      <c r="N94" t="s">
        <v>166</v>
      </c>
      <c r="O94" t="s">
        <v>947</v>
      </c>
      <c r="P94" t="s">
        <v>948</v>
      </c>
      <c r="Q94" t="s">
        <v>949</v>
      </c>
      <c r="R94" t="s">
        <v>719</v>
      </c>
      <c r="S94" t="s">
        <v>58</v>
      </c>
      <c r="T94" t="s">
        <v>74</v>
      </c>
      <c r="U94" t="s">
        <v>98</v>
      </c>
      <c r="V94" t="s">
        <v>58</v>
      </c>
    </row>
    <row r="95" spans="1:22" x14ac:dyDescent="0.3">
      <c r="A95" t="s">
        <v>950</v>
      </c>
      <c r="B95" t="s">
        <v>951</v>
      </c>
      <c r="C95" t="s">
        <v>952</v>
      </c>
      <c r="D95" t="s">
        <v>486</v>
      </c>
      <c r="E95" t="s">
        <v>780</v>
      </c>
      <c r="F95" t="s">
        <v>282</v>
      </c>
      <c r="G95" t="s">
        <v>580</v>
      </c>
      <c r="H95" t="s">
        <v>229</v>
      </c>
      <c r="I95" t="s">
        <v>69</v>
      </c>
      <c r="J95" t="s">
        <v>70</v>
      </c>
      <c r="K95" t="s">
        <v>50</v>
      </c>
      <c r="L95" t="s">
        <v>163</v>
      </c>
      <c r="M95" t="s">
        <v>953</v>
      </c>
      <c r="N95" t="s">
        <v>361</v>
      </c>
      <c r="O95" t="s">
        <v>798</v>
      </c>
      <c r="P95" t="s">
        <v>259</v>
      </c>
      <c r="Q95" t="s">
        <v>392</v>
      </c>
      <c r="R95" t="s">
        <v>954</v>
      </c>
      <c r="S95" t="s">
        <v>79</v>
      </c>
      <c r="T95" t="s">
        <v>321</v>
      </c>
      <c r="U95" t="s">
        <v>537</v>
      </c>
      <c r="V95" t="s">
        <v>114</v>
      </c>
    </row>
    <row r="96" spans="1:22" x14ac:dyDescent="0.3">
      <c r="A96" t="s">
        <v>955</v>
      </c>
      <c r="B96" t="s">
        <v>956</v>
      </c>
      <c r="C96" t="s">
        <v>957</v>
      </c>
      <c r="D96" t="s">
        <v>958</v>
      </c>
      <c r="E96" t="s">
        <v>161</v>
      </c>
      <c r="F96" t="s">
        <v>161</v>
      </c>
      <c r="G96" t="s">
        <v>48</v>
      </c>
      <c r="H96" t="s">
        <v>28</v>
      </c>
      <c r="I96" t="s">
        <v>29</v>
      </c>
      <c r="J96" t="s">
        <v>30</v>
      </c>
      <c r="K96" t="s">
        <v>293</v>
      </c>
      <c r="L96" t="s">
        <v>333</v>
      </c>
      <c r="M96" t="s">
        <v>880</v>
      </c>
      <c r="N96" t="s">
        <v>237</v>
      </c>
      <c r="O96" t="s">
        <v>581</v>
      </c>
      <c r="P96" t="s">
        <v>959</v>
      </c>
      <c r="Q96" t="s">
        <v>165</v>
      </c>
      <c r="R96" t="s">
        <v>960</v>
      </c>
      <c r="S96" t="s">
        <v>97</v>
      </c>
      <c r="T96" t="s">
        <v>142</v>
      </c>
      <c r="U96" t="s">
        <v>171</v>
      </c>
      <c r="V96" t="s">
        <v>114</v>
      </c>
    </row>
    <row r="97" spans="1:22" x14ac:dyDescent="0.3">
      <c r="A97" t="s">
        <v>961</v>
      </c>
      <c r="B97" t="s">
        <v>962</v>
      </c>
      <c r="C97" t="s">
        <v>963</v>
      </c>
      <c r="D97" t="s">
        <v>964</v>
      </c>
      <c r="E97" t="s">
        <v>780</v>
      </c>
      <c r="F97" t="s">
        <v>282</v>
      </c>
      <c r="G97" t="s">
        <v>27</v>
      </c>
      <c r="H97" t="s">
        <v>214</v>
      </c>
      <c r="I97" t="s">
        <v>29</v>
      </c>
      <c r="J97" t="s">
        <v>257</v>
      </c>
      <c r="K97" t="s">
        <v>50</v>
      </c>
      <c r="L97" t="s">
        <v>682</v>
      </c>
      <c r="M97" t="s">
        <v>965</v>
      </c>
      <c r="N97" t="s">
        <v>966</v>
      </c>
      <c r="O97" t="s">
        <v>967</v>
      </c>
      <c r="P97" t="s">
        <v>968</v>
      </c>
      <c r="Q97" t="s">
        <v>627</v>
      </c>
      <c r="R97" t="s">
        <v>969</v>
      </c>
      <c r="S97" t="s">
        <v>39</v>
      </c>
      <c r="T97" t="s">
        <v>299</v>
      </c>
      <c r="U97" t="s">
        <v>373</v>
      </c>
      <c r="V97" t="s">
        <v>58</v>
      </c>
    </row>
    <row r="98" spans="1:22" x14ac:dyDescent="0.3">
      <c r="A98" t="s">
        <v>970</v>
      </c>
      <c r="B98" t="s">
        <v>971</v>
      </c>
      <c r="C98" t="s">
        <v>972</v>
      </c>
      <c r="D98" t="s">
        <v>973</v>
      </c>
      <c r="E98" t="s">
        <v>282</v>
      </c>
      <c r="F98" t="s">
        <v>282</v>
      </c>
      <c r="G98" t="s">
        <v>27</v>
      </c>
      <c r="H98" t="s">
        <v>214</v>
      </c>
      <c r="I98" t="s">
        <v>29</v>
      </c>
      <c r="J98" t="s">
        <v>162</v>
      </c>
      <c r="K98" t="s">
        <v>200</v>
      </c>
      <c r="L98" t="s">
        <v>974</v>
      </c>
      <c r="M98" t="s">
        <v>975</v>
      </c>
      <c r="N98" t="s">
        <v>170</v>
      </c>
      <c r="O98" t="s">
        <v>976</v>
      </c>
      <c r="P98" t="s">
        <v>977</v>
      </c>
      <c r="Q98" t="s">
        <v>767</v>
      </c>
      <c r="R98" t="s">
        <v>978</v>
      </c>
      <c r="S98" t="s">
        <v>126</v>
      </c>
      <c r="T98" t="s">
        <v>610</v>
      </c>
      <c r="U98" t="s">
        <v>373</v>
      </c>
      <c r="V98" t="s">
        <v>82</v>
      </c>
    </row>
    <row r="99" spans="1:22" x14ac:dyDescent="0.3">
      <c r="A99" t="s">
        <v>979</v>
      </c>
      <c r="B99" t="s">
        <v>980</v>
      </c>
      <c r="C99" t="s">
        <v>981</v>
      </c>
      <c r="D99" t="s">
        <v>982</v>
      </c>
      <c r="E99" t="s">
        <v>160</v>
      </c>
      <c r="F99" t="s">
        <v>161</v>
      </c>
      <c r="G99" t="s">
        <v>48</v>
      </c>
      <c r="H99" t="s">
        <v>229</v>
      </c>
      <c r="I99" t="s">
        <v>69</v>
      </c>
      <c r="J99" t="s">
        <v>162</v>
      </c>
      <c r="K99" t="s">
        <v>215</v>
      </c>
      <c r="L99" t="s">
        <v>983</v>
      </c>
      <c r="M99" t="s">
        <v>984</v>
      </c>
      <c r="N99" t="s">
        <v>142</v>
      </c>
      <c r="O99" t="s">
        <v>390</v>
      </c>
      <c r="P99" t="s">
        <v>985</v>
      </c>
      <c r="Q99" t="s">
        <v>986</v>
      </c>
      <c r="R99" t="s">
        <v>987</v>
      </c>
      <c r="S99" t="s">
        <v>97</v>
      </c>
      <c r="T99" t="s">
        <v>321</v>
      </c>
      <c r="U99" t="s">
        <v>171</v>
      </c>
      <c r="V99" t="s">
        <v>79</v>
      </c>
    </row>
    <row r="100" spans="1:22" x14ac:dyDescent="0.3">
      <c r="A100" t="s">
        <v>988</v>
      </c>
      <c r="B100" t="s">
        <v>989</v>
      </c>
      <c r="C100" t="s">
        <v>990</v>
      </c>
      <c r="D100" t="s">
        <v>991</v>
      </c>
      <c r="E100" t="s">
        <v>243</v>
      </c>
      <c r="F100" t="s">
        <v>244</v>
      </c>
      <c r="G100" t="s">
        <v>103</v>
      </c>
      <c r="H100" t="s">
        <v>104</v>
      </c>
      <c r="I100" t="s">
        <v>69</v>
      </c>
      <c r="J100" t="s">
        <v>70</v>
      </c>
      <c r="K100" t="s">
        <v>31</v>
      </c>
      <c r="L100" t="s">
        <v>663</v>
      </c>
      <c r="M100" t="s">
        <v>992</v>
      </c>
      <c r="N100" t="s">
        <v>179</v>
      </c>
      <c r="O100" t="s">
        <v>992</v>
      </c>
      <c r="P100" t="s">
        <v>886</v>
      </c>
      <c r="Q100" t="s">
        <v>391</v>
      </c>
      <c r="R100" t="s">
        <v>993</v>
      </c>
      <c r="S100" t="s">
        <v>58</v>
      </c>
      <c r="T100" t="s">
        <v>735</v>
      </c>
      <c r="U100" t="s">
        <v>373</v>
      </c>
      <c r="V100" t="s">
        <v>42</v>
      </c>
    </row>
    <row r="101" spans="1:22" x14ac:dyDescent="0.3">
      <c r="A101" t="s">
        <v>994</v>
      </c>
      <c r="B101" t="s">
        <v>995</v>
      </c>
      <c r="C101" t="s">
        <v>996</v>
      </c>
      <c r="D101" t="s">
        <v>997</v>
      </c>
      <c r="E101" t="s">
        <v>26</v>
      </c>
      <c r="F101" t="s">
        <v>26</v>
      </c>
      <c r="G101" t="s">
        <v>118</v>
      </c>
      <c r="H101" t="s">
        <v>88</v>
      </c>
      <c r="I101" t="s">
        <v>69</v>
      </c>
      <c r="J101" t="s">
        <v>162</v>
      </c>
      <c r="K101" t="s">
        <v>230</v>
      </c>
      <c r="L101" t="s">
        <v>111</v>
      </c>
      <c r="M101" t="s">
        <v>998</v>
      </c>
      <c r="N101" t="s">
        <v>179</v>
      </c>
      <c r="O101" t="s">
        <v>998</v>
      </c>
      <c r="P101" t="s">
        <v>999</v>
      </c>
      <c r="Q101" t="s">
        <v>1000</v>
      </c>
      <c r="R101" t="s">
        <v>1001</v>
      </c>
      <c r="S101" t="s">
        <v>126</v>
      </c>
      <c r="T101" t="s">
        <v>137</v>
      </c>
      <c r="U101" t="s">
        <v>537</v>
      </c>
      <c r="V101" t="s">
        <v>82</v>
      </c>
    </row>
    <row r="102" spans="1:22" x14ac:dyDescent="0.3">
      <c r="A102" t="s">
        <v>1002</v>
      </c>
      <c r="B102" t="s">
        <v>463</v>
      </c>
      <c r="C102" t="s">
        <v>464</v>
      </c>
      <c r="D102" t="s">
        <v>1003</v>
      </c>
      <c r="E102" t="s">
        <v>893</v>
      </c>
      <c r="F102" t="s">
        <v>188</v>
      </c>
      <c r="G102" t="s">
        <v>213</v>
      </c>
      <c r="H102" t="s">
        <v>68</v>
      </c>
      <c r="I102" t="s">
        <v>69</v>
      </c>
      <c r="J102" t="s">
        <v>30</v>
      </c>
      <c r="K102" t="s">
        <v>31</v>
      </c>
      <c r="L102" t="s">
        <v>111</v>
      </c>
      <c r="M102" t="s">
        <v>205</v>
      </c>
      <c r="N102" t="s">
        <v>179</v>
      </c>
      <c r="O102" t="s">
        <v>205</v>
      </c>
      <c r="P102" t="s">
        <v>1004</v>
      </c>
      <c r="Q102" t="s">
        <v>218</v>
      </c>
      <c r="R102" t="s">
        <v>1005</v>
      </c>
      <c r="S102" t="s">
        <v>39</v>
      </c>
      <c r="T102" t="s">
        <v>529</v>
      </c>
      <c r="U102" t="s">
        <v>362</v>
      </c>
      <c r="V102" t="s">
        <v>58</v>
      </c>
    </row>
    <row r="103" spans="1:22" x14ac:dyDescent="0.3">
      <c r="A103" t="s">
        <v>1006</v>
      </c>
      <c r="B103" t="s">
        <v>1007</v>
      </c>
      <c r="C103" t="s">
        <v>1008</v>
      </c>
      <c r="D103" t="s">
        <v>1009</v>
      </c>
      <c r="E103" t="s">
        <v>160</v>
      </c>
      <c r="F103" t="s">
        <v>161</v>
      </c>
      <c r="G103" t="s">
        <v>213</v>
      </c>
      <c r="H103" t="s">
        <v>49</v>
      </c>
      <c r="I103" t="s">
        <v>69</v>
      </c>
      <c r="J103" t="s">
        <v>30</v>
      </c>
      <c r="K103" t="s">
        <v>31</v>
      </c>
      <c r="L103" t="s">
        <v>1010</v>
      </c>
      <c r="M103" t="s">
        <v>1011</v>
      </c>
      <c r="N103" t="s">
        <v>179</v>
      </c>
      <c r="O103" t="s">
        <v>1011</v>
      </c>
      <c r="P103" t="s">
        <v>52</v>
      </c>
      <c r="Q103" t="s">
        <v>448</v>
      </c>
      <c r="R103" t="s">
        <v>1012</v>
      </c>
      <c r="S103" t="s">
        <v>58</v>
      </c>
      <c r="T103" t="s">
        <v>1013</v>
      </c>
      <c r="U103" t="s">
        <v>128</v>
      </c>
      <c r="V103" t="s">
        <v>82</v>
      </c>
    </row>
    <row r="104" spans="1:22" x14ac:dyDescent="0.3">
      <c r="A104" t="s">
        <v>1014</v>
      </c>
      <c r="B104" t="s">
        <v>531</v>
      </c>
      <c r="C104" t="s">
        <v>532</v>
      </c>
      <c r="D104" t="s">
        <v>1015</v>
      </c>
      <c r="E104" t="s">
        <v>780</v>
      </c>
      <c r="F104" t="s">
        <v>282</v>
      </c>
      <c r="G104" t="s">
        <v>67</v>
      </c>
      <c r="H104" t="s">
        <v>68</v>
      </c>
      <c r="I104" t="s">
        <v>29</v>
      </c>
      <c r="J104" t="s">
        <v>162</v>
      </c>
      <c r="K104" t="s">
        <v>293</v>
      </c>
      <c r="L104" t="s">
        <v>362</v>
      </c>
      <c r="M104" t="s">
        <v>601</v>
      </c>
      <c r="N104" t="s">
        <v>677</v>
      </c>
      <c r="O104" t="s">
        <v>1016</v>
      </c>
      <c r="P104" t="s">
        <v>873</v>
      </c>
      <c r="Q104" t="s">
        <v>321</v>
      </c>
      <c r="R104" t="s">
        <v>1017</v>
      </c>
      <c r="S104" t="s">
        <v>39</v>
      </c>
      <c r="T104" t="s">
        <v>543</v>
      </c>
      <c r="U104" t="s">
        <v>60</v>
      </c>
      <c r="V104" t="s">
        <v>79</v>
      </c>
    </row>
    <row r="105" spans="1:22" x14ac:dyDescent="0.3">
      <c r="A105" t="s">
        <v>1018</v>
      </c>
      <c r="B105" t="s">
        <v>1019</v>
      </c>
      <c r="C105" t="s">
        <v>1020</v>
      </c>
      <c r="D105" t="s">
        <v>1021</v>
      </c>
      <c r="E105" t="s">
        <v>399</v>
      </c>
      <c r="F105" t="s">
        <v>188</v>
      </c>
      <c r="G105" t="s">
        <v>67</v>
      </c>
      <c r="H105" t="s">
        <v>49</v>
      </c>
      <c r="I105" t="s">
        <v>69</v>
      </c>
      <c r="J105" t="s">
        <v>70</v>
      </c>
      <c r="K105" t="s">
        <v>200</v>
      </c>
      <c r="L105" t="s">
        <v>1022</v>
      </c>
      <c r="M105" t="s">
        <v>915</v>
      </c>
      <c r="N105" t="s">
        <v>179</v>
      </c>
      <c r="O105" t="s">
        <v>915</v>
      </c>
      <c r="P105" t="s">
        <v>1011</v>
      </c>
      <c r="Q105" t="s">
        <v>977</v>
      </c>
      <c r="R105" t="s">
        <v>1023</v>
      </c>
      <c r="S105" t="s">
        <v>58</v>
      </c>
      <c r="T105" t="s">
        <v>695</v>
      </c>
      <c r="U105" t="s">
        <v>60</v>
      </c>
      <c r="V105" t="s">
        <v>79</v>
      </c>
    </row>
    <row r="106" spans="1:22" x14ac:dyDescent="0.3">
      <c r="A106" t="s">
        <v>1024</v>
      </c>
      <c r="B106" t="s">
        <v>1025</v>
      </c>
      <c r="C106" t="s">
        <v>1026</v>
      </c>
      <c r="D106" t="s">
        <v>1027</v>
      </c>
      <c r="E106" t="s">
        <v>87</v>
      </c>
      <c r="F106" t="s">
        <v>26</v>
      </c>
      <c r="G106" t="s">
        <v>147</v>
      </c>
      <c r="H106" t="s">
        <v>28</v>
      </c>
      <c r="I106" t="s">
        <v>29</v>
      </c>
      <c r="J106" t="s">
        <v>30</v>
      </c>
      <c r="K106" t="s">
        <v>215</v>
      </c>
      <c r="L106" t="s">
        <v>362</v>
      </c>
      <c r="M106" t="s">
        <v>898</v>
      </c>
      <c r="N106" t="s">
        <v>1028</v>
      </c>
      <c r="O106" t="s">
        <v>1029</v>
      </c>
      <c r="P106" t="s">
        <v>1030</v>
      </c>
      <c r="Q106" t="s">
        <v>1031</v>
      </c>
      <c r="R106" t="s">
        <v>1032</v>
      </c>
      <c r="S106" t="s">
        <v>126</v>
      </c>
      <c r="T106" t="s">
        <v>361</v>
      </c>
      <c r="U106" t="s">
        <v>407</v>
      </c>
      <c r="V106" t="s">
        <v>42</v>
      </c>
    </row>
    <row r="107" spans="1:22" x14ac:dyDescent="0.3">
      <c r="A107" t="s">
        <v>1033</v>
      </c>
      <c r="B107" t="s">
        <v>1034</v>
      </c>
      <c r="C107" t="s">
        <v>1035</v>
      </c>
      <c r="D107" t="s">
        <v>1036</v>
      </c>
      <c r="E107" t="s">
        <v>342</v>
      </c>
      <c r="F107" t="s">
        <v>244</v>
      </c>
      <c r="G107" t="s">
        <v>118</v>
      </c>
      <c r="H107" t="s">
        <v>49</v>
      </c>
      <c r="I107" t="s">
        <v>69</v>
      </c>
      <c r="J107" t="s">
        <v>70</v>
      </c>
      <c r="K107" t="s">
        <v>230</v>
      </c>
      <c r="L107" t="s">
        <v>1037</v>
      </c>
      <c r="M107" t="s">
        <v>914</v>
      </c>
      <c r="N107" t="s">
        <v>461</v>
      </c>
      <c r="O107" t="s">
        <v>1038</v>
      </c>
      <c r="P107" t="s">
        <v>1039</v>
      </c>
      <c r="Q107" t="s">
        <v>489</v>
      </c>
      <c r="R107" t="s">
        <v>1040</v>
      </c>
      <c r="S107" t="s">
        <v>97</v>
      </c>
      <c r="T107" t="s">
        <v>276</v>
      </c>
      <c r="U107" t="s">
        <v>41</v>
      </c>
      <c r="V107" t="s">
        <v>114</v>
      </c>
    </row>
    <row r="108" spans="1:22" x14ac:dyDescent="0.3">
      <c r="A108" t="s">
        <v>1041</v>
      </c>
      <c r="B108" t="s">
        <v>510</v>
      </c>
      <c r="C108" t="s">
        <v>511</v>
      </c>
      <c r="D108" t="s">
        <v>1042</v>
      </c>
      <c r="E108" t="s">
        <v>267</v>
      </c>
      <c r="F108" t="s">
        <v>66</v>
      </c>
      <c r="G108" t="s">
        <v>147</v>
      </c>
      <c r="H108" t="s">
        <v>268</v>
      </c>
      <c r="I108" t="s">
        <v>69</v>
      </c>
      <c r="J108" t="s">
        <v>70</v>
      </c>
      <c r="K108" t="s">
        <v>71</v>
      </c>
      <c r="L108" t="s">
        <v>534</v>
      </c>
      <c r="M108" t="s">
        <v>250</v>
      </c>
      <c r="N108" t="s">
        <v>140</v>
      </c>
      <c r="O108" t="s">
        <v>271</v>
      </c>
      <c r="P108" t="s">
        <v>524</v>
      </c>
      <c r="Q108" t="s">
        <v>1043</v>
      </c>
      <c r="R108" t="s">
        <v>1044</v>
      </c>
      <c r="S108" t="s">
        <v>58</v>
      </c>
      <c r="T108" t="s">
        <v>74</v>
      </c>
      <c r="U108" t="s">
        <v>867</v>
      </c>
      <c r="V108" t="s">
        <v>42</v>
      </c>
    </row>
    <row r="109" spans="1:22" x14ac:dyDescent="0.3">
      <c r="A109" t="s">
        <v>1045</v>
      </c>
      <c r="B109" t="s">
        <v>1046</v>
      </c>
      <c r="C109" t="s">
        <v>1047</v>
      </c>
      <c r="D109" t="s">
        <v>1048</v>
      </c>
      <c r="E109" t="s">
        <v>438</v>
      </c>
      <c r="F109" t="s">
        <v>188</v>
      </c>
      <c r="G109" t="s">
        <v>48</v>
      </c>
      <c r="H109" t="s">
        <v>68</v>
      </c>
      <c r="I109" t="s">
        <v>69</v>
      </c>
      <c r="J109" t="s">
        <v>162</v>
      </c>
      <c r="K109" t="s">
        <v>89</v>
      </c>
      <c r="L109" t="s">
        <v>1049</v>
      </c>
      <c r="M109" t="s">
        <v>1050</v>
      </c>
      <c r="N109" t="s">
        <v>1051</v>
      </c>
      <c r="O109" t="s">
        <v>1052</v>
      </c>
      <c r="P109" t="s">
        <v>1053</v>
      </c>
      <c r="Q109" t="s">
        <v>95</v>
      </c>
      <c r="R109" t="s">
        <v>1054</v>
      </c>
      <c r="S109" t="s">
        <v>79</v>
      </c>
      <c r="T109" t="s">
        <v>921</v>
      </c>
      <c r="U109" t="s">
        <v>288</v>
      </c>
      <c r="V109" t="s">
        <v>114</v>
      </c>
    </row>
    <row r="110" spans="1:22" x14ac:dyDescent="0.3">
      <c r="A110" t="s">
        <v>1055</v>
      </c>
      <c r="B110" t="s">
        <v>1056</v>
      </c>
      <c r="C110" t="s">
        <v>1057</v>
      </c>
      <c r="D110" t="s">
        <v>1058</v>
      </c>
      <c r="E110" t="s">
        <v>438</v>
      </c>
      <c r="F110" t="s">
        <v>188</v>
      </c>
      <c r="G110" t="s">
        <v>580</v>
      </c>
      <c r="H110" t="s">
        <v>268</v>
      </c>
      <c r="I110" t="s">
        <v>69</v>
      </c>
      <c r="J110" t="s">
        <v>70</v>
      </c>
      <c r="K110" t="s">
        <v>230</v>
      </c>
      <c r="L110" t="s">
        <v>258</v>
      </c>
      <c r="M110" t="s">
        <v>849</v>
      </c>
      <c r="N110" t="s">
        <v>179</v>
      </c>
      <c r="O110" t="s">
        <v>849</v>
      </c>
      <c r="P110" t="s">
        <v>524</v>
      </c>
      <c r="Q110" t="s">
        <v>518</v>
      </c>
      <c r="R110" t="s">
        <v>987</v>
      </c>
      <c r="S110" t="s">
        <v>97</v>
      </c>
      <c r="T110" t="s">
        <v>384</v>
      </c>
      <c r="U110" t="s">
        <v>362</v>
      </c>
      <c r="V110" t="s">
        <v>82</v>
      </c>
    </row>
    <row r="111" spans="1:22" x14ac:dyDescent="0.3">
      <c r="A111" t="s">
        <v>1059</v>
      </c>
      <c r="B111" t="s">
        <v>1060</v>
      </c>
      <c r="C111" t="s">
        <v>1061</v>
      </c>
      <c r="D111" t="s">
        <v>1062</v>
      </c>
      <c r="E111" t="s">
        <v>47</v>
      </c>
      <c r="F111" t="s">
        <v>26</v>
      </c>
      <c r="G111" t="s">
        <v>48</v>
      </c>
      <c r="H111" t="s">
        <v>229</v>
      </c>
      <c r="I111" t="s">
        <v>69</v>
      </c>
      <c r="J111" t="s">
        <v>70</v>
      </c>
      <c r="K111" t="s">
        <v>71</v>
      </c>
      <c r="L111" t="s">
        <v>362</v>
      </c>
      <c r="M111" t="s">
        <v>1063</v>
      </c>
      <c r="N111" t="s">
        <v>543</v>
      </c>
      <c r="O111" t="s">
        <v>1064</v>
      </c>
      <c r="P111" t="s">
        <v>54</v>
      </c>
      <c r="Q111" t="s">
        <v>40</v>
      </c>
      <c r="R111" t="s">
        <v>1065</v>
      </c>
      <c r="S111" t="s">
        <v>39</v>
      </c>
      <c r="T111" t="s">
        <v>1013</v>
      </c>
      <c r="U111" t="s">
        <v>171</v>
      </c>
      <c r="V111" t="s">
        <v>79</v>
      </c>
    </row>
    <row r="112" spans="1:22" x14ac:dyDescent="0.3">
      <c r="A112" t="s">
        <v>1066</v>
      </c>
      <c r="B112" t="s">
        <v>425</v>
      </c>
      <c r="C112" t="s">
        <v>426</v>
      </c>
      <c r="D112" t="s">
        <v>512</v>
      </c>
      <c r="E112" t="s">
        <v>243</v>
      </c>
      <c r="F112" t="s">
        <v>244</v>
      </c>
      <c r="G112" t="s">
        <v>48</v>
      </c>
      <c r="H112" t="s">
        <v>229</v>
      </c>
      <c r="I112" t="s">
        <v>29</v>
      </c>
      <c r="J112" t="s">
        <v>30</v>
      </c>
      <c r="K112" t="s">
        <v>89</v>
      </c>
      <c r="L112" t="s">
        <v>902</v>
      </c>
      <c r="M112" t="s">
        <v>1067</v>
      </c>
      <c r="N112" t="s">
        <v>836</v>
      </c>
      <c r="O112" t="s">
        <v>1068</v>
      </c>
      <c r="P112" t="s">
        <v>1069</v>
      </c>
      <c r="Q112" t="s">
        <v>335</v>
      </c>
      <c r="R112" t="s">
        <v>1070</v>
      </c>
      <c r="S112" t="s">
        <v>39</v>
      </c>
      <c r="T112" t="s">
        <v>735</v>
      </c>
      <c r="U112" t="s">
        <v>867</v>
      </c>
      <c r="V112" t="s">
        <v>114</v>
      </c>
    </row>
    <row r="113" spans="1:22" x14ac:dyDescent="0.3">
      <c r="A113" t="s">
        <v>1071</v>
      </c>
      <c r="B113" t="s">
        <v>23</v>
      </c>
      <c r="C113" t="s">
        <v>24</v>
      </c>
      <c r="D113" t="s">
        <v>1072</v>
      </c>
      <c r="E113" t="s">
        <v>378</v>
      </c>
      <c r="F113" t="s">
        <v>282</v>
      </c>
      <c r="G113" t="s">
        <v>103</v>
      </c>
      <c r="H113" t="s">
        <v>104</v>
      </c>
      <c r="I113" t="s">
        <v>1073</v>
      </c>
      <c r="J113" t="s">
        <v>30</v>
      </c>
      <c r="K113" t="s">
        <v>50</v>
      </c>
      <c r="L113" t="s">
        <v>598</v>
      </c>
      <c r="M113" t="s">
        <v>285</v>
      </c>
      <c r="N113" t="s">
        <v>237</v>
      </c>
      <c r="O113" t="s">
        <v>1074</v>
      </c>
      <c r="P113" t="s">
        <v>1075</v>
      </c>
      <c r="Q113" t="s">
        <v>299</v>
      </c>
      <c r="R113" t="s">
        <v>1076</v>
      </c>
      <c r="S113" t="s">
        <v>97</v>
      </c>
      <c r="T113" t="s">
        <v>648</v>
      </c>
      <c r="U113" t="s">
        <v>407</v>
      </c>
      <c r="V113" t="s">
        <v>79</v>
      </c>
    </row>
    <row r="114" spans="1:22" x14ac:dyDescent="0.3">
      <c r="A114" t="s">
        <v>1077</v>
      </c>
      <c r="B114" t="s">
        <v>980</v>
      </c>
      <c r="C114" t="s">
        <v>981</v>
      </c>
      <c r="D114" t="s">
        <v>1078</v>
      </c>
      <c r="E114" t="s">
        <v>66</v>
      </c>
      <c r="F114" t="s">
        <v>66</v>
      </c>
      <c r="G114" t="s">
        <v>67</v>
      </c>
      <c r="H114" t="s">
        <v>214</v>
      </c>
      <c r="I114" t="s">
        <v>69</v>
      </c>
      <c r="J114" t="s">
        <v>30</v>
      </c>
      <c r="K114" t="s">
        <v>89</v>
      </c>
      <c r="L114" t="s">
        <v>487</v>
      </c>
      <c r="M114" t="s">
        <v>562</v>
      </c>
      <c r="N114" t="s">
        <v>336</v>
      </c>
      <c r="O114" t="s">
        <v>563</v>
      </c>
      <c r="P114" t="s">
        <v>505</v>
      </c>
      <c r="Q114" t="s">
        <v>1079</v>
      </c>
      <c r="R114" t="s">
        <v>1080</v>
      </c>
      <c r="S114" t="s">
        <v>39</v>
      </c>
      <c r="T114" t="s">
        <v>369</v>
      </c>
      <c r="U114" t="s">
        <v>407</v>
      </c>
      <c r="V114" t="s">
        <v>42</v>
      </c>
    </row>
    <row r="115" spans="1:22" x14ac:dyDescent="0.3">
      <c r="A115" t="s">
        <v>1081</v>
      </c>
      <c r="B115" t="s">
        <v>1082</v>
      </c>
      <c r="C115" t="s">
        <v>1083</v>
      </c>
      <c r="D115" t="s">
        <v>1084</v>
      </c>
      <c r="E115" t="s">
        <v>354</v>
      </c>
      <c r="F115" t="s">
        <v>134</v>
      </c>
      <c r="G115" t="s">
        <v>213</v>
      </c>
      <c r="H115" t="s">
        <v>28</v>
      </c>
      <c r="I115" t="s">
        <v>69</v>
      </c>
      <c r="J115" t="s">
        <v>30</v>
      </c>
      <c r="K115" t="s">
        <v>200</v>
      </c>
      <c r="L115" t="s">
        <v>90</v>
      </c>
      <c r="M115" t="s">
        <v>1016</v>
      </c>
      <c r="N115" t="s">
        <v>170</v>
      </c>
      <c r="O115" t="s">
        <v>1085</v>
      </c>
      <c r="P115" t="s">
        <v>828</v>
      </c>
      <c r="Q115" t="s">
        <v>721</v>
      </c>
      <c r="R115" t="s">
        <v>1086</v>
      </c>
      <c r="S115" t="s">
        <v>97</v>
      </c>
      <c r="T115" t="s">
        <v>137</v>
      </c>
      <c r="U115" t="s">
        <v>300</v>
      </c>
      <c r="V115" t="s">
        <v>42</v>
      </c>
    </row>
    <row r="116" spans="1:22" x14ac:dyDescent="0.3">
      <c r="A116" t="s">
        <v>1087</v>
      </c>
      <c r="B116" t="s">
        <v>746</v>
      </c>
      <c r="C116" t="s">
        <v>747</v>
      </c>
      <c r="D116" t="s">
        <v>1088</v>
      </c>
      <c r="E116" t="s">
        <v>780</v>
      </c>
      <c r="F116" t="s">
        <v>282</v>
      </c>
      <c r="G116" t="s">
        <v>103</v>
      </c>
      <c r="H116" t="s">
        <v>214</v>
      </c>
      <c r="I116" t="s">
        <v>69</v>
      </c>
      <c r="J116" t="s">
        <v>30</v>
      </c>
      <c r="K116" t="s">
        <v>230</v>
      </c>
      <c r="L116" t="s">
        <v>428</v>
      </c>
      <c r="M116" t="s">
        <v>967</v>
      </c>
      <c r="N116" t="s">
        <v>179</v>
      </c>
      <c r="O116" t="s">
        <v>967</v>
      </c>
      <c r="P116" t="s">
        <v>1089</v>
      </c>
      <c r="Q116" t="s">
        <v>1090</v>
      </c>
      <c r="R116" t="s">
        <v>1091</v>
      </c>
      <c r="S116" t="s">
        <v>58</v>
      </c>
      <c r="T116" t="s">
        <v>335</v>
      </c>
      <c r="U116" t="s">
        <v>113</v>
      </c>
      <c r="V116" t="s">
        <v>114</v>
      </c>
    </row>
    <row r="117" spans="1:22" x14ac:dyDescent="0.3">
      <c r="A117" t="s">
        <v>1092</v>
      </c>
      <c r="B117" t="s">
        <v>1093</v>
      </c>
      <c r="C117" t="s">
        <v>1094</v>
      </c>
      <c r="D117" t="s">
        <v>1095</v>
      </c>
      <c r="E117" t="s">
        <v>438</v>
      </c>
      <c r="F117" t="s">
        <v>188</v>
      </c>
      <c r="G117" t="s">
        <v>147</v>
      </c>
      <c r="H117" t="s">
        <v>28</v>
      </c>
      <c r="I117" t="s">
        <v>29</v>
      </c>
      <c r="J117" t="s">
        <v>30</v>
      </c>
      <c r="K117" t="s">
        <v>215</v>
      </c>
      <c r="L117" t="s">
        <v>163</v>
      </c>
      <c r="M117" t="s">
        <v>1096</v>
      </c>
      <c r="N117" t="s">
        <v>179</v>
      </c>
      <c r="O117" t="s">
        <v>1096</v>
      </c>
      <c r="P117" t="s">
        <v>1097</v>
      </c>
      <c r="Q117" t="s">
        <v>137</v>
      </c>
      <c r="R117" t="s">
        <v>1098</v>
      </c>
      <c r="S117" t="s">
        <v>126</v>
      </c>
      <c r="T117" t="s">
        <v>1099</v>
      </c>
      <c r="U117" t="s">
        <v>300</v>
      </c>
      <c r="V117" t="s">
        <v>114</v>
      </c>
    </row>
    <row r="118" spans="1:22" x14ac:dyDescent="0.3">
      <c r="A118" t="s">
        <v>1100</v>
      </c>
      <c r="B118" t="s">
        <v>1101</v>
      </c>
      <c r="C118" t="s">
        <v>1102</v>
      </c>
      <c r="D118" t="s">
        <v>1103</v>
      </c>
      <c r="E118" t="s">
        <v>26</v>
      </c>
      <c r="F118" t="s">
        <v>26</v>
      </c>
      <c r="G118" t="s">
        <v>147</v>
      </c>
      <c r="I118" t="s">
        <v>69</v>
      </c>
      <c r="J118" t="s">
        <v>70</v>
      </c>
      <c r="K118" t="s">
        <v>31</v>
      </c>
      <c r="L118" t="s">
        <v>428</v>
      </c>
      <c r="M118" t="s">
        <v>1104</v>
      </c>
      <c r="N118" t="s">
        <v>261</v>
      </c>
      <c r="O118" t="s">
        <v>1105</v>
      </c>
      <c r="P118" t="s">
        <v>491</v>
      </c>
      <c r="Q118" t="s">
        <v>1106</v>
      </c>
      <c r="R118" t="s">
        <v>1107</v>
      </c>
      <c r="S118" t="s">
        <v>79</v>
      </c>
      <c r="T118" t="s">
        <v>600</v>
      </c>
      <c r="U118" t="s">
        <v>568</v>
      </c>
      <c r="V118" t="s">
        <v>114</v>
      </c>
    </row>
    <row r="119" spans="1:22" x14ac:dyDescent="0.3">
      <c r="A119" t="s">
        <v>1108</v>
      </c>
      <c r="B119" t="s">
        <v>1109</v>
      </c>
      <c r="C119" t="s">
        <v>1110</v>
      </c>
      <c r="D119" t="s">
        <v>1111</v>
      </c>
      <c r="E119" t="s">
        <v>133</v>
      </c>
      <c r="F119" t="s">
        <v>134</v>
      </c>
      <c r="G119" t="s">
        <v>118</v>
      </c>
      <c r="H119" t="s">
        <v>68</v>
      </c>
      <c r="I119" t="s">
        <v>29</v>
      </c>
      <c r="J119" t="s">
        <v>30</v>
      </c>
      <c r="K119" t="s">
        <v>31</v>
      </c>
      <c r="L119" t="s">
        <v>551</v>
      </c>
      <c r="M119" t="s">
        <v>283</v>
      </c>
      <c r="N119" t="s">
        <v>1112</v>
      </c>
      <c r="O119" t="s">
        <v>1113</v>
      </c>
      <c r="P119" t="s">
        <v>249</v>
      </c>
      <c r="Q119" t="s">
        <v>1114</v>
      </c>
      <c r="R119" t="s">
        <v>1115</v>
      </c>
      <c r="S119" t="s">
        <v>182</v>
      </c>
      <c r="T119" t="s">
        <v>1116</v>
      </c>
      <c r="U119" t="s">
        <v>238</v>
      </c>
      <c r="V119" t="s">
        <v>42</v>
      </c>
    </row>
    <row r="120" spans="1:22" x14ac:dyDescent="0.3">
      <c r="A120" t="s">
        <v>1117</v>
      </c>
      <c r="B120" t="s">
        <v>1118</v>
      </c>
      <c r="C120" t="s">
        <v>1119</v>
      </c>
      <c r="D120" t="s">
        <v>1120</v>
      </c>
      <c r="E120" t="s">
        <v>66</v>
      </c>
      <c r="F120" t="s">
        <v>66</v>
      </c>
      <c r="G120" t="s">
        <v>27</v>
      </c>
      <c r="H120" t="s">
        <v>88</v>
      </c>
      <c r="I120" t="s">
        <v>29</v>
      </c>
      <c r="J120" t="s">
        <v>30</v>
      </c>
      <c r="K120" t="s">
        <v>50</v>
      </c>
      <c r="L120" t="s">
        <v>32</v>
      </c>
      <c r="M120" t="s">
        <v>1121</v>
      </c>
      <c r="N120" t="s">
        <v>179</v>
      </c>
      <c r="O120" t="s">
        <v>1121</v>
      </c>
      <c r="P120" t="s">
        <v>1122</v>
      </c>
      <c r="Q120" t="s">
        <v>1011</v>
      </c>
      <c r="R120" t="s">
        <v>1123</v>
      </c>
      <c r="S120" t="s">
        <v>79</v>
      </c>
      <c r="T120" t="s">
        <v>95</v>
      </c>
      <c r="U120" t="s">
        <v>472</v>
      </c>
      <c r="V120" t="s">
        <v>42</v>
      </c>
    </row>
    <row r="121" spans="1:22" x14ac:dyDescent="0.3">
      <c r="A121" t="s">
        <v>1124</v>
      </c>
      <c r="B121" t="s">
        <v>1125</v>
      </c>
      <c r="C121" t="s">
        <v>1126</v>
      </c>
      <c r="D121" t="s">
        <v>304</v>
      </c>
      <c r="E121" t="s">
        <v>438</v>
      </c>
      <c r="F121" t="s">
        <v>188</v>
      </c>
      <c r="G121" t="s">
        <v>147</v>
      </c>
      <c r="H121" t="s">
        <v>68</v>
      </c>
      <c r="I121" t="s">
        <v>69</v>
      </c>
      <c r="J121" t="s">
        <v>30</v>
      </c>
      <c r="K121" t="s">
        <v>215</v>
      </c>
      <c r="L121" t="s">
        <v>111</v>
      </c>
      <c r="M121" t="s">
        <v>1127</v>
      </c>
      <c r="N121" t="s">
        <v>440</v>
      </c>
      <c r="O121" t="s">
        <v>601</v>
      </c>
      <c r="P121" t="s">
        <v>1128</v>
      </c>
      <c r="Q121" t="s">
        <v>628</v>
      </c>
      <c r="R121" t="s">
        <v>1129</v>
      </c>
      <c r="S121" t="s">
        <v>97</v>
      </c>
      <c r="T121" t="s">
        <v>710</v>
      </c>
      <c r="U121" t="s">
        <v>60</v>
      </c>
      <c r="V121" t="s">
        <v>79</v>
      </c>
    </row>
    <row r="122" spans="1:22" x14ac:dyDescent="0.3">
      <c r="A122" t="s">
        <v>1130</v>
      </c>
      <c r="B122" t="s">
        <v>1131</v>
      </c>
      <c r="C122" t="s">
        <v>1132</v>
      </c>
      <c r="D122" t="s">
        <v>199</v>
      </c>
      <c r="E122" t="s">
        <v>87</v>
      </c>
      <c r="F122" t="s">
        <v>26</v>
      </c>
      <c r="G122" t="s">
        <v>27</v>
      </c>
      <c r="H122" t="s">
        <v>214</v>
      </c>
      <c r="I122" t="s">
        <v>69</v>
      </c>
      <c r="J122" t="s">
        <v>30</v>
      </c>
      <c r="K122" t="s">
        <v>245</v>
      </c>
      <c r="L122" t="s">
        <v>148</v>
      </c>
      <c r="M122" t="s">
        <v>178</v>
      </c>
      <c r="N122" t="s">
        <v>1133</v>
      </c>
      <c r="O122" t="s">
        <v>806</v>
      </c>
      <c r="P122" t="s">
        <v>52</v>
      </c>
      <c r="Q122" t="s">
        <v>724</v>
      </c>
      <c r="R122" t="s">
        <v>1134</v>
      </c>
      <c r="S122" t="s">
        <v>182</v>
      </c>
      <c r="T122" t="s">
        <v>142</v>
      </c>
      <c r="U122" t="s">
        <v>155</v>
      </c>
      <c r="V122" t="s">
        <v>114</v>
      </c>
    </row>
    <row r="123" spans="1:22" x14ac:dyDescent="0.3">
      <c r="A123" t="s">
        <v>1135</v>
      </c>
      <c r="B123" t="s">
        <v>1136</v>
      </c>
      <c r="C123" t="s">
        <v>1137</v>
      </c>
      <c r="D123" t="s">
        <v>1138</v>
      </c>
      <c r="E123" t="s">
        <v>244</v>
      </c>
      <c r="F123" t="s">
        <v>244</v>
      </c>
      <c r="G123" t="s">
        <v>147</v>
      </c>
      <c r="H123" t="s">
        <v>214</v>
      </c>
      <c r="I123" t="s">
        <v>69</v>
      </c>
      <c r="J123" t="s">
        <v>30</v>
      </c>
      <c r="K123" t="s">
        <v>50</v>
      </c>
      <c r="L123" t="s">
        <v>1139</v>
      </c>
      <c r="M123" t="s">
        <v>760</v>
      </c>
      <c r="N123" t="s">
        <v>179</v>
      </c>
      <c r="O123" t="s">
        <v>760</v>
      </c>
      <c r="P123" t="s">
        <v>1140</v>
      </c>
      <c r="Q123" t="s">
        <v>1141</v>
      </c>
      <c r="R123" t="s">
        <v>1142</v>
      </c>
      <c r="S123" t="s">
        <v>58</v>
      </c>
      <c r="T123" t="s">
        <v>621</v>
      </c>
      <c r="U123" t="s">
        <v>407</v>
      </c>
      <c r="V123" t="s">
        <v>79</v>
      </c>
    </row>
    <row r="124" spans="1:22" x14ac:dyDescent="0.3">
      <c r="A124" t="s">
        <v>1143</v>
      </c>
      <c r="B124" t="s">
        <v>1144</v>
      </c>
      <c r="C124" t="s">
        <v>1145</v>
      </c>
      <c r="D124" t="s">
        <v>1146</v>
      </c>
      <c r="E124" t="s">
        <v>26</v>
      </c>
      <c r="F124" t="s">
        <v>26</v>
      </c>
      <c r="G124" t="s">
        <v>118</v>
      </c>
      <c r="H124" t="s">
        <v>68</v>
      </c>
      <c r="I124" t="s">
        <v>69</v>
      </c>
      <c r="J124" t="s">
        <v>30</v>
      </c>
      <c r="K124" t="s">
        <v>245</v>
      </c>
      <c r="L124" t="s">
        <v>773</v>
      </c>
      <c r="M124" t="s">
        <v>1147</v>
      </c>
      <c r="N124" t="s">
        <v>276</v>
      </c>
      <c r="O124" t="s">
        <v>1148</v>
      </c>
      <c r="P124" t="s">
        <v>1149</v>
      </c>
      <c r="Q124" t="s">
        <v>1150</v>
      </c>
      <c r="R124" t="s">
        <v>1151</v>
      </c>
      <c r="S124" t="s">
        <v>39</v>
      </c>
      <c r="T124" t="s">
        <v>459</v>
      </c>
      <c r="U124" t="s">
        <v>568</v>
      </c>
      <c r="V124" t="s">
        <v>114</v>
      </c>
    </row>
    <row r="125" spans="1:22" x14ac:dyDescent="0.3">
      <c r="A125" t="s">
        <v>1152</v>
      </c>
      <c r="B125" t="s">
        <v>1153</v>
      </c>
      <c r="C125" t="s">
        <v>1154</v>
      </c>
      <c r="D125" t="s">
        <v>1155</v>
      </c>
      <c r="E125" t="s">
        <v>65</v>
      </c>
      <c r="F125" t="s">
        <v>66</v>
      </c>
      <c r="G125" t="s">
        <v>67</v>
      </c>
      <c r="H125" t="s">
        <v>214</v>
      </c>
      <c r="I125" t="s">
        <v>69</v>
      </c>
      <c r="J125" t="s">
        <v>70</v>
      </c>
      <c r="K125" t="s">
        <v>50</v>
      </c>
      <c r="L125" t="s">
        <v>1156</v>
      </c>
      <c r="M125" t="s">
        <v>1157</v>
      </c>
      <c r="O125" t="s">
        <v>590</v>
      </c>
      <c r="P125" t="s">
        <v>1158</v>
      </c>
      <c r="Q125" t="s">
        <v>527</v>
      </c>
      <c r="R125" t="s">
        <v>1159</v>
      </c>
      <c r="S125" t="s">
        <v>182</v>
      </c>
      <c r="T125" t="s">
        <v>308</v>
      </c>
      <c r="U125" t="s">
        <v>373</v>
      </c>
      <c r="V125" t="s">
        <v>58</v>
      </c>
    </row>
    <row r="126" spans="1:22" x14ac:dyDescent="0.3">
      <c r="A126" t="s">
        <v>1160</v>
      </c>
      <c r="B126" t="s">
        <v>1093</v>
      </c>
      <c r="C126" t="s">
        <v>1094</v>
      </c>
      <c r="D126" t="s">
        <v>1161</v>
      </c>
      <c r="E126" t="s">
        <v>160</v>
      </c>
      <c r="F126" t="s">
        <v>161</v>
      </c>
      <c r="G126" t="s">
        <v>103</v>
      </c>
      <c r="H126" t="s">
        <v>28</v>
      </c>
      <c r="I126" t="s">
        <v>29</v>
      </c>
      <c r="J126" t="s">
        <v>162</v>
      </c>
      <c r="K126" t="s">
        <v>89</v>
      </c>
      <c r="L126" t="s">
        <v>428</v>
      </c>
      <c r="M126" t="s">
        <v>873</v>
      </c>
      <c r="N126" t="s">
        <v>1162</v>
      </c>
      <c r="O126" t="s">
        <v>1163</v>
      </c>
      <c r="P126" t="s">
        <v>390</v>
      </c>
      <c r="Q126" t="s">
        <v>518</v>
      </c>
      <c r="R126" t="s">
        <v>1164</v>
      </c>
      <c r="S126" t="s">
        <v>58</v>
      </c>
      <c r="T126" t="s">
        <v>37</v>
      </c>
      <c r="U126" t="s">
        <v>362</v>
      </c>
      <c r="V126" t="s">
        <v>114</v>
      </c>
    </row>
    <row r="127" spans="1:22" x14ac:dyDescent="0.3">
      <c r="A127" t="s">
        <v>1165</v>
      </c>
      <c r="B127" t="s">
        <v>1166</v>
      </c>
      <c r="C127" t="s">
        <v>1167</v>
      </c>
      <c r="D127" t="s">
        <v>1168</v>
      </c>
      <c r="E127" t="s">
        <v>176</v>
      </c>
      <c r="F127" t="s">
        <v>161</v>
      </c>
      <c r="G127" t="s">
        <v>118</v>
      </c>
      <c r="H127" t="s">
        <v>28</v>
      </c>
      <c r="I127" t="s">
        <v>69</v>
      </c>
      <c r="J127" t="s">
        <v>30</v>
      </c>
      <c r="K127" t="s">
        <v>200</v>
      </c>
      <c r="L127" t="s">
        <v>90</v>
      </c>
      <c r="M127" t="s">
        <v>1169</v>
      </c>
      <c r="N127" t="s">
        <v>1133</v>
      </c>
      <c r="O127" t="s">
        <v>1170</v>
      </c>
      <c r="P127" t="s">
        <v>480</v>
      </c>
      <c r="Q127" t="s">
        <v>784</v>
      </c>
      <c r="R127" t="s">
        <v>1171</v>
      </c>
      <c r="S127" t="s">
        <v>126</v>
      </c>
      <c r="T127" t="s">
        <v>448</v>
      </c>
      <c r="U127" t="s">
        <v>394</v>
      </c>
      <c r="V127" t="s">
        <v>82</v>
      </c>
    </row>
    <row r="128" spans="1:22" x14ac:dyDescent="0.3">
      <c r="A128" t="s">
        <v>1172</v>
      </c>
      <c r="B128" t="s">
        <v>1173</v>
      </c>
      <c r="C128" t="s">
        <v>1174</v>
      </c>
      <c r="D128" t="s">
        <v>437</v>
      </c>
      <c r="E128" t="s">
        <v>188</v>
      </c>
      <c r="F128" t="s">
        <v>188</v>
      </c>
      <c r="G128" t="s">
        <v>27</v>
      </c>
      <c r="H128" t="s">
        <v>1175</v>
      </c>
      <c r="I128" t="s">
        <v>29</v>
      </c>
      <c r="J128" t="s">
        <v>30</v>
      </c>
      <c r="K128" t="s">
        <v>245</v>
      </c>
      <c r="L128" t="s">
        <v>1022</v>
      </c>
      <c r="M128" t="s">
        <v>1176</v>
      </c>
      <c r="N128" t="s">
        <v>179</v>
      </c>
      <c r="O128" t="s">
        <v>1176</v>
      </c>
      <c r="P128" t="s">
        <v>886</v>
      </c>
      <c r="Q128" t="s">
        <v>1177</v>
      </c>
      <c r="R128" t="s">
        <v>1178</v>
      </c>
      <c r="S128" t="s">
        <v>39</v>
      </c>
      <c r="T128" t="s">
        <v>461</v>
      </c>
      <c r="U128" t="s">
        <v>128</v>
      </c>
      <c r="V128" t="s">
        <v>82</v>
      </c>
    </row>
    <row r="129" spans="1:22" x14ac:dyDescent="0.3">
      <c r="A129" t="s">
        <v>1179</v>
      </c>
      <c r="B129" t="s">
        <v>1180</v>
      </c>
      <c r="C129" t="s">
        <v>1181</v>
      </c>
      <c r="D129" t="s">
        <v>1182</v>
      </c>
      <c r="E129" t="s">
        <v>228</v>
      </c>
      <c r="F129" t="s">
        <v>228</v>
      </c>
      <c r="G129" t="s">
        <v>48</v>
      </c>
      <c r="H129" t="s">
        <v>229</v>
      </c>
      <c r="I129" t="s">
        <v>69</v>
      </c>
      <c r="J129" t="s">
        <v>30</v>
      </c>
      <c r="K129" t="s">
        <v>50</v>
      </c>
      <c r="L129" t="s">
        <v>551</v>
      </c>
      <c r="M129" t="s">
        <v>164</v>
      </c>
      <c r="N129" t="s">
        <v>179</v>
      </c>
      <c r="O129" t="s">
        <v>164</v>
      </c>
      <c r="P129" t="s">
        <v>1183</v>
      </c>
      <c r="Q129" t="s">
        <v>735</v>
      </c>
      <c r="R129" t="s">
        <v>1184</v>
      </c>
      <c r="S129" t="s">
        <v>97</v>
      </c>
      <c r="T129" t="s">
        <v>165</v>
      </c>
      <c r="U129" t="s">
        <v>362</v>
      </c>
      <c r="V129" t="s">
        <v>79</v>
      </c>
    </row>
    <row r="130" spans="1:22" x14ac:dyDescent="0.3">
      <c r="A130" t="s">
        <v>1185</v>
      </c>
      <c r="B130" t="s">
        <v>1186</v>
      </c>
      <c r="C130" t="s">
        <v>1187</v>
      </c>
      <c r="D130" t="s">
        <v>1188</v>
      </c>
      <c r="E130" t="s">
        <v>342</v>
      </c>
      <c r="F130" t="s">
        <v>244</v>
      </c>
      <c r="G130" t="s">
        <v>213</v>
      </c>
      <c r="H130" t="s">
        <v>214</v>
      </c>
      <c r="I130" t="s">
        <v>29</v>
      </c>
      <c r="J130" t="s">
        <v>30</v>
      </c>
      <c r="K130" t="s">
        <v>230</v>
      </c>
      <c r="L130" t="s">
        <v>269</v>
      </c>
      <c r="M130" t="s">
        <v>52</v>
      </c>
      <c r="O130" t="s">
        <v>52</v>
      </c>
      <c r="P130" t="s">
        <v>1000</v>
      </c>
      <c r="Q130" t="s">
        <v>308</v>
      </c>
      <c r="R130" t="s">
        <v>1189</v>
      </c>
      <c r="S130" t="s">
        <v>79</v>
      </c>
      <c r="T130" t="s">
        <v>613</v>
      </c>
      <c r="U130" t="s">
        <v>472</v>
      </c>
      <c r="V130" t="s">
        <v>42</v>
      </c>
    </row>
    <row r="131" spans="1:22" x14ac:dyDescent="0.3">
      <c r="A131" t="s">
        <v>1190</v>
      </c>
      <c r="B131" t="s">
        <v>1180</v>
      </c>
      <c r="C131" t="s">
        <v>1181</v>
      </c>
      <c r="D131" t="s">
        <v>1191</v>
      </c>
      <c r="E131" t="s">
        <v>893</v>
      </c>
      <c r="F131" t="s">
        <v>188</v>
      </c>
      <c r="G131" t="s">
        <v>48</v>
      </c>
      <c r="I131" t="s">
        <v>69</v>
      </c>
      <c r="J131" t="s">
        <v>70</v>
      </c>
      <c r="K131" t="s">
        <v>89</v>
      </c>
      <c r="L131" t="s">
        <v>333</v>
      </c>
      <c r="M131" t="s">
        <v>873</v>
      </c>
      <c r="N131" t="s">
        <v>56</v>
      </c>
      <c r="O131" t="s">
        <v>798</v>
      </c>
      <c r="P131" t="s">
        <v>368</v>
      </c>
      <c r="Q131" t="s">
        <v>1192</v>
      </c>
      <c r="R131" t="s">
        <v>1193</v>
      </c>
      <c r="S131" t="s">
        <v>182</v>
      </c>
      <c r="T131" t="s">
        <v>695</v>
      </c>
      <c r="U131" t="s">
        <v>171</v>
      </c>
      <c r="V131" t="s">
        <v>82</v>
      </c>
    </row>
    <row r="132" spans="1:22" x14ac:dyDescent="0.3">
      <c r="A132" t="s">
        <v>1194</v>
      </c>
      <c r="B132" t="s">
        <v>1195</v>
      </c>
      <c r="C132" t="s">
        <v>1196</v>
      </c>
      <c r="D132" t="s">
        <v>1197</v>
      </c>
      <c r="E132" t="s">
        <v>243</v>
      </c>
      <c r="F132" t="s">
        <v>244</v>
      </c>
      <c r="G132" t="s">
        <v>147</v>
      </c>
      <c r="H132" t="s">
        <v>68</v>
      </c>
      <c r="I132" t="s">
        <v>29</v>
      </c>
      <c r="J132" t="s">
        <v>162</v>
      </c>
      <c r="K132" t="s">
        <v>230</v>
      </c>
      <c r="L132" t="s">
        <v>362</v>
      </c>
      <c r="M132" t="s">
        <v>1198</v>
      </c>
      <c r="N132" t="s">
        <v>179</v>
      </c>
      <c r="O132" t="s">
        <v>1198</v>
      </c>
      <c r="P132" t="s">
        <v>992</v>
      </c>
      <c r="Q132" t="s">
        <v>441</v>
      </c>
      <c r="R132" t="s">
        <v>1199</v>
      </c>
      <c r="S132" t="s">
        <v>79</v>
      </c>
      <c r="T132" t="s">
        <v>710</v>
      </c>
      <c r="U132" t="s">
        <v>41</v>
      </c>
      <c r="V132" t="s">
        <v>58</v>
      </c>
    </row>
    <row r="133" spans="1:22" x14ac:dyDescent="0.3">
      <c r="A133" t="s">
        <v>1200</v>
      </c>
      <c r="B133" t="s">
        <v>1109</v>
      </c>
      <c r="C133" t="s">
        <v>1110</v>
      </c>
      <c r="D133" t="s">
        <v>862</v>
      </c>
      <c r="E133" t="s">
        <v>160</v>
      </c>
      <c r="F133" t="s">
        <v>161</v>
      </c>
      <c r="G133" t="s">
        <v>103</v>
      </c>
      <c r="H133" t="s">
        <v>28</v>
      </c>
      <c r="I133" t="s">
        <v>29</v>
      </c>
      <c r="J133" t="s">
        <v>30</v>
      </c>
      <c r="K133" t="s">
        <v>293</v>
      </c>
      <c r="L133" t="s">
        <v>189</v>
      </c>
      <c r="M133" t="s">
        <v>1201</v>
      </c>
      <c r="N133" t="s">
        <v>179</v>
      </c>
      <c r="O133" t="s">
        <v>1201</v>
      </c>
      <c r="P133" t="s">
        <v>1202</v>
      </c>
      <c r="Q133" t="s">
        <v>110</v>
      </c>
      <c r="R133" t="s">
        <v>1203</v>
      </c>
      <c r="S133" t="s">
        <v>58</v>
      </c>
      <c r="T133" t="s">
        <v>165</v>
      </c>
      <c r="U133" t="s">
        <v>385</v>
      </c>
      <c r="V133" t="s">
        <v>79</v>
      </c>
    </row>
    <row r="134" spans="1:22" x14ac:dyDescent="0.3">
      <c r="A134" t="s">
        <v>1204</v>
      </c>
      <c r="B134" t="s">
        <v>1205</v>
      </c>
      <c r="C134" t="s">
        <v>1206</v>
      </c>
      <c r="D134" t="s">
        <v>1207</v>
      </c>
      <c r="E134" t="s">
        <v>188</v>
      </c>
      <c r="F134" t="s">
        <v>188</v>
      </c>
      <c r="G134" t="s">
        <v>147</v>
      </c>
      <c r="H134" t="s">
        <v>68</v>
      </c>
      <c r="I134" t="s">
        <v>29</v>
      </c>
      <c r="J134" t="s">
        <v>70</v>
      </c>
      <c r="K134" t="s">
        <v>230</v>
      </c>
      <c r="L134" t="s">
        <v>1049</v>
      </c>
      <c r="M134" t="s">
        <v>542</v>
      </c>
      <c r="N134" t="s">
        <v>179</v>
      </c>
      <c r="O134" t="s">
        <v>542</v>
      </c>
      <c r="P134" t="s">
        <v>73</v>
      </c>
      <c r="Q134" t="s">
        <v>252</v>
      </c>
      <c r="R134" t="s">
        <v>1208</v>
      </c>
      <c r="S134" t="s">
        <v>79</v>
      </c>
      <c r="T134" t="s">
        <v>74</v>
      </c>
      <c r="U134" t="s">
        <v>41</v>
      </c>
      <c r="V134" t="s">
        <v>58</v>
      </c>
    </row>
    <row r="135" spans="1:22" x14ac:dyDescent="0.3">
      <c r="A135" t="s">
        <v>1209</v>
      </c>
      <c r="B135" t="s">
        <v>387</v>
      </c>
      <c r="C135" t="s">
        <v>388</v>
      </c>
      <c r="D135" t="s">
        <v>1210</v>
      </c>
      <c r="E135" t="s">
        <v>672</v>
      </c>
      <c r="F135" t="s">
        <v>244</v>
      </c>
      <c r="G135" t="s">
        <v>580</v>
      </c>
      <c r="H135" t="s">
        <v>214</v>
      </c>
      <c r="I135" t="s">
        <v>69</v>
      </c>
      <c r="J135" t="s">
        <v>30</v>
      </c>
      <c r="K135" t="s">
        <v>230</v>
      </c>
      <c r="L135" t="s">
        <v>1211</v>
      </c>
      <c r="M135" t="s">
        <v>1212</v>
      </c>
      <c r="N135" t="s">
        <v>164</v>
      </c>
      <c r="O135" t="s">
        <v>1213</v>
      </c>
      <c r="P135" t="s">
        <v>1214</v>
      </c>
      <c r="Q135" t="s">
        <v>806</v>
      </c>
      <c r="R135" t="s">
        <v>1215</v>
      </c>
      <c r="S135" t="s">
        <v>58</v>
      </c>
      <c r="T135" t="s">
        <v>655</v>
      </c>
      <c r="U135" t="s">
        <v>300</v>
      </c>
      <c r="V135" t="s">
        <v>82</v>
      </c>
    </row>
    <row r="136" spans="1:22" x14ac:dyDescent="0.3">
      <c r="A136" t="s">
        <v>1216</v>
      </c>
      <c r="B136" t="s">
        <v>606</v>
      </c>
      <c r="C136" t="s">
        <v>607</v>
      </c>
      <c r="D136" t="s">
        <v>1217</v>
      </c>
      <c r="E136" t="s">
        <v>134</v>
      </c>
      <c r="F136" t="s">
        <v>134</v>
      </c>
      <c r="G136" t="s">
        <v>67</v>
      </c>
      <c r="H136" t="s">
        <v>214</v>
      </c>
      <c r="I136" t="s">
        <v>69</v>
      </c>
      <c r="J136" t="s">
        <v>30</v>
      </c>
      <c r="K136" t="s">
        <v>89</v>
      </c>
      <c r="L136" t="s">
        <v>333</v>
      </c>
      <c r="M136" t="s">
        <v>857</v>
      </c>
      <c r="N136" t="s">
        <v>179</v>
      </c>
      <c r="O136" t="s">
        <v>857</v>
      </c>
      <c r="P136" t="s">
        <v>404</v>
      </c>
      <c r="Q136" t="s">
        <v>1218</v>
      </c>
      <c r="R136" t="s">
        <v>1219</v>
      </c>
      <c r="S136" t="s">
        <v>182</v>
      </c>
      <c r="T136" t="s">
        <v>369</v>
      </c>
      <c r="U136" t="s">
        <v>288</v>
      </c>
      <c r="V136" t="s">
        <v>82</v>
      </c>
    </row>
    <row r="137" spans="1:22" x14ac:dyDescent="0.3">
      <c r="A137" t="s">
        <v>1220</v>
      </c>
      <c r="B137" t="s">
        <v>185</v>
      </c>
      <c r="C137" t="s">
        <v>186</v>
      </c>
      <c r="D137" t="s">
        <v>1221</v>
      </c>
      <c r="E137" t="s">
        <v>243</v>
      </c>
      <c r="F137" t="s">
        <v>244</v>
      </c>
      <c r="G137" t="s">
        <v>103</v>
      </c>
      <c r="H137" t="s">
        <v>68</v>
      </c>
      <c r="I137" t="s">
        <v>29</v>
      </c>
      <c r="J137" t="s">
        <v>30</v>
      </c>
      <c r="K137" t="s">
        <v>293</v>
      </c>
      <c r="L137" t="s">
        <v>653</v>
      </c>
      <c r="M137" t="s">
        <v>359</v>
      </c>
      <c r="N137" t="s">
        <v>59</v>
      </c>
      <c r="O137" t="s">
        <v>1222</v>
      </c>
      <c r="P137" t="s">
        <v>1000</v>
      </c>
      <c r="Q137" t="s">
        <v>482</v>
      </c>
      <c r="R137" t="s">
        <v>1223</v>
      </c>
      <c r="S137" t="s">
        <v>126</v>
      </c>
      <c r="T137" t="s">
        <v>1224</v>
      </c>
      <c r="U137" t="s">
        <v>362</v>
      </c>
      <c r="V137" t="s">
        <v>82</v>
      </c>
    </row>
    <row r="138" spans="1:22" x14ac:dyDescent="0.3">
      <c r="A138" t="s">
        <v>1225</v>
      </c>
      <c r="B138" t="s">
        <v>1226</v>
      </c>
      <c r="C138" t="s">
        <v>1227</v>
      </c>
      <c r="D138" t="s">
        <v>1228</v>
      </c>
      <c r="E138" t="s">
        <v>893</v>
      </c>
      <c r="F138" t="s">
        <v>188</v>
      </c>
      <c r="G138" t="s">
        <v>213</v>
      </c>
      <c r="H138" t="s">
        <v>28</v>
      </c>
      <c r="I138" t="s">
        <v>29</v>
      </c>
      <c r="J138" t="s">
        <v>70</v>
      </c>
      <c r="K138" t="s">
        <v>245</v>
      </c>
      <c r="L138" t="s">
        <v>663</v>
      </c>
      <c r="M138" t="s">
        <v>91</v>
      </c>
      <c r="N138" t="s">
        <v>179</v>
      </c>
      <c r="O138" t="s">
        <v>91</v>
      </c>
      <c r="P138" t="s">
        <v>620</v>
      </c>
      <c r="Q138" t="s">
        <v>553</v>
      </c>
      <c r="R138" t="s">
        <v>1229</v>
      </c>
      <c r="S138" t="s">
        <v>182</v>
      </c>
      <c r="T138" t="s">
        <v>1230</v>
      </c>
      <c r="U138" t="s">
        <v>128</v>
      </c>
      <c r="V138" t="s">
        <v>114</v>
      </c>
    </row>
    <row r="139" spans="1:22" x14ac:dyDescent="0.3">
      <c r="A139" t="s">
        <v>1231</v>
      </c>
      <c r="B139" t="s">
        <v>1232</v>
      </c>
      <c r="C139" t="s">
        <v>1233</v>
      </c>
      <c r="D139" t="s">
        <v>1234</v>
      </c>
      <c r="E139" t="s">
        <v>399</v>
      </c>
      <c r="F139" t="s">
        <v>188</v>
      </c>
      <c r="G139" t="s">
        <v>27</v>
      </c>
      <c r="H139" t="s">
        <v>229</v>
      </c>
      <c r="I139" t="s">
        <v>29</v>
      </c>
      <c r="J139" t="s">
        <v>30</v>
      </c>
      <c r="K139" t="s">
        <v>293</v>
      </c>
      <c r="L139" t="s">
        <v>749</v>
      </c>
      <c r="M139" t="s">
        <v>1235</v>
      </c>
      <c r="N139" t="s">
        <v>751</v>
      </c>
      <c r="O139" t="s">
        <v>1236</v>
      </c>
      <c r="P139" t="s">
        <v>1237</v>
      </c>
      <c r="Q139" t="s">
        <v>458</v>
      </c>
      <c r="R139" t="s">
        <v>1238</v>
      </c>
      <c r="S139" t="s">
        <v>182</v>
      </c>
      <c r="T139" t="s">
        <v>610</v>
      </c>
      <c r="U139" t="s">
        <v>155</v>
      </c>
      <c r="V139" t="s">
        <v>79</v>
      </c>
    </row>
    <row r="140" spans="1:22" x14ac:dyDescent="0.3">
      <c r="A140" t="s">
        <v>1239</v>
      </c>
      <c r="B140" t="s">
        <v>1240</v>
      </c>
      <c r="C140" t="s">
        <v>1241</v>
      </c>
      <c r="D140" t="s">
        <v>1242</v>
      </c>
      <c r="E140" t="s">
        <v>161</v>
      </c>
      <c r="F140" t="s">
        <v>161</v>
      </c>
      <c r="G140" t="s">
        <v>147</v>
      </c>
      <c r="H140" t="s">
        <v>229</v>
      </c>
      <c r="I140" t="s">
        <v>69</v>
      </c>
      <c r="J140" t="s">
        <v>30</v>
      </c>
      <c r="K140" t="s">
        <v>200</v>
      </c>
      <c r="L140" t="s">
        <v>148</v>
      </c>
      <c r="M140" t="s">
        <v>469</v>
      </c>
      <c r="N140" t="s">
        <v>179</v>
      </c>
      <c r="O140" t="s">
        <v>469</v>
      </c>
      <c r="P140" t="s">
        <v>259</v>
      </c>
      <c r="Q140" t="s">
        <v>685</v>
      </c>
      <c r="R140" t="s">
        <v>1243</v>
      </c>
      <c r="S140" t="s">
        <v>79</v>
      </c>
      <c r="T140" t="s">
        <v>361</v>
      </c>
      <c r="U140" t="s">
        <v>423</v>
      </c>
      <c r="V140" t="s">
        <v>58</v>
      </c>
    </row>
    <row r="141" spans="1:22" x14ac:dyDescent="0.3">
      <c r="A141" t="s">
        <v>1244</v>
      </c>
      <c r="B141" t="s">
        <v>1245</v>
      </c>
      <c r="C141" t="s">
        <v>1246</v>
      </c>
      <c r="D141" t="s">
        <v>1247</v>
      </c>
      <c r="E141" t="s">
        <v>282</v>
      </c>
      <c r="F141" t="s">
        <v>282</v>
      </c>
      <c r="G141" t="s">
        <v>103</v>
      </c>
      <c r="H141" t="s">
        <v>28</v>
      </c>
      <c r="I141" t="s">
        <v>69</v>
      </c>
      <c r="J141" t="s">
        <v>30</v>
      </c>
      <c r="K141" t="s">
        <v>89</v>
      </c>
      <c r="L141" t="s">
        <v>513</v>
      </c>
      <c r="M141" t="s">
        <v>411</v>
      </c>
      <c r="N141" t="s">
        <v>137</v>
      </c>
      <c r="O141" t="s">
        <v>1248</v>
      </c>
      <c r="P141" t="s">
        <v>73</v>
      </c>
      <c r="Q141" t="s">
        <v>56</v>
      </c>
      <c r="R141" t="s">
        <v>1249</v>
      </c>
      <c r="S141" t="s">
        <v>182</v>
      </c>
      <c r="T141" t="s">
        <v>966</v>
      </c>
      <c r="U141" t="s">
        <v>373</v>
      </c>
      <c r="V141" t="s">
        <v>79</v>
      </c>
    </row>
    <row r="142" spans="1:22" x14ac:dyDescent="0.3">
      <c r="A142" t="s">
        <v>1250</v>
      </c>
      <c r="B142" t="s">
        <v>1251</v>
      </c>
      <c r="C142" t="s">
        <v>1252</v>
      </c>
      <c r="D142" t="s">
        <v>1253</v>
      </c>
      <c r="E142" t="s">
        <v>47</v>
      </c>
      <c r="F142" t="s">
        <v>26</v>
      </c>
      <c r="G142" t="s">
        <v>27</v>
      </c>
      <c r="H142" t="s">
        <v>104</v>
      </c>
      <c r="I142" t="s">
        <v>69</v>
      </c>
      <c r="J142" t="s">
        <v>30</v>
      </c>
      <c r="K142" t="s">
        <v>215</v>
      </c>
      <c r="L142" t="s">
        <v>428</v>
      </c>
      <c r="M142" t="s">
        <v>1254</v>
      </c>
      <c r="N142" t="s">
        <v>179</v>
      </c>
      <c r="O142" t="s">
        <v>1254</v>
      </c>
      <c r="P142" t="s">
        <v>836</v>
      </c>
      <c r="Q142" t="s">
        <v>459</v>
      </c>
      <c r="R142" t="s">
        <v>1255</v>
      </c>
      <c r="S142" t="s">
        <v>182</v>
      </c>
      <c r="T142" t="s">
        <v>59</v>
      </c>
      <c r="U142" t="s">
        <v>508</v>
      </c>
      <c r="V142" t="s">
        <v>58</v>
      </c>
    </row>
    <row r="143" spans="1:22" x14ac:dyDescent="0.3">
      <c r="A143" t="s">
        <v>1256</v>
      </c>
      <c r="B143" t="s">
        <v>1257</v>
      </c>
      <c r="C143" t="s">
        <v>1258</v>
      </c>
      <c r="D143" t="s">
        <v>1259</v>
      </c>
      <c r="E143" t="s">
        <v>133</v>
      </c>
      <c r="F143" t="s">
        <v>134</v>
      </c>
      <c r="G143" t="s">
        <v>103</v>
      </c>
      <c r="H143" t="s">
        <v>104</v>
      </c>
      <c r="I143" t="s">
        <v>69</v>
      </c>
      <c r="J143" t="s">
        <v>70</v>
      </c>
      <c r="K143" t="s">
        <v>215</v>
      </c>
      <c r="L143" t="s">
        <v>749</v>
      </c>
      <c r="M143" t="s">
        <v>806</v>
      </c>
      <c r="N143" t="s">
        <v>499</v>
      </c>
      <c r="O143" t="s">
        <v>1260</v>
      </c>
      <c r="P143" t="s">
        <v>180</v>
      </c>
      <c r="Q143" t="s">
        <v>724</v>
      </c>
      <c r="R143" t="s">
        <v>1261</v>
      </c>
      <c r="S143" t="s">
        <v>79</v>
      </c>
      <c r="T143" t="s">
        <v>308</v>
      </c>
      <c r="U143" t="s">
        <v>277</v>
      </c>
      <c r="V143" t="s">
        <v>82</v>
      </c>
    </row>
    <row r="144" spans="1:22" x14ac:dyDescent="0.3">
      <c r="A144" t="s">
        <v>1262</v>
      </c>
      <c r="B144" t="s">
        <v>1263</v>
      </c>
      <c r="C144" t="s">
        <v>1264</v>
      </c>
      <c r="D144" t="s">
        <v>1265</v>
      </c>
      <c r="E144" t="s">
        <v>134</v>
      </c>
      <c r="F144" t="s">
        <v>134</v>
      </c>
      <c r="G144" t="s">
        <v>213</v>
      </c>
      <c r="H144" t="s">
        <v>214</v>
      </c>
      <c r="I144" t="s">
        <v>29</v>
      </c>
      <c r="J144" t="s">
        <v>70</v>
      </c>
      <c r="K144" t="s">
        <v>71</v>
      </c>
      <c r="L144" t="s">
        <v>400</v>
      </c>
      <c r="M144" t="s">
        <v>692</v>
      </c>
      <c r="N144" t="s">
        <v>648</v>
      </c>
      <c r="O144" t="s">
        <v>693</v>
      </c>
      <c r="P144" t="s">
        <v>1266</v>
      </c>
      <c r="Q144" t="s">
        <v>110</v>
      </c>
      <c r="R144" t="s">
        <v>1267</v>
      </c>
      <c r="S144" t="s">
        <v>58</v>
      </c>
      <c r="T144" t="s">
        <v>384</v>
      </c>
      <c r="U144" t="s">
        <v>423</v>
      </c>
      <c r="V144" t="s">
        <v>58</v>
      </c>
    </row>
    <row r="145" spans="1:22" x14ac:dyDescent="0.3">
      <c r="A145" t="s">
        <v>1268</v>
      </c>
      <c r="B145" t="s">
        <v>1269</v>
      </c>
      <c r="C145" t="s">
        <v>1270</v>
      </c>
      <c r="D145" t="s">
        <v>1271</v>
      </c>
      <c r="E145" t="s">
        <v>378</v>
      </c>
      <c r="F145" t="s">
        <v>282</v>
      </c>
      <c r="G145" t="s">
        <v>118</v>
      </c>
      <c r="H145" t="s">
        <v>68</v>
      </c>
      <c r="I145" t="s">
        <v>69</v>
      </c>
      <c r="J145" t="s">
        <v>162</v>
      </c>
      <c r="K145" t="s">
        <v>215</v>
      </c>
      <c r="L145" t="s">
        <v>333</v>
      </c>
      <c r="M145" t="s">
        <v>1272</v>
      </c>
      <c r="N145" t="s">
        <v>724</v>
      </c>
      <c r="O145" t="s">
        <v>1273</v>
      </c>
      <c r="P145" t="s">
        <v>166</v>
      </c>
      <c r="Q145" t="s">
        <v>645</v>
      </c>
      <c r="R145" t="s">
        <v>1171</v>
      </c>
      <c r="S145" t="s">
        <v>58</v>
      </c>
      <c r="T145" t="s">
        <v>448</v>
      </c>
      <c r="V145" t="s">
        <v>42</v>
      </c>
    </row>
    <row r="146" spans="1:22" x14ac:dyDescent="0.3">
      <c r="A146" t="s">
        <v>1274</v>
      </c>
      <c r="B146" t="s">
        <v>1275</v>
      </c>
      <c r="C146" t="s">
        <v>1276</v>
      </c>
      <c r="D146" t="s">
        <v>1277</v>
      </c>
      <c r="E146" t="s">
        <v>378</v>
      </c>
      <c r="F146" t="s">
        <v>282</v>
      </c>
      <c r="G146" t="s">
        <v>147</v>
      </c>
      <c r="H146" t="s">
        <v>229</v>
      </c>
      <c r="I146" t="s">
        <v>69</v>
      </c>
      <c r="J146" t="s">
        <v>70</v>
      </c>
      <c r="K146" t="s">
        <v>230</v>
      </c>
      <c r="L146" t="s">
        <v>1049</v>
      </c>
      <c r="M146" t="s">
        <v>1278</v>
      </c>
      <c r="N146" t="s">
        <v>581</v>
      </c>
      <c r="O146" t="s">
        <v>1279</v>
      </c>
      <c r="P146" t="s">
        <v>1280</v>
      </c>
      <c r="Q146" t="s">
        <v>317</v>
      </c>
      <c r="R146" t="s">
        <v>1281</v>
      </c>
      <c r="S146" t="s">
        <v>182</v>
      </c>
      <c r="T146" t="s">
        <v>836</v>
      </c>
      <c r="U146" t="s">
        <v>373</v>
      </c>
      <c r="V146" t="s">
        <v>42</v>
      </c>
    </row>
    <row r="147" spans="1:22" x14ac:dyDescent="0.3">
      <c r="A147" t="s">
        <v>1282</v>
      </c>
      <c r="B147" t="s">
        <v>924</v>
      </c>
      <c r="C147" t="s">
        <v>925</v>
      </c>
      <c r="D147" t="s">
        <v>281</v>
      </c>
      <c r="E147" t="s">
        <v>65</v>
      </c>
      <c r="F147" t="s">
        <v>66</v>
      </c>
      <c r="G147" t="s">
        <v>27</v>
      </c>
      <c r="H147" t="s">
        <v>104</v>
      </c>
      <c r="I147" t="s">
        <v>69</v>
      </c>
      <c r="J147" t="s">
        <v>30</v>
      </c>
      <c r="K147" t="s">
        <v>293</v>
      </c>
      <c r="L147" t="s">
        <v>466</v>
      </c>
      <c r="M147" t="s">
        <v>1283</v>
      </c>
      <c r="N147" t="s">
        <v>179</v>
      </c>
      <c r="O147" t="s">
        <v>1283</v>
      </c>
      <c r="P147" t="s">
        <v>666</v>
      </c>
      <c r="Q147" t="s">
        <v>949</v>
      </c>
      <c r="R147" t="s">
        <v>1284</v>
      </c>
      <c r="S147" t="s">
        <v>182</v>
      </c>
      <c r="T147" t="s">
        <v>80</v>
      </c>
      <c r="U147" t="s">
        <v>277</v>
      </c>
      <c r="V147" t="s">
        <v>58</v>
      </c>
    </row>
    <row r="148" spans="1:22" x14ac:dyDescent="0.3">
      <c r="A148" t="s">
        <v>1285</v>
      </c>
      <c r="B148" t="s">
        <v>924</v>
      </c>
      <c r="C148" t="s">
        <v>925</v>
      </c>
      <c r="D148" t="s">
        <v>1286</v>
      </c>
      <c r="E148" t="s">
        <v>160</v>
      </c>
      <c r="F148" t="s">
        <v>161</v>
      </c>
      <c r="G148" t="s">
        <v>147</v>
      </c>
      <c r="H148" t="s">
        <v>214</v>
      </c>
      <c r="I148" t="s">
        <v>69</v>
      </c>
      <c r="J148" t="s">
        <v>257</v>
      </c>
      <c r="K148" t="s">
        <v>50</v>
      </c>
      <c r="L148" t="s">
        <v>333</v>
      </c>
      <c r="M148" t="s">
        <v>1287</v>
      </c>
      <c r="N148" t="s">
        <v>666</v>
      </c>
      <c r="O148" t="s">
        <v>1288</v>
      </c>
      <c r="P148" t="s">
        <v>1289</v>
      </c>
      <c r="Q148" t="s">
        <v>636</v>
      </c>
      <c r="R148" t="s">
        <v>1290</v>
      </c>
      <c r="S148" t="s">
        <v>182</v>
      </c>
      <c r="T148" t="s">
        <v>628</v>
      </c>
      <c r="U148" t="s">
        <v>60</v>
      </c>
      <c r="V148" t="s">
        <v>114</v>
      </c>
    </row>
    <row r="149" spans="1:22" x14ac:dyDescent="0.3">
      <c r="A149" t="s">
        <v>1291</v>
      </c>
      <c r="B149" t="s">
        <v>1292</v>
      </c>
      <c r="C149" t="s">
        <v>1293</v>
      </c>
      <c r="D149" t="s">
        <v>1294</v>
      </c>
      <c r="E149" t="s">
        <v>188</v>
      </c>
      <c r="F149" t="s">
        <v>188</v>
      </c>
      <c r="G149" t="s">
        <v>580</v>
      </c>
      <c r="H149" t="s">
        <v>104</v>
      </c>
      <c r="I149" t="s">
        <v>69</v>
      </c>
      <c r="J149" t="s">
        <v>30</v>
      </c>
      <c r="K149" t="s">
        <v>50</v>
      </c>
      <c r="L149" t="s">
        <v>1295</v>
      </c>
      <c r="M149" t="s">
        <v>1278</v>
      </c>
      <c r="N149" t="s">
        <v>179</v>
      </c>
      <c r="O149" t="s">
        <v>1278</v>
      </c>
      <c r="P149" t="s">
        <v>1235</v>
      </c>
      <c r="Q149" t="s">
        <v>609</v>
      </c>
      <c r="R149" t="s">
        <v>1296</v>
      </c>
      <c r="S149" t="s">
        <v>126</v>
      </c>
      <c r="T149" t="s">
        <v>138</v>
      </c>
      <c r="U149" t="s">
        <v>362</v>
      </c>
      <c r="V149" t="s">
        <v>42</v>
      </c>
    </row>
    <row r="150" spans="1:22" x14ac:dyDescent="0.3">
      <c r="A150" t="s">
        <v>1297</v>
      </c>
      <c r="B150" t="s">
        <v>1298</v>
      </c>
      <c r="C150" t="s">
        <v>1299</v>
      </c>
      <c r="D150" t="s">
        <v>1300</v>
      </c>
      <c r="E150" t="s">
        <v>227</v>
      </c>
      <c r="F150" t="s">
        <v>228</v>
      </c>
      <c r="G150" t="s">
        <v>118</v>
      </c>
      <c r="H150" t="s">
        <v>229</v>
      </c>
      <c r="I150" t="s">
        <v>29</v>
      </c>
      <c r="J150" t="s">
        <v>1301</v>
      </c>
      <c r="K150" t="s">
        <v>245</v>
      </c>
      <c r="L150" t="s">
        <v>362</v>
      </c>
      <c r="M150" t="s">
        <v>1302</v>
      </c>
      <c r="N150" t="s">
        <v>179</v>
      </c>
      <c r="O150" t="s">
        <v>1302</v>
      </c>
      <c r="P150" t="s">
        <v>645</v>
      </c>
      <c r="Q150" t="s">
        <v>1303</v>
      </c>
      <c r="R150" t="s">
        <v>1304</v>
      </c>
      <c r="S150" t="s">
        <v>126</v>
      </c>
      <c r="T150" t="s">
        <v>1013</v>
      </c>
      <c r="U150" t="s">
        <v>300</v>
      </c>
      <c r="V150" t="s">
        <v>79</v>
      </c>
    </row>
    <row r="151" spans="1:22" x14ac:dyDescent="0.3">
      <c r="A151" t="s">
        <v>1305</v>
      </c>
      <c r="B151" t="s">
        <v>1306</v>
      </c>
      <c r="C151" t="s">
        <v>1307</v>
      </c>
      <c r="D151" t="s">
        <v>1308</v>
      </c>
      <c r="E151" t="s">
        <v>160</v>
      </c>
      <c r="F151" t="s">
        <v>161</v>
      </c>
      <c r="G151" t="s">
        <v>118</v>
      </c>
      <c r="H151" t="s">
        <v>104</v>
      </c>
      <c r="I151" t="s">
        <v>69</v>
      </c>
      <c r="J151" t="s">
        <v>70</v>
      </c>
      <c r="K151" t="s">
        <v>293</v>
      </c>
      <c r="L151" t="s">
        <v>487</v>
      </c>
      <c r="M151" t="s">
        <v>1260</v>
      </c>
      <c r="N151" t="s">
        <v>59</v>
      </c>
      <c r="O151" t="s">
        <v>1011</v>
      </c>
      <c r="P151" t="s">
        <v>1218</v>
      </c>
      <c r="Q151" t="s">
        <v>721</v>
      </c>
      <c r="R151" t="s">
        <v>1309</v>
      </c>
      <c r="S151" t="s">
        <v>126</v>
      </c>
      <c r="T151" t="s">
        <v>1162</v>
      </c>
      <c r="U151" t="s">
        <v>867</v>
      </c>
      <c r="V151" t="s">
        <v>42</v>
      </c>
    </row>
    <row r="152" spans="1:22" x14ac:dyDescent="0.3">
      <c r="A152" t="s">
        <v>1310</v>
      </c>
      <c r="B152" t="s">
        <v>1311</v>
      </c>
      <c r="C152" t="s">
        <v>1312</v>
      </c>
      <c r="D152" t="s">
        <v>1313</v>
      </c>
      <c r="E152" t="s">
        <v>160</v>
      </c>
      <c r="F152" t="s">
        <v>161</v>
      </c>
      <c r="G152" t="s">
        <v>213</v>
      </c>
      <c r="H152" t="s">
        <v>229</v>
      </c>
      <c r="I152" t="s">
        <v>29</v>
      </c>
      <c r="J152" t="s">
        <v>30</v>
      </c>
      <c r="K152" t="s">
        <v>71</v>
      </c>
      <c r="L152" t="s">
        <v>812</v>
      </c>
      <c r="M152" t="s">
        <v>1314</v>
      </c>
      <c r="N152" t="s">
        <v>179</v>
      </c>
      <c r="O152" t="s">
        <v>1314</v>
      </c>
      <c r="P152" t="s">
        <v>1315</v>
      </c>
      <c r="Q152" t="s">
        <v>842</v>
      </c>
      <c r="R152" t="s">
        <v>1316</v>
      </c>
      <c r="S152" t="s">
        <v>126</v>
      </c>
      <c r="T152" t="s">
        <v>721</v>
      </c>
      <c r="U152" t="s">
        <v>508</v>
      </c>
      <c r="V152" t="s">
        <v>79</v>
      </c>
    </row>
    <row r="153" spans="1:22" x14ac:dyDescent="0.3">
      <c r="A153" t="s">
        <v>1317</v>
      </c>
      <c r="B153" t="s">
        <v>1318</v>
      </c>
      <c r="C153" t="s">
        <v>1319</v>
      </c>
      <c r="D153" t="s">
        <v>1320</v>
      </c>
      <c r="E153" t="s">
        <v>1321</v>
      </c>
      <c r="F153" t="s">
        <v>228</v>
      </c>
      <c r="G153" t="s">
        <v>118</v>
      </c>
      <c r="H153" t="s">
        <v>68</v>
      </c>
      <c r="I153" t="s">
        <v>69</v>
      </c>
      <c r="J153" t="s">
        <v>30</v>
      </c>
      <c r="K153" t="s">
        <v>89</v>
      </c>
      <c r="L153" t="s">
        <v>51</v>
      </c>
      <c r="M153" t="s">
        <v>1322</v>
      </c>
      <c r="N153" t="s">
        <v>179</v>
      </c>
      <c r="O153" t="s">
        <v>1322</v>
      </c>
      <c r="P153" t="s">
        <v>792</v>
      </c>
      <c r="Q153" t="s">
        <v>604</v>
      </c>
      <c r="R153" t="s">
        <v>1323</v>
      </c>
      <c r="S153" t="s">
        <v>97</v>
      </c>
      <c r="T153" t="s">
        <v>770</v>
      </c>
      <c r="U153" t="s">
        <v>171</v>
      </c>
      <c r="V153" t="s">
        <v>58</v>
      </c>
    </row>
    <row r="154" spans="1:22" x14ac:dyDescent="0.3">
      <c r="A154" t="s">
        <v>1324</v>
      </c>
      <c r="B154" t="s">
        <v>1325</v>
      </c>
      <c r="C154" t="s">
        <v>1326</v>
      </c>
      <c r="D154" t="s">
        <v>1327</v>
      </c>
      <c r="E154" t="s">
        <v>26</v>
      </c>
      <c r="F154" t="s">
        <v>26</v>
      </c>
      <c r="G154" t="s">
        <v>118</v>
      </c>
      <c r="H154" t="s">
        <v>268</v>
      </c>
      <c r="I154" t="s">
        <v>69</v>
      </c>
      <c r="J154" t="s">
        <v>30</v>
      </c>
      <c r="K154" t="s">
        <v>200</v>
      </c>
      <c r="L154" t="s">
        <v>1328</v>
      </c>
      <c r="M154" t="s">
        <v>1329</v>
      </c>
      <c r="N154" t="s">
        <v>1097</v>
      </c>
      <c r="O154" t="s">
        <v>248</v>
      </c>
      <c r="P154" t="s">
        <v>1330</v>
      </c>
      <c r="Q154" t="s">
        <v>489</v>
      </c>
      <c r="R154" t="s">
        <v>1331</v>
      </c>
      <c r="S154" t="s">
        <v>79</v>
      </c>
      <c r="T154" t="s">
        <v>299</v>
      </c>
      <c r="U154" t="s">
        <v>128</v>
      </c>
      <c r="V154" t="s">
        <v>114</v>
      </c>
    </row>
    <row r="155" spans="1:22" x14ac:dyDescent="0.3">
      <c r="A155" t="s">
        <v>1332</v>
      </c>
      <c r="B155" t="s">
        <v>1333</v>
      </c>
      <c r="C155" t="s">
        <v>1334</v>
      </c>
      <c r="D155" t="s">
        <v>256</v>
      </c>
      <c r="E155" t="s">
        <v>893</v>
      </c>
      <c r="F155" t="s">
        <v>188</v>
      </c>
      <c r="G155" t="s">
        <v>213</v>
      </c>
      <c r="H155" t="s">
        <v>104</v>
      </c>
      <c r="I155" t="s">
        <v>69</v>
      </c>
      <c r="J155" t="s">
        <v>30</v>
      </c>
      <c r="K155" t="s">
        <v>31</v>
      </c>
      <c r="L155" t="s">
        <v>362</v>
      </c>
      <c r="M155" t="s">
        <v>790</v>
      </c>
      <c r="N155" t="s">
        <v>121</v>
      </c>
      <c r="O155" t="s">
        <v>1335</v>
      </c>
      <c r="P155" t="s">
        <v>1336</v>
      </c>
      <c r="Q155" t="s">
        <v>271</v>
      </c>
      <c r="R155" t="s">
        <v>1337</v>
      </c>
      <c r="S155" t="s">
        <v>126</v>
      </c>
      <c r="T155" t="s">
        <v>686</v>
      </c>
      <c r="V155" t="s">
        <v>42</v>
      </c>
    </row>
    <row r="156" spans="1:22" x14ac:dyDescent="0.3">
      <c r="A156" t="s">
        <v>1338</v>
      </c>
      <c r="B156" t="s">
        <v>839</v>
      </c>
      <c r="C156" t="s">
        <v>840</v>
      </c>
      <c r="D156" t="s">
        <v>1339</v>
      </c>
      <c r="E156" t="s">
        <v>342</v>
      </c>
      <c r="F156" t="s">
        <v>244</v>
      </c>
      <c r="G156" t="s">
        <v>213</v>
      </c>
      <c r="H156" t="s">
        <v>68</v>
      </c>
      <c r="I156" t="s">
        <v>69</v>
      </c>
      <c r="J156" t="s">
        <v>30</v>
      </c>
      <c r="K156" t="s">
        <v>71</v>
      </c>
      <c r="L156" t="s">
        <v>513</v>
      </c>
      <c r="M156" t="s">
        <v>1340</v>
      </c>
      <c r="N156" t="s">
        <v>179</v>
      </c>
      <c r="O156" t="s">
        <v>1340</v>
      </c>
      <c r="P156" t="s">
        <v>108</v>
      </c>
      <c r="Q156" t="s">
        <v>249</v>
      </c>
      <c r="R156" t="s">
        <v>1341</v>
      </c>
      <c r="S156" t="s">
        <v>97</v>
      </c>
      <c r="T156" t="s">
        <v>112</v>
      </c>
      <c r="U156" t="s">
        <v>423</v>
      </c>
      <c r="V156" t="s">
        <v>58</v>
      </c>
    </row>
    <row r="157" spans="1:22" x14ac:dyDescent="0.3">
      <c r="A157" t="s">
        <v>1342</v>
      </c>
      <c r="B157" t="s">
        <v>1343</v>
      </c>
      <c r="C157" t="s">
        <v>1344</v>
      </c>
      <c r="D157" t="s">
        <v>1345</v>
      </c>
      <c r="E157" t="s">
        <v>227</v>
      </c>
      <c r="F157" t="s">
        <v>228</v>
      </c>
      <c r="G157" t="s">
        <v>580</v>
      </c>
      <c r="H157" t="s">
        <v>268</v>
      </c>
      <c r="I157" t="s">
        <v>69</v>
      </c>
      <c r="J157" t="s">
        <v>30</v>
      </c>
      <c r="K157" t="s">
        <v>293</v>
      </c>
      <c r="L157" t="s">
        <v>72</v>
      </c>
      <c r="M157" t="s">
        <v>1169</v>
      </c>
      <c r="N157" t="s">
        <v>770</v>
      </c>
      <c r="O157" t="s">
        <v>1346</v>
      </c>
      <c r="P157" t="s">
        <v>136</v>
      </c>
      <c r="Q157" t="s">
        <v>1254</v>
      </c>
      <c r="R157" t="s">
        <v>1347</v>
      </c>
      <c r="S157" t="s">
        <v>97</v>
      </c>
      <c r="T157" t="s">
        <v>1116</v>
      </c>
      <c r="U157" t="s">
        <v>362</v>
      </c>
      <c r="V157" t="s">
        <v>79</v>
      </c>
    </row>
    <row r="158" spans="1:22" x14ac:dyDescent="0.3">
      <c r="A158" t="s">
        <v>1348</v>
      </c>
      <c r="B158" t="s">
        <v>1349</v>
      </c>
      <c r="C158" t="s">
        <v>1350</v>
      </c>
      <c r="D158" t="s">
        <v>1351</v>
      </c>
      <c r="E158" t="s">
        <v>354</v>
      </c>
      <c r="F158" t="s">
        <v>134</v>
      </c>
      <c r="G158" t="s">
        <v>103</v>
      </c>
      <c r="H158" t="s">
        <v>229</v>
      </c>
      <c r="I158" t="s">
        <v>69</v>
      </c>
      <c r="J158" t="s">
        <v>257</v>
      </c>
      <c r="K158" t="s">
        <v>230</v>
      </c>
      <c r="L158" t="s">
        <v>90</v>
      </c>
      <c r="M158" t="s">
        <v>1352</v>
      </c>
      <c r="N158" t="s">
        <v>565</v>
      </c>
      <c r="O158" t="s">
        <v>1335</v>
      </c>
      <c r="P158" t="s">
        <v>1353</v>
      </c>
      <c r="Q158" t="s">
        <v>326</v>
      </c>
      <c r="R158" t="s">
        <v>1354</v>
      </c>
      <c r="S158" t="s">
        <v>97</v>
      </c>
      <c r="T158" t="s">
        <v>1097</v>
      </c>
      <c r="U158" t="s">
        <v>288</v>
      </c>
      <c r="V158" t="s">
        <v>58</v>
      </c>
    </row>
    <row r="159" spans="1:22" x14ac:dyDescent="0.3">
      <c r="A159" t="s">
        <v>1355</v>
      </c>
      <c r="B159" t="s">
        <v>924</v>
      </c>
      <c r="C159" t="s">
        <v>925</v>
      </c>
      <c r="D159" t="s">
        <v>1356</v>
      </c>
      <c r="E159" t="s">
        <v>780</v>
      </c>
      <c r="F159" t="s">
        <v>282</v>
      </c>
      <c r="G159" t="s">
        <v>213</v>
      </c>
      <c r="H159" t="s">
        <v>49</v>
      </c>
      <c r="I159" t="s">
        <v>69</v>
      </c>
      <c r="J159" t="s">
        <v>30</v>
      </c>
      <c r="K159" t="s">
        <v>200</v>
      </c>
      <c r="L159" t="s">
        <v>1037</v>
      </c>
      <c r="M159" t="s">
        <v>618</v>
      </c>
      <c r="N159" t="s">
        <v>179</v>
      </c>
      <c r="O159" t="s">
        <v>618</v>
      </c>
      <c r="P159" t="s">
        <v>693</v>
      </c>
      <c r="Q159" t="s">
        <v>921</v>
      </c>
      <c r="R159" t="s">
        <v>1357</v>
      </c>
      <c r="S159" t="s">
        <v>182</v>
      </c>
      <c r="T159" t="s">
        <v>648</v>
      </c>
      <c r="U159" t="s">
        <v>171</v>
      </c>
      <c r="V159" t="s">
        <v>114</v>
      </c>
    </row>
    <row r="160" spans="1:22" x14ac:dyDescent="0.3">
      <c r="A160" t="s">
        <v>1358</v>
      </c>
      <c r="B160" t="s">
        <v>1359</v>
      </c>
      <c r="C160" t="s">
        <v>1360</v>
      </c>
      <c r="D160" t="s">
        <v>212</v>
      </c>
      <c r="E160" t="s">
        <v>267</v>
      </c>
      <c r="F160" t="s">
        <v>66</v>
      </c>
      <c r="G160" t="s">
        <v>27</v>
      </c>
      <c r="H160" t="s">
        <v>104</v>
      </c>
      <c r="I160" t="s">
        <v>29</v>
      </c>
      <c r="J160" t="s">
        <v>162</v>
      </c>
      <c r="K160" t="s">
        <v>245</v>
      </c>
      <c r="L160" t="s">
        <v>362</v>
      </c>
      <c r="M160" t="s">
        <v>618</v>
      </c>
      <c r="N160" t="s">
        <v>179</v>
      </c>
      <c r="O160" t="s">
        <v>618</v>
      </c>
      <c r="P160" t="s">
        <v>544</v>
      </c>
      <c r="Q160" t="s">
        <v>1260</v>
      </c>
      <c r="R160" t="s">
        <v>1361</v>
      </c>
      <c r="S160" t="s">
        <v>126</v>
      </c>
      <c r="T160" t="s">
        <v>770</v>
      </c>
      <c r="U160" t="s">
        <v>98</v>
      </c>
      <c r="V160" t="s">
        <v>42</v>
      </c>
    </row>
    <row r="161" spans="1:22" x14ac:dyDescent="0.3">
      <c r="A161" t="s">
        <v>1362</v>
      </c>
      <c r="B161" t="s">
        <v>624</v>
      </c>
      <c r="C161" t="s">
        <v>625</v>
      </c>
      <c r="D161" t="s">
        <v>1363</v>
      </c>
      <c r="E161" t="s">
        <v>1321</v>
      </c>
      <c r="F161" t="s">
        <v>228</v>
      </c>
      <c r="G161" t="s">
        <v>27</v>
      </c>
      <c r="H161" t="s">
        <v>49</v>
      </c>
      <c r="I161" t="s">
        <v>29</v>
      </c>
      <c r="J161" t="s">
        <v>30</v>
      </c>
      <c r="K161" t="s">
        <v>50</v>
      </c>
      <c r="L161" t="s">
        <v>812</v>
      </c>
      <c r="M161" t="s">
        <v>1364</v>
      </c>
      <c r="N161" t="s">
        <v>308</v>
      </c>
      <c r="O161" t="s">
        <v>1365</v>
      </c>
      <c r="P161" t="s">
        <v>479</v>
      </c>
      <c r="Q161" t="s">
        <v>619</v>
      </c>
      <c r="R161" t="s">
        <v>1366</v>
      </c>
      <c r="S161" t="s">
        <v>58</v>
      </c>
      <c r="T161" t="s">
        <v>610</v>
      </c>
      <c r="U161" t="s">
        <v>472</v>
      </c>
      <c r="V161" t="s">
        <v>82</v>
      </c>
    </row>
    <row r="162" spans="1:22" x14ac:dyDescent="0.3">
      <c r="A162" t="s">
        <v>1367</v>
      </c>
      <c r="B162" t="s">
        <v>1368</v>
      </c>
      <c r="C162" t="s">
        <v>1369</v>
      </c>
      <c r="D162" t="s">
        <v>1370</v>
      </c>
      <c r="E162" t="s">
        <v>342</v>
      </c>
      <c r="F162" t="s">
        <v>244</v>
      </c>
      <c r="G162" t="s">
        <v>48</v>
      </c>
      <c r="H162" t="s">
        <v>104</v>
      </c>
      <c r="I162" t="s">
        <v>69</v>
      </c>
      <c r="J162" t="s">
        <v>30</v>
      </c>
      <c r="K162" t="s">
        <v>200</v>
      </c>
      <c r="L162" t="s">
        <v>315</v>
      </c>
      <c r="M162" t="s">
        <v>914</v>
      </c>
      <c r="N162" t="s">
        <v>179</v>
      </c>
      <c r="O162" t="s">
        <v>914</v>
      </c>
      <c r="P162" t="s">
        <v>368</v>
      </c>
      <c r="Q162" t="s">
        <v>554</v>
      </c>
      <c r="R162" t="s">
        <v>1371</v>
      </c>
      <c r="S162" t="s">
        <v>126</v>
      </c>
      <c r="T162" t="s">
        <v>335</v>
      </c>
      <c r="U162" t="s">
        <v>81</v>
      </c>
      <c r="V162" t="s">
        <v>114</v>
      </c>
    </row>
    <row r="163" spans="1:22" x14ac:dyDescent="0.3">
      <c r="A163" t="s">
        <v>1372</v>
      </c>
      <c r="B163" t="s">
        <v>1373</v>
      </c>
      <c r="C163" t="s">
        <v>1374</v>
      </c>
      <c r="D163" t="s">
        <v>1375</v>
      </c>
      <c r="E163" t="s">
        <v>342</v>
      </c>
      <c r="F163" t="s">
        <v>244</v>
      </c>
      <c r="G163" t="s">
        <v>147</v>
      </c>
      <c r="H163" t="s">
        <v>268</v>
      </c>
      <c r="I163" t="s">
        <v>29</v>
      </c>
      <c r="J163" t="s">
        <v>70</v>
      </c>
      <c r="K163" t="s">
        <v>215</v>
      </c>
      <c r="L163" t="s">
        <v>773</v>
      </c>
      <c r="M163" t="s">
        <v>1376</v>
      </c>
      <c r="N163" t="s">
        <v>167</v>
      </c>
      <c r="O163" t="s">
        <v>1377</v>
      </c>
      <c r="P163" t="s">
        <v>1378</v>
      </c>
      <c r="Q163" t="s">
        <v>985</v>
      </c>
      <c r="R163" t="s">
        <v>1379</v>
      </c>
      <c r="S163" t="s">
        <v>58</v>
      </c>
      <c r="T163" t="s">
        <v>1183</v>
      </c>
      <c r="U163" t="s">
        <v>568</v>
      </c>
      <c r="V163" t="s">
        <v>114</v>
      </c>
    </row>
    <row r="164" spans="1:22" x14ac:dyDescent="0.3">
      <c r="A164" t="s">
        <v>1380</v>
      </c>
      <c r="B164" t="s">
        <v>777</v>
      </c>
      <c r="C164" t="s">
        <v>778</v>
      </c>
      <c r="D164" t="s">
        <v>1381</v>
      </c>
      <c r="E164" t="s">
        <v>282</v>
      </c>
      <c r="F164" t="s">
        <v>282</v>
      </c>
      <c r="G164" t="s">
        <v>67</v>
      </c>
      <c r="H164" t="s">
        <v>49</v>
      </c>
      <c r="I164" t="s">
        <v>69</v>
      </c>
      <c r="J164" t="s">
        <v>162</v>
      </c>
      <c r="K164" t="s">
        <v>293</v>
      </c>
      <c r="L164" t="s">
        <v>1382</v>
      </c>
      <c r="M164" t="s">
        <v>1383</v>
      </c>
      <c r="N164" t="s">
        <v>179</v>
      </c>
      <c r="O164" t="s">
        <v>1383</v>
      </c>
      <c r="P164" t="s">
        <v>319</v>
      </c>
      <c r="Q164" t="s">
        <v>782</v>
      </c>
      <c r="R164" t="s">
        <v>1384</v>
      </c>
      <c r="S164" t="s">
        <v>79</v>
      </c>
      <c r="T164" t="s">
        <v>308</v>
      </c>
      <c r="U164" t="s">
        <v>128</v>
      </c>
      <c r="V164" t="s">
        <v>58</v>
      </c>
    </row>
    <row r="165" spans="1:22" x14ac:dyDescent="0.3">
      <c r="A165" t="s">
        <v>1385</v>
      </c>
      <c r="B165" t="s">
        <v>1386</v>
      </c>
      <c r="C165" t="s">
        <v>1387</v>
      </c>
      <c r="D165" t="s">
        <v>1388</v>
      </c>
      <c r="E165" t="s">
        <v>176</v>
      </c>
      <c r="F165" t="s">
        <v>161</v>
      </c>
      <c r="G165" t="s">
        <v>103</v>
      </c>
      <c r="H165" t="s">
        <v>28</v>
      </c>
      <c r="I165" t="s">
        <v>29</v>
      </c>
      <c r="J165" t="s">
        <v>30</v>
      </c>
      <c r="K165" t="s">
        <v>31</v>
      </c>
      <c r="L165" t="s">
        <v>362</v>
      </c>
      <c r="M165" t="s">
        <v>35</v>
      </c>
      <c r="N165" t="s">
        <v>1162</v>
      </c>
      <c r="O165" t="s">
        <v>73</v>
      </c>
      <c r="P165" t="s">
        <v>828</v>
      </c>
      <c r="Q165" t="s">
        <v>604</v>
      </c>
      <c r="R165" t="s">
        <v>1389</v>
      </c>
      <c r="S165" t="s">
        <v>97</v>
      </c>
      <c r="T165" t="s">
        <v>168</v>
      </c>
      <c r="U165" t="s">
        <v>537</v>
      </c>
      <c r="V165" t="s">
        <v>58</v>
      </c>
    </row>
    <row r="166" spans="1:22" x14ac:dyDescent="0.3">
      <c r="A166" t="s">
        <v>1390</v>
      </c>
      <c r="B166" t="s">
        <v>1391</v>
      </c>
      <c r="C166" t="s">
        <v>1392</v>
      </c>
      <c r="D166" t="s">
        <v>1393</v>
      </c>
      <c r="E166" t="s">
        <v>282</v>
      </c>
      <c r="F166" t="s">
        <v>282</v>
      </c>
      <c r="G166" t="s">
        <v>103</v>
      </c>
      <c r="H166" t="s">
        <v>68</v>
      </c>
      <c r="I166" t="s">
        <v>29</v>
      </c>
      <c r="J166" t="s">
        <v>30</v>
      </c>
      <c r="K166" t="s">
        <v>245</v>
      </c>
      <c r="L166" t="s">
        <v>1394</v>
      </c>
      <c r="M166" t="s">
        <v>1395</v>
      </c>
      <c r="N166" t="s">
        <v>648</v>
      </c>
      <c r="O166" t="s">
        <v>1396</v>
      </c>
      <c r="P166" t="s">
        <v>334</v>
      </c>
      <c r="Q166" t="s">
        <v>1303</v>
      </c>
      <c r="R166" t="s">
        <v>1397</v>
      </c>
      <c r="S166" t="s">
        <v>126</v>
      </c>
      <c r="T166" t="s">
        <v>165</v>
      </c>
      <c r="U166" t="s">
        <v>385</v>
      </c>
      <c r="V166" t="s">
        <v>79</v>
      </c>
    </row>
    <row r="167" spans="1:22" x14ac:dyDescent="0.3">
      <c r="A167" t="s">
        <v>1398</v>
      </c>
      <c r="B167" t="s">
        <v>1399</v>
      </c>
      <c r="C167" t="s">
        <v>1400</v>
      </c>
      <c r="D167" t="s">
        <v>1401</v>
      </c>
      <c r="E167" t="s">
        <v>342</v>
      </c>
      <c r="F167" t="s">
        <v>244</v>
      </c>
      <c r="G167" t="s">
        <v>27</v>
      </c>
      <c r="H167" t="s">
        <v>229</v>
      </c>
      <c r="I167" t="s">
        <v>69</v>
      </c>
      <c r="J167" t="s">
        <v>30</v>
      </c>
      <c r="K167" t="s">
        <v>31</v>
      </c>
      <c r="L167" t="s">
        <v>90</v>
      </c>
      <c r="M167" t="s">
        <v>1402</v>
      </c>
      <c r="N167" t="s">
        <v>165</v>
      </c>
      <c r="O167" t="s">
        <v>1403</v>
      </c>
      <c r="P167" t="s">
        <v>166</v>
      </c>
      <c r="Q167" t="s">
        <v>686</v>
      </c>
      <c r="R167" t="s">
        <v>1404</v>
      </c>
      <c r="S167" t="s">
        <v>39</v>
      </c>
      <c r="T167" t="s">
        <v>751</v>
      </c>
      <c r="U167" t="s">
        <v>98</v>
      </c>
      <c r="V167" t="s">
        <v>58</v>
      </c>
    </row>
    <row r="168" spans="1:22" x14ac:dyDescent="0.3">
      <c r="A168" t="s">
        <v>1405</v>
      </c>
      <c r="B168" t="s">
        <v>640</v>
      </c>
      <c r="C168" t="s">
        <v>641</v>
      </c>
      <c r="D168" t="s">
        <v>496</v>
      </c>
      <c r="E168" t="s">
        <v>243</v>
      </c>
      <c r="F168" t="s">
        <v>244</v>
      </c>
      <c r="G168" t="s">
        <v>67</v>
      </c>
      <c r="H168" t="s">
        <v>88</v>
      </c>
      <c r="I168" t="s">
        <v>69</v>
      </c>
      <c r="J168" t="s">
        <v>70</v>
      </c>
      <c r="K168" t="s">
        <v>293</v>
      </c>
      <c r="L168" t="s">
        <v>719</v>
      </c>
      <c r="M168" t="s">
        <v>618</v>
      </c>
      <c r="N168" t="s">
        <v>721</v>
      </c>
      <c r="O168" t="s">
        <v>1406</v>
      </c>
      <c r="P168" t="s">
        <v>1090</v>
      </c>
      <c r="Q168" t="s">
        <v>1043</v>
      </c>
      <c r="R168" t="s">
        <v>1407</v>
      </c>
      <c r="S168" t="s">
        <v>126</v>
      </c>
      <c r="T168" t="s">
        <v>896</v>
      </c>
      <c r="U168" t="s">
        <v>867</v>
      </c>
      <c r="V168" t="s">
        <v>42</v>
      </c>
    </row>
    <row r="169" spans="1:22" x14ac:dyDescent="0.3">
      <c r="A169" t="s">
        <v>1408</v>
      </c>
      <c r="B169" t="s">
        <v>1409</v>
      </c>
      <c r="C169" t="s">
        <v>1410</v>
      </c>
      <c r="D169" t="s">
        <v>1411</v>
      </c>
      <c r="E169" t="s">
        <v>438</v>
      </c>
      <c r="F169" t="s">
        <v>188</v>
      </c>
      <c r="G169" t="s">
        <v>213</v>
      </c>
      <c r="H169" t="s">
        <v>88</v>
      </c>
      <c r="I169" t="s">
        <v>29</v>
      </c>
      <c r="J169" t="s">
        <v>70</v>
      </c>
      <c r="K169" t="s">
        <v>89</v>
      </c>
      <c r="L169" t="s">
        <v>974</v>
      </c>
      <c r="M169" t="s">
        <v>1412</v>
      </c>
      <c r="N169" t="s">
        <v>179</v>
      </c>
      <c r="O169" t="s">
        <v>1412</v>
      </c>
      <c r="P169" t="s">
        <v>1413</v>
      </c>
      <c r="Q169" t="s">
        <v>1414</v>
      </c>
      <c r="R169" t="s">
        <v>1415</v>
      </c>
      <c r="S169" t="s">
        <v>126</v>
      </c>
      <c r="T169" t="s">
        <v>237</v>
      </c>
      <c r="U169" t="s">
        <v>300</v>
      </c>
      <c r="V169" t="s">
        <v>58</v>
      </c>
    </row>
    <row r="170" spans="1:22" x14ac:dyDescent="0.3">
      <c r="A170" t="s">
        <v>1416</v>
      </c>
      <c r="B170" t="s">
        <v>1417</v>
      </c>
      <c r="C170" t="s">
        <v>1418</v>
      </c>
      <c r="D170" t="s">
        <v>1419</v>
      </c>
      <c r="E170" t="s">
        <v>399</v>
      </c>
      <c r="F170" t="s">
        <v>188</v>
      </c>
      <c r="G170" t="s">
        <v>580</v>
      </c>
      <c r="H170" t="s">
        <v>68</v>
      </c>
      <c r="I170" t="s">
        <v>69</v>
      </c>
      <c r="J170" t="s">
        <v>70</v>
      </c>
      <c r="K170" t="s">
        <v>71</v>
      </c>
      <c r="L170" t="s">
        <v>1022</v>
      </c>
      <c r="M170" t="s">
        <v>965</v>
      </c>
      <c r="N170" t="s">
        <v>1420</v>
      </c>
      <c r="O170" t="s">
        <v>477</v>
      </c>
      <c r="P170" t="s">
        <v>123</v>
      </c>
      <c r="Q170" t="s">
        <v>686</v>
      </c>
      <c r="R170" t="s">
        <v>1421</v>
      </c>
      <c r="S170" t="s">
        <v>79</v>
      </c>
      <c r="T170" t="s">
        <v>1116</v>
      </c>
      <c r="U170" t="s">
        <v>98</v>
      </c>
      <c r="V170" t="s">
        <v>42</v>
      </c>
    </row>
    <row r="171" spans="1:22" x14ac:dyDescent="0.3">
      <c r="A171" t="s">
        <v>1422</v>
      </c>
      <c r="B171" t="s">
        <v>962</v>
      </c>
      <c r="C171" t="s">
        <v>963</v>
      </c>
      <c r="D171" t="s">
        <v>1423</v>
      </c>
      <c r="E171" t="s">
        <v>282</v>
      </c>
      <c r="F171" t="s">
        <v>282</v>
      </c>
      <c r="G171" t="s">
        <v>147</v>
      </c>
      <c r="H171" t="s">
        <v>229</v>
      </c>
      <c r="I171" t="s">
        <v>29</v>
      </c>
      <c r="J171" t="s">
        <v>30</v>
      </c>
      <c r="K171" t="s">
        <v>31</v>
      </c>
      <c r="L171" t="s">
        <v>682</v>
      </c>
      <c r="M171" t="s">
        <v>1424</v>
      </c>
      <c r="N171" t="s">
        <v>448</v>
      </c>
      <c r="O171" t="s">
        <v>946</v>
      </c>
      <c r="P171" t="s">
        <v>804</v>
      </c>
      <c r="Q171" t="s">
        <v>151</v>
      </c>
      <c r="R171" t="s">
        <v>1425</v>
      </c>
      <c r="S171" t="s">
        <v>126</v>
      </c>
      <c r="T171" t="s">
        <v>110</v>
      </c>
      <c r="U171" t="s">
        <v>300</v>
      </c>
      <c r="V171" t="s">
        <v>58</v>
      </c>
    </row>
    <row r="172" spans="1:22" x14ac:dyDescent="0.3">
      <c r="A172" t="s">
        <v>1426</v>
      </c>
      <c r="B172" t="s">
        <v>1427</v>
      </c>
      <c r="C172" t="s">
        <v>1428</v>
      </c>
      <c r="D172" t="s">
        <v>1429</v>
      </c>
      <c r="E172" t="s">
        <v>160</v>
      </c>
      <c r="F172" t="s">
        <v>161</v>
      </c>
      <c r="G172" t="s">
        <v>103</v>
      </c>
      <c r="H172" t="s">
        <v>268</v>
      </c>
      <c r="I172" t="s">
        <v>69</v>
      </c>
      <c r="J172" t="s">
        <v>30</v>
      </c>
      <c r="K172" t="s">
        <v>245</v>
      </c>
      <c r="L172" t="s">
        <v>1022</v>
      </c>
      <c r="M172" t="s">
        <v>1163</v>
      </c>
      <c r="N172" t="s">
        <v>179</v>
      </c>
      <c r="O172" t="s">
        <v>1163</v>
      </c>
      <c r="P172" t="s">
        <v>977</v>
      </c>
      <c r="Q172" t="s">
        <v>1430</v>
      </c>
      <c r="R172" t="s">
        <v>1431</v>
      </c>
      <c r="S172" t="s">
        <v>126</v>
      </c>
      <c r="T172" t="s">
        <v>140</v>
      </c>
      <c r="U172" t="s">
        <v>394</v>
      </c>
      <c r="V172" t="s">
        <v>42</v>
      </c>
    </row>
    <row r="173" spans="1:22" x14ac:dyDescent="0.3">
      <c r="A173" t="s">
        <v>1432</v>
      </c>
      <c r="B173" t="s">
        <v>624</v>
      </c>
      <c r="C173" t="s">
        <v>625</v>
      </c>
      <c r="D173" t="s">
        <v>541</v>
      </c>
      <c r="E173" t="s">
        <v>399</v>
      </c>
      <c r="F173" t="s">
        <v>188</v>
      </c>
      <c r="G173" t="s">
        <v>580</v>
      </c>
      <c r="H173" t="s">
        <v>28</v>
      </c>
      <c r="I173" t="s">
        <v>1073</v>
      </c>
      <c r="J173" t="s">
        <v>30</v>
      </c>
      <c r="K173" t="s">
        <v>215</v>
      </c>
      <c r="L173" t="s">
        <v>1295</v>
      </c>
      <c r="M173" t="s">
        <v>1433</v>
      </c>
      <c r="N173" t="s">
        <v>499</v>
      </c>
      <c r="O173" t="s">
        <v>805</v>
      </c>
      <c r="P173" t="s">
        <v>1434</v>
      </c>
      <c r="Q173" t="s">
        <v>583</v>
      </c>
      <c r="R173" t="s">
        <v>1435</v>
      </c>
      <c r="S173" t="s">
        <v>126</v>
      </c>
      <c r="T173" t="s">
        <v>567</v>
      </c>
      <c r="U173" t="s">
        <v>867</v>
      </c>
      <c r="V173" t="s">
        <v>114</v>
      </c>
    </row>
    <row r="174" spans="1:22" x14ac:dyDescent="0.3">
      <c r="A174" t="s">
        <v>1436</v>
      </c>
      <c r="B174" t="s">
        <v>1437</v>
      </c>
      <c r="C174" t="s">
        <v>1438</v>
      </c>
      <c r="D174" t="s">
        <v>1439</v>
      </c>
      <c r="E174" t="s">
        <v>378</v>
      </c>
      <c r="F174" t="s">
        <v>282</v>
      </c>
      <c r="G174" t="s">
        <v>67</v>
      </c>
      <c r="H174" t="s">
        <v>104</v>
      </c>
      <c r="I174" t="s">
        <v>69</v>
      </c>
      <c r="J174" t="s">
        <v>162</v>
      </c>
      <c r="K174" t="s">
        <v>215</v>
      </c>
      <c r="L174" t="s">
        <v>294</v>
      </c>
      <c r="M174" t="s">
        <v>152</v>
      </c>
      <c r="N174" t="s">
        <v>183</v>
      </c>
      <c r="O174" t="s">
        <v>164</v>
      </c>
      <c r="P174" t="s">
        <v>816</v>
      </c>
      <c r="Q174" t="s">
        <v>1162</v>
      </c>
      <c r="R174" t="s">
        <v>1440</v>
      </c>
      <c r="S174" t="s">
        <v>97</v>
      </c>
      <c r="T174" t="s">
        <v>74</v>
      </c>
      <c r="U174" t="s">
        <v>98</v>
      </c>
      <c r="V174" t="s">
        <v>79</v>
      </c>
    </row>
    <row r="175" spans="1:22" x14ac:dyDescent="0.3">
      <c r="A175" t="s">
        <v>1441</v>
      </c>
      <c r="B175" t="s">
        <v>463</v>
      </c>
      <c r="C175" t="s">
        <v>464</v>
      </c>
      <c r="D175" t="s">
        <v>1265</v>
      </c>
      <c r="E175" t="s">
        <v>87</v>
      </c>
      <c r="F175" t="s">
        <v>26</v>
      </c>
      <c r="G175" t="s">
        <v>27</v>
      </c>
      <c r="H175" t="s">
        <v>104</v>
      </c>
      <c r="I175" t="s">
        <v>69</v>
      </c>
      <c r="J175" t="s">
        <v>30</v>
      </c>
      <c r="K175" t="s">
        <v>71</v>
      </c>
      <c r="L175" t="s">
        <v>983</v>
      </c>
      <c r="M175" t="s">
        <v>1442</v>
      </c>
      <c r="N175" t="s">
        <v>637</v>
      </c>
      <c r="O175" t="s">
        <v>1443</v>
      </c>
      <c r="P175" t="s">
        <v>33</v>
      </c>
      <c r="Q175" t="s">
        <v>948</v>
      </c>
      <c r="R175" t="s">
        <v>1444</v>
      </c>
      <c r="S175" t="s">
        <v>126</v>
      </c>
      <c r="T175" t="s">
        <v>468</v>
      </c>
      <c r="U175" t="s">
        <v>867</v>
      </c>
      <c r="V175" t="s">
        <v>82</v>
      </c>
    </row>
    <row r="176" spans="1:22" x14ac:dyDescent="0.3">
      <c r="A176" t="s">
        <v>1445</v>
      </c>
      <c r="B176" t="s">
        <v>1446</v>
      </c>
      <c r="C176" t="s">
        <v>1447</v>
      </c>
      <c r="D176" t="s">
        <v>1448</v>
      </c>
      <c r="E176" t="s">
        <v>65</v>
      </c>
      <c r="F176" t="s">
        <v>66</v>
      </c>
      <c r="G176" t="s">
        <v>118</v>
      </c>
      <c r="H176" t="s">
        <v>214</v>
      </c>
      <c r="I176" t="s">
        <v>69</v>
      </c>
      <c r="J176" t="s">
        <v>30</v>
      </c>
      <c r="K176" t="s">
        <v>200</v>
      </c>
      <c r="L176" t="s">
        <v>1022</v>
      </c>
      <c r="M176" t="s">
        <v>1449</v>
      </c>
      <c r="N176" t="s">
        <v>179</v>
      </c>
      <c r="O176" t="s">
        <v>1449</v>
      </c>
      <c r="P176" t="s">
        <v>798</v>
      </c>
      <c r="Q176" t="s">
        <v>310</v>
      </c>
      <c r="R176" t="s">
        <v>1450</v>
      </c>
      <c r="S176" t="s">
        <v>39</v>
      </c>
      <c r="T176" t="s">
        <v>299</v>
      </c>
      <c r="U176" t="s">
        <v>373</v>
      </c>
      <c r="V176" t="s">
        <v>82</v>
      </c>
    </row>
    <row r="177" spans="1:22" x14ac:dyDescent="0.3">
      <c r="A177" t="s">
        <v>1451</v>
      </c>
      <c r="B177" t="s">
        <v>1452</v>
      </c>
      <c r="C177" t="s">
        <v>1453</v>
      </c>
      <c r="D177" t="s">
        <v>1454</v>
      </c>
      <c r="E177" t="s">
        <v>160</v>
      </c>
      <c r="F177" t="s">
        <v>161</v>
      </c>
      <c r="G177" t="s">
        <v>48</v>
      </c>
      <c r="H177" t="s">
        <v>229</v>
      </c>
      <c r="I177" t="s">
        <v>29</v>
      </c>
      <c r="J177" t="s">
        <v>30</v>
      </c>
      <c r="K177" t="s">
        <v>293</v>
      </c>
      <c r="L177" t="s">
        <v>598</v>
      </c>
      <c r="M177" t="s">
        <v>1346</v>
      </c>
      <c r="N177" t="s">
        <v>896</v>
      </c>
      <c r="O177" t="s">
        <v>1455</v>
      </c>
      <c r="P177" t="s">
        <v>555</v>
      </c>
      <c r="Q177" t="s">
        <v>1456</v>
      </c>
      <c r="R177" t="s">
        <v>1457</v>
      </c>
      <c r="S177" t="s">
        <v>182</v>
      </c>
      <c r="T177" t="s">
        <v>92</v>
      </c>
      <c r="U177" t="s">
        <v>171</v>
      </c>
      <c r="V177" t="s">
        <v>114</v>
      </c>
    </row>
    <row r="178" spans="1:22" x14ac:dyDescent="0.3">
      <c r="A178" t="s">
        <v>1458</v>
      </c>
      <c r="B178" t="s">
        <v>1459</v>
      </c>
      <c r="C178" t="s">
        <v>1460</v>
      </c>
      <c r="D178" t="s">
        <v>1461</v>
      </c>
      <c r="E178" t="s">
        <v>244</v>
      </c>
      <c r="F178" t="s">
        <v>244</v>
      </c>
      <c r="G178" t="s">
        <v>103</v>
      </c>
      <c r="H178" t="s">
        <v>229</v>
      </c>
      <c r="I178" t="s">
        <v>1073</v>
      </c>
      <c r="J178" t="s">
        <v>30</v>
      </c>
      <c r="K178" t="s">
        <v>245</v>
      </c>
      <c r="L178" t="s">
        <v>269</v>
      </c>
      <c r="M178" t="s">
        <v>178</v>
      </c>
      <c r="N178" t="s">
        <v>735</v>
      </c>
      <c r="O178" t="s">
        <v>685</v>
      </c>
      <c r="P178" t="s">
        <v>1430</v>
      </c>
      <c r="Q178" t="s">
        <v>183</v>
      </c>
      <c r="R178" t="s">
        <v>1462</v>
      </c>
      <c r="S178" t="s">
        <v>126</v>
      </c>
      <c r="T178" t="s">
        <v>751</v>
      </c>
      <c r="U178" t="s">
        <v>373</v>
      </c>
      <c r="V178" t="s">
        <v>79</v>
      </c>
    </row>
    <row r="179" spans="1:22" x14ac:dyDescent="0.3">
      <c r="A179" t="s">
        <v>1463</v>
      </c>
      <c r="B179" t="s">
        <v>1292</v>
      </c>
      <c r="C179" t="s">
        <v>1293</v>
      </c>
      <c r="D179" t="s">
        <v>1464</v>
      </c>
      <c r="E179" t="s">
        <v>243</v>
      </c>
      <c r="F179" t="s">
        <v>244</v>
      </c>
      <c r="G179" t="s">
        <v>580</v>
      </c>
      <c r="H179" t="s">
        <v>104</v>
      </c>
      <c r="I179" t="s">
        <v>69</v>
      </c>
      <c r="J179" t="s">
        <v>162</v>
      </c>
      <c r="K179" t="s">
        <v>245</v>
      </c>
      <c r="L179" t="s">
        <v>1382</v>
      </c>
      <c r="M179" t="s">
        <v>1465</v>
      </c>
      <c r="N179" t="s">
        <v>321</v>
      </c>
      <c r="O179" t="s">
        <v>563</v>
      </c>
      <c r="P179" t="s">
        <v>1283</v>
      </c>
      <c r="Q179" t="s">
        <v>180</v>
      </c>
      <c r="R179" t="s">
        <v>1466</v>
      </c>
      <c r="S179" t="s">
        <v>182</v>
      </c>
      <c r="T179" t="s">
        <v>724</v>
      </c>
      <c r="U179" t="s">
        <v>423</v>
      </c>
      <c r="V179" t="s">
        <v>114</v>
      </c>
    </row>
    <row r="180" spans="1:22" x14ac:dyDescent="0.3">
      <c r="A180" t="s">
        <v>1467</v>
      </c>
      <c r="B180" t="s">
        <v>1468</v>
      </c>
      <c r="C180" t="s">
        <v>1469</v>
      </c>
      <c r="D180" t="s">
        <v>1470</v>
      </c>
      <c r="E180" t="s">
        <v>188</v>
      </c>
      <c r="F180" t="s">
        <v>188</v>
      </c>
      <c r="G180" t="s">
        <v>147</v>
      </c>
      <c r="H180" t="s">
        <v>68</v>
      </c>
      <c r="I180" t="s">
        <v>69</v>
      </c>
      <c r="J180" t="s">
        <v>30</v>
      </c>
      <c r="K180" t="s">
        <v>230</v>
      </c>
      <c r="L180" t="s">
        <v>561</v>
      </c>
      <c r="M180" t="s">
        <v>1471</v>
      </c>
      <c r="N180" t="s">
        <v>908</v>
      </c>
      <c r="O180" t="s">
        <v>1472</v>
      </c>
      <c r="P180" t="s">
        <v>1473</v>
      </c>
      <c r="Q180" t="s">
        <v>319</v>
      </c>
      <c r="R180" t="s">
        <v>1474</v>
      </c>
      <c r="S180" t="s">
        <v>58</v>
      </c>
      <c r="T180" t="s">
        <v>76</v>
      </c>
      <c r="U180" t="s">
        <v>394</v>
      </c>
      <c r="V180" t="s">
        <v>58</v>
      </c>
    </row>
    <row r="181" spans="1:22" x14ac:dyDescent="0.3">
      <c r="A181" t="s">
        <v>1475</v>
      </c>
      <c r="B181" t="s">
        <v>454</v>
      </c>
      <c r="C181" t="s">
        <v>455</v>
      </c>
      <c r="D181" t="s">
        <v>926</v>
      </c>
      <c r="E181" t="s">
        <v>160</v>
      </c>
      <c r="F181" t="s">
        <v>161</v>
      </c>
      <c r="G181" t="s">
        <v>580</v>
      </c>
      <c r="H181" t="s">
        <v>49</v>
      </c>
      <c r="I181" t="s">
        <v>69</v>
      </c>
      <c r="J181" t="s">
        <v>70</v>
      </c>
      <c r="K181" t="s">
        <v>230</v>
      </c>
      <c r="L181" t="s">
        <v>201</v>
      </c>
      <c r="M181" t="s">
        <v>1476</v>
      </c>
      <c r="N181" t="s">
        <v>461</v>
      </c>
      <c r="O181" t="s">
        <v>1330</v>
      </c>
      <c r="P181" t="s">
        <v>542</v>
      </c>
      <c r="Q181" t="s">
        <v>881</v>
      </c>
      <c r="R181" t="s">
        <v>1477</v>
      </c>
      <c r="S181" t="s">
        <v>182</v>
      </c>
      <c r="T181" t="s">
        <v>336</v>
      </c>
      <c r="U181" t="s">
        <v>423</v>
      </c>
      <c r="V181" t="s">
        <v>82</v>
      </c>
    </row>
    <row r="182" spans="1:22" x14ac:dyDescent="0.3">
      <c r="A182" t="s">
        <v>1478</v>
      </c>
      <c r="B182" t="s">
        <v>1479</v>
      </c>
      <c r="C182" t="s">
        <v>1480</v>
      </c>
      <c r="D182" t="s">
        <v>1481</v>
      </c>
      <c r="E182" t="s">
        <v>780</v>
      </c>
      <c r="F182" t="s">
        <v>282</v>
      </c>
      <c r="G182" t="s">
        <v>213</v>
      </c>
      <c r="H182" t="s">
        <v>214</v>
      </c>
      <c r="I182" t="s">
        <v>29</v>
      </c>
      <c r="J182" t="s">
        <v>1482</v>
      </c>
      <c r="K182" t="s">
        <v>71</v>
      </c>
      <c r="L182" t="s">
        <v>598</v>
      </c>
      <c r="M182" t="s">
        <v>457</v>
      </c>
      <c r="N182" t="s">
        <v>335</v>
      </c>
      <c r="O182" t="s">
        <v>458</v>
      </c>
      <c r="P182" t="s">
        <v>627</v>
      </c>
      <c r="Q182" t="s">
        <v>921</v>
      </c>
      <c r="R182" t="s">
        <v>1483</v>
      </c>
      <c r="S182" t="s">
        <v>39</v>
      </c>
      <c r="T182" t="s">
        <v>710</v>
      </c>
      <c r="U182" t="s">
        <v>277</v>
      </c>
      <c r="V182" t="s">
        <v>82</v>
      </c>
    </row>
    <row r="183" spans="1:22" x14ac:dyDescent="0.3">
      <c r="A183" t="s">
        <v>1484</v>
      </c>
      <c r="B183" t="s">
        <v>1240</v>
      </c>
      <c r="C183" t="s">
        <v>1241</v>
      </c>
      <c r="D183" t="s">
        <v>827</v>
      </c>
      <c r="E183" t="s">
        <v>438</v>
      </c>
      <c r="F183" t="s">
        <v>188</v>
      </c>
      <c r="G183" t="s">
        <v>213</v>
      </c>
      <c r="H183" t="s">
        <v>68</v>
      </c>
      <c r="I183" t="s">
        <v>69</v>
      </c>
      <c r="J183" t="s">
        <v>30</v>
      </c>
      <c r="K183" t="s">
        <v>50</v>
      </c>
      <c r="L183" t="s">
        <v>269</v>
      </c>
      <c r="M183" t="s">
        <v>429</v>
      </c>
      <c r="N183" t="s">
        <v>179</v>
      </c>
      <c r="O183" t="s">
        <v>429</v>
      </c>
      <c r="P183" t="s">
        <v>1485</v>
      </c>
      <c r="Q183" t="s">
        <v>992</v>
      </c>
      <c r="R183" t="s">
        <v>1366</v>
      </c>
      <c r="S183" t="s">
        <v>126</v>
      </c>
      <c r="T183" t="s">
        <v>1303</v>
      </c>
      <c r="U183" t="s">
        <v>568</v>
      </c>
      <c r="V183" t="s">
        <v>58</v>
      </c>
    </row>
    <row r="184" spans="1:22" x14ac:dyDescent="0.3">
      <c r="A184" t="s">
        <v>1486</v>
      </c>
      <c r="B184" t="s">
        <v>1487</v>
      </c>
      <c r="C184" t="s">
        <v>1488</v>
      </c>
      <c r="D184" t="s">
        <v>1489</v>
      </c>
      <c r="E184" t="s">
        <v>354</v>
      </c>
      <c r="F184" t="s">
        <v>134</v>
      </c>
      <c r="G184" t="s">
        <v>147</v>
      </c>
      <c r="H184" t="s">
        <v>229</v>
      </c>
      <c r="I184" t="s">
        <v>29</v>
      </c>
      <c r="J184" t="s">
        <v>30</v>
      </c>
      <c r="K184" t="s">
        <v>71</v>
      </c>
      <c r="L184" t="s">
        <v>1156</v>
      </c>
      <c r="M184" t="s">
        <v>1490</v>
      </c>
      <c r="N184" t="s">
        <v>1491</v>
      </c>
      <c r="O184" t="s">
        <v>516</v>
      </c>
      <c r="P184" t="s">
        <v>1492</v>
      </c>
      <c r="Q184" t="s">
        <v>977</v>
      </c>
      <c r="R184" t="s">
        <v>1493</v>
      </c>
      <c r="S184" t="s">
        <v>182</v>
      </c>
      <c r="T184" t="s">
        <v>1162</v>
      </c>
      <c r="U184" t="s">
        <v>155</v>
      </c>
      <c r="V184" t="s">
        <v>58</v>
      </c>
    </row>
    <row r="185" spans="1:22" x14ac:dyDescent="0.3">
      <c r="A185" t="s">
        <v>1494</v>
      </c>
      <c r="B185" t="s">
        <v>1060</v>
      </c>
      <c r="C185" t="s">
        <v>1061</v>
      </c>
      <c r="D185" t="s">
        <v>936</v>
      </c>
      <c r="E185" t="s">
        <v>188</v>
      </c>
      <c r="F185" t="s">
        <v>188</v>
      </c>
      <c r="G185" t="s">
        <v>27</v>
      </c>
      <c r="H185" t="s">
        <v>268</v>
      </c>
      <c r="I185" t="s">
        <v>69</v>
      </c>
      <c r="J185" t="s">
        <v>30</v>
      </c>
      <c r="K185" t="s">
        <v>71</v>
      </c>
      <c r="L185" t="s">
        <v>428</v>
      </c>
      <c r="M185" t="s">
        <v>1492</v>
      </c>
      <c r="N185" t="s">
        <v>648</v>
      </c>
      <c r="O185" t="s">
        <v>1064</v>
      </c>
      <c r="P185" t="s">
        <v>886</v>
      </c>
      <c r="Q185" t="s">
        <v>695</v>
      </c>
      <c r="R185" t="s">
        <v>1495</v>
      </c>
      <c r="S185" t="s">
        <v>58</v>
      </c>
      <c r="T185" t="s">
        <v>308</v>
      </c>
      <c r="U185" t="s">
        <v>60</v>
      </c>
      <c r="V185" t="s">
        <v>79</v>
      </c>
    </row>
    <row r="186" spans="1:22" x14ac:dyDescent="0.3">
      <c r="A186" t="s">
        <v>1496</v>
      </c>
      <c r="B186" t="s">
        <v>210</v>
      </c>
      <c r="C186" t="s">
        <v>211</v>
      </c>
      <c r="D186" t="s">
        <v>1497</v>
      </c>
      <c r="E186" t="s">
        <v>161</v>
      </c>
      <c r="F186" t="s">
        <v>161</v>
      </c>
      <c r="G186" t="s">
        <v>27</v>
      </c>
      <c r="H186" t="s">
        <v>214</v>
      </c>
      <c r="I186" t="s">
        <v>69</v>
      </c>
      <c r="J186" t="s">
        <v>30</v>
      </c>
      <c r="K186" t="s">
        <v>89</v>
      </c>
      <c r="L186" t="s">
        <v>1139</v>
      </c>
      <c r="M186" t="s">
        <v>1498</v>
      </c>
      <c r="N186" t="s">
        <v>179</v>
      </c>
      <c r="O186" t="s">
        <v>1498</v>
      </c>
      <c r="P186" t="s">
        <v>1114</v>
      </c>
      <c r="Q186" t="s">
        <v>136</v>
      </c>
      <c r="R186" t="s">
        <v>1499</v>
      </c>
      <c r="S186" t="s">
        <v>58</v>
      </c>
      <c r="T186" t="s">
        <v>252</v>
      </c>
      <c r="U186" t="s">
        <v>300</v>
      </c>
      <c r="V186" t="s">
        <v>58</v>
      </c>
    </row>
    <row r="187" spans="1:22" x14ac:dyDescent="0.3">
      <c r="A187" t="s">
        <v>1500</v>
      </c>
      <c r="B187" t="s">
        <v>1501</v>
      </c>
      <c r="C187" t="s">
        <v>1502</v>
      </c>
      <c r="D187" t="s">
        <v>936</v>
      </c>
      <c r="E187" t="s">
        <v>893</v>
      </c>
      <c r="F187" t="s">
        <v>188</v>
      </c>
      <c r="G187" t="s">
        <v>48</v>
      </c>
      <c r="H187" t="s">
        <v>88</v>
      </c>
      <c r="I187" t="s">
        <v>29</v>
      </c>
      <c r="J187" t="s">
        <v>70</v>
      </c>
      <c r="K187" t="s">
        <v>71</v>
      </c>
      <c r="L187" t="s">
        <v>1503</v>
      </c>
      <c r="M187" t="s">
        <v>1414</v>
      </c>
      <c r="N187" t="s">
        <v>308</v>
      </c>
      <c r="O187" t="s">
        <v>611</v>
      </c>
      <c r="P187" t="s">
        <v>1106</v>
      </c>
      <c r="Q187" t="s">
        <v>107</v>
      </c>
      <c r="R187" t="s">
        <v>1504</v>
      </c>
      <c r="S187" t="s">
        <v>39</v>
      </c>
      <c r="T187" t="s">
        <v>448</v>
      </c>
      <c r="U187" t="s">
        <v>362</v>
      </c>
      <c r="V187" t="s">
        <v>58</v>
      </c>
    </row>
    <row r="188" spans="1:22" x14ac:dyDescent="0.3">
      <c r="A188" t="s">
        <v>1505</v>
      </c>
      <c r="B188" t="s">
        <v>1506</v>
      </c>
      <c r="C188" t="s">
        <v>1507</v>
      </c>
      <c r="D188" t="s">
        <v>1508</v>
      </c>
      <c r="E188" t="s">
        <v>227</v>
      </c>
      <c r="F188" t="s">
        <v>228</v>
      </c>
      <c r="G188" t="s">
        <v>118</v>
      </c>
      <c r="H188" t="s">
        <v>268</v>
      </c>
      <c r="I188" t="s">
        <v>29</v>
      </c>
      <c r="J188" t="s">
        <v>30</v>
      </c>
      <c r="K188" t="s">
        <v>71</v>
      </c>
      <c r="L188" t="s">
        <v>51</v>
      </c>
      <c r="M188" t="s">
        <v>52</v>
      </c>
      <c r="N188" t="s">
        <v>179</v>
      </c>
      <c r="O188" t="s">
        <v>52</v>
      </c>
      <c r="P188" t="s">
        <v>1509</v>
      </c>
      <c r="Q188" t="s">
        <v>112</v>
      </c>
      <c r="R188" t="s">
        <v>1510</v>
      </c>
      <c r="S188" t="s">
        <v>39</v>
      </c>
      <c r="T188" t="s">
        <v>59</v>
      </c>
      <c r="U188" t="s">
        <v>98</v>
      </c>
      <c r="V188" t="s">
        <v>82</v>
      </c>
    </row>
    <row r="189" spans="1:22" x14ac:dyDescent="0.3">
      <c r="A189" t="s">
        <v>1511</v>
      </c>
      <c r="B189" t="s">
        <v>1512</v>
      </c>
      <c r="C189" t="s">
        <v>1513</v>
      </c>
      <c r="D189" t="s">
        <v>936</v>
      </c>
      <c r="E189" t="s">
        <v>417</v>
      </c>
      <c r="F189" t="s">
        <v>134</v>
      </c>
      <c r="G189" t="s">
        <v>27</v>
      </c>
      <c r="H189" t="s">
        <v>68</v>
      </c>
      <c r="I189" t="s">
        <v>69</v>
      </c>
      <c r="J189" t="s">
        <v>1514</v>
      </c>
      <c r="K189" t="s">
        <v>230</v>
      </c>
      <c r="L189" t="s">
        <v>1515</v>
      </c>
      <c r="M189" t="s">
        <v>1516</v>
      </c>
      <c r="N189" t="s">
        <v>440</v>
      </c>
      <c r="O189" t="s">
        <v>205</v>
      </c>
      <c r="P189" t="s">
        <v>1517</v>
      </c>
      <c r="Q189" t="s">
        <v>489</v>
      </c>
      <c r="R189" t="s">
        <v>1518</v>
      </c>
      <c r="S189" t="s">
        <v>182</v>
      </c>
      <c r="T189" t="s">
        <v>191</v>
      </c>
      <c r="U189" t="s">
        <v>155</v>
      </c>
      <c r="V189" t="s">
        <v>58</v>
      </c>
    </row>
    <row r="190" spans="1:22" x14ac:dyDescent="0.3">
      <c r="A190" t="s">
        <v>1519</v>
      </c>
      <c r="B190" t="s">
        <v>1520</v>
      </c>
      <c r="C190" t="s">
        <v>1521</v>
      </c>
      <c r="D190" t="s">
        <v>1138</v>
      </c>
      <c r="E190" t="s">
        <v>228</v>
      </c>
      <c r="F190" t="s">
        <v>228</v>
      </c>
      <c r="G190" t="s">
        <v>147</v>
      </c>
      <c r="H190" t="s">
        <v>104</v>
      </c>
      <c r="I190" t="s">
        <v>29</v>
      </c>
      <c r="J190" t="s">
        <v>162</v>
      </c>
      <c r="K190" t="s">
        <v>215</v>
      </c>
      <c r="L190" t="s">
        <v>766</v>
      </c>
      <c r="M190" t="s">
        <v>1522</v>
      </c>
      <c r="N190" t="s">
        <v>613</v>
      </c>
      <c r="O190" t="s">
        <v>381</v>
      </c>
      <c r="P190" t="s">
        <v>1523</v>
      </c>
      <c r="Q190" t="s">
        <v>433</v>
      </c>
      <c r="R190" t="s">
        <v>1524</v>
      </c>
      <c r="S190" t="s">
        <v>39</v>
      </c>
      <c r="T190" t="s">
        <v>655</v>
      </c>
      <c r="U190" t="s">
        <v>394</v>
      </c>
      <c r="V190" t="s">
        <v>58</v>
      </c>
    </row>
    <row r="191" spans="1:22" x14ac:dyDescent="0.3">
      <c r="A191" t="s">
        <v>1525</v>
      </c>
      <c r="B191" t="s">
        <v>339</v>
      </c>
      <c r="C191" t="s">
        <v>340</v>
      </c>
      <c r="D191" t="s">
        <v>560</v>
      </c>
      <c r="E191" t="s">
        <v>66</v>
      </c>
      <c r="F191" t="s">
        <v>66</v>
      </c>
      <c r="G191" t="s">
        <v>580</v>
      </c>
      <c r="H191" t="s">
        <v>268</v>
      </c>
      <c r="I191" t="s">
        <v>69</v>
      </c>
      <c r="J191" t="s">
        <v>30</v>
      </c>
      <c r="K191" t="s">
        <v>200</v>
      </c>
      <c r="L191" t="s">
        <v>1526</v>
      </c>
      <c r="M191" t="s">
        <v>1527</v>
      </c>
      <c r="N191" t="s">
        <v>179</v>
      </c>
      <c r="O191" t="s">
        <v>1527</v>
      </c>
      <c r="P191" t="s">
        <v>767</v>
      </c>
      <c r="Q191" t="s">
        <v>886</v>
      </c>
      <c r="R191" t="s">
        <v>1528</v>
      </c>
      <c r="S191" t="s">
        <v>97</v>
      </c>
      <c r="T191" t="s">
        <v>583</v>
      </c>
      <c r="U191" t="s">
        <v>362</v>
      </c>
      <c r="V191" t="s">
        <v>82</v>
      </c>
    </row>
    <row r="192" spans="1:22" x14ac:dyDescent="0.3">
      <c r="A192" t="s">
        <v>1529</v>
      </c>
      <c r="B192" t="s">
        <v>1530</v>
      </c>
      <c r="C192" t="s">
        <v>1531</v>
      </c>
      <c r="D192" t="s">
        <v>1532</v>
      </c>
      <c r="E192" t="s">
        <v>282</v>
      </c>
      <c r="F192" t="s">
        <v>282</v>
      </c>
      <c r="G192" t="s">
        <v>147</v>
      </c>
      <c r="H192" t="s">
        <v>68</v>
      </c>
      <c r="I192" t="s">
        <v>29</v>
      </c>
      <c r="J192" t="s">
        <v>30</v>
      </c>
      <c r="K192" t="s">
        <v>200</v>
      </c>
      <c r="L192" t="s">
        <v>189</v>
      </c>
      <c r="M192" t="s">
        <v>692</v>
      </c>
      <c r="N192" t="s">
        <v>179</v>
      </c>
      <c r="O192" t="s">
        <v>692</v>
      </c>
      <c r="P192" t="s">
        <v>1183</v>
      </c>
      <c r="Q192" t="s">
        <v>1456</v>
      </c>
      <c r="R192" t="s">
        <v>1533</v>
      </c>
      <c r="S192" t="s">
        <v>58</v>
      </c>
      <c r="T192" t="s">
        <v>40</v>
      </c>
      <c r="U192" t="s">
        <v>537</v>
      </c>
      <c r="V192" t="s">
        <v>79</v>
      </c>
    </row>
    <row r="193" spans="1:22" x14ac:dyDescent="0.3">
      <c r="A193" t="s">
        <v>1534</v>
      </c>
      <c r="B193" t="s">
        <v>1535</v>
      </c>
      <c r="C193" t="s">
        <v>1536</v>
      </c>
      <c r="D193" t="s">
        <v>1537</v>
      </c>
      <c r="E193" t="s">
        <v>780</v>
      </c>
      <c r="F193" t="s">
        <v>282</v>
      </c>
      <c r="G193" t="s">
        <v>118</v>
      </c>
      <c r="H193" t="s">
        <v>229</v>
      </c>
      <c r="I193" t="s">
        <v>69</v>
      </c>
      <c r="J193" t="s">
        <v>30</v>
      </c>
      <c r="K193" t="s">
        <v>215</v>
      </c>
      <c r="L193" t="s">
        <v>1538</v>
      </c>
      <c r="M193" t="s">
        <v>136</v>
      </c>
      <c r="N193" t="s">
        <v>121</v>
      </c>
      <c r="O193" t="s">
        <v>1539</v>
      </c>
      <c r="P193" t="s">
        <v>1097</v>
      </c>
      <c r="Q193" t="s">
        <v>406</v>
      </c>
      <c r="R193" t="s">
        <v>1540</v>
      </c>
      <c r="S193" t="s">
        <v>58</v>
      </c>
      <c r="T193" t="s">
        <v>461</v>
      </c>
      <c r="U193" t="s">
        <v>171</v>
      </c>
      <c r="V193" t="s">
        <v>114</v>
      </c>
    </row>
    <row r="194" spans="1:22" x14ac:dyDescent="0.3">
      <c r="A194" t="s">
        <v>1541</v>
      </c>
      <c r="B194" t="s">
        <v>302</v>
      </c>
      <c r="C194" t="s">
        <v>303</v>
      </c>
      <c r="D194" t="s">
        <v>1542</v>
      </c>
      <c r="E194" t="s">
        <v>399</v>
      </c>
      <c r="F194" t="s">
        <v>188</v>
      </c>
      <c r="G194" t="s">
        <v>27</v>
      </c>
      <c r="H194" t="s">
        <v>268</v>
      </c>
      <c r="I194" t="s">
        <v>69</v>
      </c>
      <c r="J194" t="s">
        <v>30</v>
      </c>
      <c r="K194" t="s">
        <v>89</v>
      </c>
      <c r="L194" t="s">
        <v>90</v>
      </c>
      <c r="M194" t="s">
        <v>1543</v>
      </c>
      <c r="N194" t="s">
        <v>165</v>
      </c>
      <c r="O194" t="s">
        <v>562</v>
      </c>
      <c r="P194" t="s">
        <v>33</v>
      </c>
      <c r="Q194" t="s">
        <v>180</v>
      </c>
      <c r="R194" t="s">
        <v>1544</v>
      </c>
      <c r="S194" t="s">
        <v>58</v>
      </c>
      <c r="T194" t="s">
        <v>1303</v>
      </c>
      <c r="U194" t="s">
        <v>394</v>
      </c>
      <c r="V194" t="s">
        <v>114</v>
      </c>
    </row>
    <row r="195" spans="1:22" x14ac:dyDescent="0.3">
      <c r="A195" t="s">
        <v>1545</v>
      </c>
      <c r="B195" t="s">
        <v>1546</v>
      </c>
      <c r="C195" t="s">
        <v>1547</v>
      </c>
      <c r="D195" t="s">
        <v>1548</v>
      </c>
      <c r="E195" t="s">
        <v>1321</v>
      </c>
      <c r="F195" t="s">
        <v>228</v>
      </c>
      <c r="G195" t="s">
        <v>103</v>
      </c>
      <c r="H195" t="s">
        <v>68</v>
      </c>
      <c r="I195" t="s">
        <v>29</v>
      </c>
      <c r="J195" t="s">
        <v>162</v>
      </c>
      <c r="K195" t="s">
        <v>230</v>
      </c>
      <c r="L195" t="s">
        <v>428</v>
      </c>
      <c r="M195" t="s">
        <v>1549</v>
      </c>
      <c r="N195" t="s">
        <v>179</v>
      </c>
      <c r="O195" t="s">
        <v>1549</v>
      </c>
      <c r="P195" t="s">
        <v>1543</v>
      </c>
      <c r="Q195" t="s">
        <v>1030</v>
      </c>
      <c r="R195" t="s">
        <v>1550</v>
      </c>
      <c r="S195" t="s">
        <v>126</v>
      </c>
      <c r="T195" t="s">
        <v>724</v>
      </c>
      <c r="U195" t="s">
        <v>362</v>
      </c>
      <c r="V195" t="s">
        <v>58</v>
      </c>
    </row>
    <row r="196" spans="1:22" x14ac:dyDescent="0.3">
      <c r="A196" t="s">
        <v>1551</v>
      </c>
      <c r="B196" t="s">
        <v>312</v>
      </c>
      <c r="C196" t="s">
        <v>313</v>
      </c>
      <c r="D196" t="s">
        <v>1552</v>
      </c>
      <c r="E196" t="s">
        <v>399</v>
      </c>
      <c r="F196" t="s">
        <v>188</v>
      </c>
      <c r="G196" t="s">
        <v>580</v>
      </c>
      <c r="H196" t="s">
        <v>268</v>
      </c>
      <c r="I196" t="s">
        <v>29</v>
      </c>
      <c r="J196" t="s">
        <v>257</v>
      </c>
      <c r="K196" t="s">
        <v>245</v>
      </c>
      <c r="L196" t="s">
        <v>551</v>
      </c>
      <c r="M196" t="s">
        <v>1553</v>
      </c>
      <c r="N196" t="s">
        <v>677</v>
      </c>
      <c r="O196" t="s">
        <v>750</v>
      </c>
      <c r="P196" t="s">
        <v>1554</v>
      </c>
      <c r="Q196" t="s">
        <v>433</v>
      </c>
      <c r="R196" t="s">
        <v>1555</v>
      </c>
      <c r="S196" t="s">
        <v>58</v>
      </c>
      <c r="T196" t="s">
        <v>648</v>
      </c>
      <c r="U196" t="s">
        <v>288</v>
      </c>
      <c r="V196" t="s">
        <v>42</v>
      </c>
    </row>
    <row r="197" spans="1:22" x14ac:dyDescent="0.3">
      <c r="A197" t="s">
        <v>1556</v>
      </c>
      <c r="B197" t="s">
        <v>669</v>
      </c>
      <c r="C197" t="s">
        <v>670</v>
      </c>
      <c r="D197" t="s">
        <v>1557</v>
      </c>
      <c r="E197" t="s">
        <v>47</v>
      </c>
      <c r="F197" t="s">
        <v>26</v>
      </c>
      <c r="G197" t="s">
        <v>118</v>
      </c>
      <c r="H197" t="s">
        <v>88</v>
      </c>
      <c r="I197" t="s">
        <v>69</v>
      </c>
      <c r="J197" t="s">
        <v>257</v>
      </c>
      <c r="K197" t="s">
        <v>245</v>
      </c>
      <c r="L197" t="s">
        <v>333</v>
      </c>
      <c r="M197" t="s">
        <v>1558</v>
      </c>
      <c r="N197" t="s">
        <v>179</v>
      </c>
      <c r="O197" t="s">
        <v>1558</v>
      </c>
      <c r="P197" t="s">
        <v>1554</v>
      </c>
      <c r="Q197" t="s">
        <v>180</v>
      </c>
      <c r="R197" t="s">
        <v>1559</v>
      </c>
      <c r="S197" t="s">
        <v>39</v>
      </c>
      <c r="T197" t="s">
        <v>782</v>
      </c>
      <c r="U197" t="s">
        <v>537</v>
      </c>
      <c r="V197" t="s">
        <v>82</v>
      </c>
    </row>
    <row r="198" spans="1:22" x14ac:dyDescent="0.3">
      <c r="A198" t="s">
        <v>1560</v>
      </c>
      <c r="B198" t="s">
        <v>197</v>
      </c>
      <c r="C198" t="s">
        <v>198</v>
      </c>
      <c r="D198" t="s">
        <v>1561</v>
      </c>
      <c r="E198" t="s">
        <v>282</v>
      </c>
      <c r="F198" t="s">
        <v>282</v>
      </c>
      <c r="G198" t="s">
        <v>27</v>
      </c>
      <c r="H198" t="s">
        <v>28</v>
      </c>
      <c r="I198" t="s">
        <v>69</v>
      </c>
      <c r="J198" t="s">
        <v>30</v>
      </c>
      <c r="K198" t="s">
        <v>245</v>
      </c>
      <c r="L198" t="s">
        <v>1562</v>
      </c>
      <c r="M198" t="s">
        <v>674</v>
      </c>
      <c r="N198" t="s">
        <v>179</v>
      </c>
      <c r="O198" t="s">
        <v>674</v>
      </c>
      <c r="P198" t="s">
        <v>1563</v>
      </c>
      <c r="Q198" t="s">
        <v>931</v>
      </c>
      <c r="R198" t="s">
        <v>1564</v>
      </c>
      <c r="S198" t="s">
        <v>79</v>
      </c>
      <c r="T198" t="s">
        <v>286</v>
      </c>
      <c r="U198" t="s">
        <v>288</v>
      </c>
      <c r="V198" t="s">
        <v>82</v>
      </c>
    </row>
    <row r="199" spans="1:22" x14ac:dyDescent="0.3">
      <c r="A199" t="s">
        <v>1565</v>
      </c>
      <c r="B199" t="s">
        <v>1566</v>
      </c>
      <c r="C199" t="s">
        <v>1567</v>
      </c>
      <c r="D199" t="s">
        <v>325</v>
      </c>
      <c r="E199" t="s">
        <v>188</v>
      </c>
      <c r="F199" t="s">
        <v>188</v>
      </c>
      <c r="G199" t="s">
        <v>103</v>
      </c>
      <c r="H199" t="s">
        <v>229</v>
      </c>
      <c r="I199" t="s">
        <v>69</v>
      </c>
      <c r="J199" t="s">
        <v>30</v>
      </c>
      <c r="K199" t="s">
        <v>215</v>
      </c>
      <c r="L199" t="s">
        <v>32</v>
      </c>
      <c r="M199" t="s">
        <v>664</v>
      </c>
      <c r="N199" t="s">
        <v>482</v>
      </c>
      <c r="O199" t="s">
        <v>822</v>
      </c>
      <c r="P199" t="s">
        <v>1568</v>
      </c>
      <c r="Q199" t="s">
        <v>1569</v>
      </c>
      <c r="R199" t="s">
        <v>1570</v>
      </c>
      <c r="S199" t="s">
        <v>182</v>
      </c>
      <c r="T199" t="s">
        <v>621</v>
      </c>
      <c r="U199" t="s">
        <v>394</v>
      </c>
      <c r="V199" t="s">
        <v>82</v>
      </c>
    </row>
    <row r="200" spans="1:22" x14ac:dyDescent="0.3">
      <c r="A200" t="s">
        <v>1571</v>
      </c>
      <c r="B200" t="s">
        <v>1572</v>
      </c>
      <c r="C200" t="s">
        <v>1573</v>
      </c>
      <c r="D200" t="s">
        <v>1574</v>
      </c>
      <c r="E200" t="s">
        <v>87</v>
      </c>
      <c r="F200" t="s">
        <v>26</v>
      </c>
      <c r="G200" t="s">
        <v>27</v>
      </c>
      <c r="H200" t="s">
        <v>68</v>
      </c>
      <c r="I200" t="s">
        <v>69</v>
      </c>
      <c r="J200" t="s">
        <v>70</v>
      </c>
      <c r="K200" t="s">
        <v>245</v>
      </c>
      <c r="L200" t="s">
        <v>1575</v>
      </c>
      <c r="M200" t="s">
        <v>601</v>
      </c>
      <c r="N200" t="s">
        <v>179</v>
      </c>
      <c r="O200" t="s">
        <v>601</v>
      </c>
      <c r="P200" t="s">
        <v>692</v>
      </c>
      <c r="Q200" t="s">
        <v>344</v>
      </c>
      <c r="R200" t="s">
        <v>1576</v>
      </c>
      <c r="S200" t="s">
        <v>39</v>
      </c>
      <c r="T200" t="s">
        <v>203</v>
      </c>
      <c r="U200" t="s">
        <v>238</v>
      </c>
      <c r="V200" t="s">
        <v>79</v>
      </c>
    </row>
    <row r="201" spans="1:22" x14ac:dyDescent="0.3">
      <c r="A201" t="s">
        <v>1577</v>
      </c>
      <c r="B201" t="s">
        <v>1578</v>
      </c>
      <c r="C201" t="s">
        <v>1579</v>
      </c>
      <c r="D201" t="s">
        <v>1580</v>
      </c>
      <c r="E201" t="s">
        <v>893</v>
      </c>
      <c r="F201" t="s">
        <v>188</v>
      </c>
      <c r="G201" t="s">
        <v>103</v>
      </c>
      <c r="H201" t="s">
        <v>28</v>
      </c>
      <c r="I201" t="s">
        <v>69</v>
      </c>
      <c r="J201" t="s">
        <v>162</v>
      </c>
      <c r="K201" t="s">
        <v>50</v>
      </c>
      <c r="L201" t="s">
        <v>148</v>
      </c>
      <c r="M201" t="s">
        <v>545</v>
      </c>
      <c r="N201" t="s">
        <v>179</v>
      </c>
      <c r="O201" t="s">
        <v>545</v>
      </c>
      <c r="P201" t="s">
        <v>977</v>
      </c>
      <c r="Q201" t="s">
        <v>92</v>
      </c>
      <c r="R201" t="s">
        <v>1581</v>
      </c>
      <c r="S201" t="s">
        <v>182</v>
      </c>
      <c r="T201" t="s">
        <v>165</v>
      </c>
      <c r="U201" t="s">
        <v>128</v>
      </c>
      <c r="V201" t="s">
        <v>42</v>
      </c>
    </row>
    <row r="202" spans="1:22" x14ac:dyDescent="0.3">
      <c r="A202" t="s">
        <v>1582</v>
      </c>
      <c r="B202" t="s">
        <v>494</v>
      </c>
      <c r="C202" t="s">
        <v>495</v>
      </c>
      <c r="D202" t="s">
        <v>1583</v>
      </c>
      <c r="E202" t="s">
        <v>672</v>
      </c>
      <c r="F202" t="s">
        <v>244</v>
      </c>
      <c r="G202" t="s">
        <v>213</v>
      </c>
      <c r="H202" t="s">
        <v>68</v>
      </c>
      <c r="I202" t="s">
        <v>29</v>
      </c>
      <c r="J202" t="s">
        <v>70</v>
      </c>
      <c r="K202" t="s">
        <v>215</v>
      </c>
      <c r="M202" t="s">
        <v>1584</v>
      </c>
      <c r="N202" t="s">
        <v>179</v>
      </c>
      <c r="O202" t="s">
        <v>1584</v>
      </c>
      <c r="P202" t="s">
        <v>1485</v>
      </c>
      <c r="Q202" t="s">
        <v>109</v>
      </c>
      <c r="R202" t="s">
        <v>1585</v>
      </c>
      <c r="S202" t="s">
        <v>126</v>
      </c>
      <c r="T202" t="s">
        <v>452</v>
      </c>
      <c r="U202" t="s">
        <v>362</v>
      </c>
      <c r="V202" t="s">
        <v>58</v>
      </c>
    </row>
    <row r="203" spans="1:22" x14ac:dyDescent="0.3">
      <c r="A203" t="s">
        <v>1586</v>
      </c>
      <c r="B203" t="s">
        <v>1587</v>
      </c>
      <c r="C203" t="s">
        <v>1588</v>
      </c>
      <c r="D203" t="s">
        <v>1589</v>
      </c>
      <c r="E203" t="s">
        <v>399</v>
      </c>
      <c r="F203" t="s">
        <v>188</v>
      </c>
      <c r="G203" t="s">
        <v>67</v>
      </c>
      <c r="H203" t="s">
        <v>214</v>
      </c>
      <c r="I203" t="s">
        <v>29</v>
      </c>
      <c r="J203" t="s">
        <v>30</v>
      </c>
      <c r="K203" t="s">
        <v>230</v>
      </c>
      <c r="L203" t="s">
        <v>231</v>
      </c>
      <c r="M203" t="s">
        <v>359</v>
      </c>
      <c r="N203" t="s">
        <v>179</v>
      </c>
      <c r="O203" t="s">
        <v>359</v>
      </c>
      <c r="P203" t="s">
        <v>319</v>
      </c>
      <c r="Q203" t="s">
        <v>92</v>
      </c>
      <c r="R203" t="s">
        <v>1590</v>
      </c>
      <c r="S203" t="s">
        <v>39</v>
      </c>
      <c r="T203" t="s">
        <v>321</v>
      </c>
      <c r="U203" t="s">
        <v>423</v>
      </c>
      <c r="V203" t="s">
        <v>82</v>
      </c>
    </row>
    <row r="204" spans="1:22" x14ac:dyDescent="0.3">
      <c r="A204" t="s">
        <v>1591</v>
      </c>
      <c r="B204" t="s">
        <v>1592</v>
      </c>
      <c r="C204" t="s">
        <v>1593</v>
      </c>
      <c r="D204" t="s">
        <v>1594</v>
      </c>
      <c r="E204" t="s">
        <v>188</v>
      </c>
      <c r="F204" t="s">
        <v>188</v>
      </c>
      <c r="G204" t="s">
        <v>580</v>
      </c>
      <c r="H204" t="s">
        <v>268</v>
      </c>
      <c r="I204" t="s">
        <v>69</v>
      </c>
      <c r="J204" t="s">
        <v>30</v>
      </c>
      <c r="K204" t="s">
        <v>200</v>
      </c>
      <c r="L204" t="s">
        <v>1295</v>
      </c>
      <c r="M204" t="s">
        <v>929</v>
      </c>
      <c r="N204" t="s">
        <v>648</v>
      </c>
      <c r="O204" t="s">
        <v>1595</v>
      </c>
      <c r="P204" t="s">
        <v>1596</v>
      </c>
      <c r="Q204" t="s">
        <v>1158</v>
      </c>
      <c r="R204" t="s">
        <v>1597</v>
      </c>
      <c r="S204" t="s">
        <v>97</v>
      </c>
      <c r="T204" t="s">
        <v>206</v>
      </c>
      <c r="U204" t="s">
        <v>362</v>
      </c>
      <c r="V204" t="s">
        <v>58</v>
      </c>
    </row>
    <row r="205" spans="1:22" x14ac:dyDescent="0.3">
      <c r="A205" t="s">
        <v>1598</v>
      </c>
      <c r="B205" t="s">
        <v>1343</v>
      </c>
      <c r="C205" t="s">
        <v>1344</v>
      </c>
      <c r="D205" t="s">
        <v>912</v>
      </c>
      <c r="E205" t="s">
        <v>354</v>
      </c>
      <c r="F205" t="s">
        <v>134</v>
      </c>
      <c r="G205" t="s">
        <v>213</v>
      </c>
      <c r="H205" t="s">
        <v>49</v>
      </c>
      <c r="I205" t="s">
        <v>69</v>
      </c>
      <c r="J205" t="s">
        <v>30</v>
      </c>
      <c r="K205" t="s">
        <v>245</v>
      </c>
      <c r="L205" t="s">
        <v>487</v>
      </c>
      <c r="M205" t="s">
        <v>1599</v>
      </c>
      <c r="N205" t="s">
        <v>179</v>
      </c>
      <c r="O205" t="s">
        <v>1599</v>
      </c>
      <c r="P205" t="s">
        <v>343</v>
      </c>
      <c r="Q205" t="s">
        <v>1600</v>
      </c>
      <c r="R205" t="s">
        <v>1601</v>
      </c>
      <c r="S205" t="s">
        <v>39</v>
      </c>
      <c r="T205" t="s">
        <v>666</v>
      </c>
      <c r="U205" t="s">
        <v>407</v>
      </c>
      <c r="V205" t="s">
        <v>58</v>
      </c>
    </row>
    <row r="206" spans="1:22" x14ac:dyDescent="0.3">
      <c r="A206" t="s">
        <v>1602</v>
      </c>
      <c r="B206" t="s">
        <v>312</v>
      </c>
      <c r="C206" t="s">
        <v>313</v>
      </c>
      <c r="D206" t="s">
        <v>690</v>
      </c>
      <c r="E206" t="s">
        <v>47</v>
      </c>
      <c r="F206" t="s">
        <v>26</v>
      </c>
      <c r="G206" t="s">
        <v>48</v>
      </c>
      <c r="H206" t="s">
        <v>49</v>
      </c>
      <c r="I206" t="s">
        <v>29</v>
      </c>
      <c r="J206" t="s">
        <v>30</v>
      </c>
      <c r="K206" t="s">
        <v>245</v>
      </c>
      <c r="L206" t="s">
        <v>513</v>
      </c>
      <c r="M206" t="s">
        <v>1603</v>
      </c>
      <c r="N206" t="s">
        <v>179</v>
      </c>
      <c r="O206" t="s">
        <v>1603</v>
      </c>
      <c r="P206" t="s">
        <v>907</v>
      </c>
      <c r="Q206" t="s">
        <v>1604</v>
      </c>
      <c r="R206" t="s">
        <v>937</v>
      </c>
      <c r="S206" t="s">
        <v>58</v>
      </c>
      <c r="T206" t="s">
        <v>792</v>
      </c>
      <c r="U206" t="s">
        <v>128</v>
      </c>
      <c r="V206" t="s">
        <v>58</v>
      </c>
    </row>
    <row r="207" spans="1:22" x14ac:dyDescent="0.3">
      <c r="A207" t="s">
        <v>1605</v>
      </c>
      <c r="B207" t="s">
        <v>876</v>
      </c>
      <c r="C207" t="s">
        <v>877</v>
      </c>
      <c r="D207" t="s">
        <v>1606</v>
      </c>
      <c r="E207" t="s">
        <v>378</v>
      </c>
      <c r="F207" t="s">
        <v>282</v>
      </c>
      <c r="G207" t="s">
        <v>118</v>
      </c>
      <c r="H207" t="s">
        <v>214</v>
      </c>
      <c r="I207" t="s">
        <v>69</v>
      </c>
      <c r="J207" t="s">
        <v>30</v>
      </c>
      <c r="K207" t="s">
        <v>71</v>
      </c>
      <c r="L207" t="s">
        <v>105</v>
      </c>
      <c r="M207" t="s">
        <v>1607</v>
      </c>
      <c r="N207" t="s">
        <v>179</v>
      </c>
      <c r="O207" t="s">
        <v>1607</v>
      </c>
      <c r="P207" t="s">
        <v>91</v>
      </c>
      <c r="Q207" t="s">
        <v>505</v>
      </c>
      <c r="R207" t="s">
        <v>1608</v>
      </c>
      <c r="S207" t="s">
        <v>182</v>
      </c>
      <c r="T207" t="s">
        <v>369</v>
      </c>
      <c r="U207" t="s">
        <v>238</v>
      </c>
      <c r="V207" t="s">
        <v>79</v>
      </c>
    </row>
    <row r="208" spans="1:22" x14ac:dyDescent="0.3">
      <c r="A208" t="s">
        <v>1609</v>
      </c>
      <c r="B208" t="s">
        <v>1263</v>
      </c>
      <c r="C208" t="s">
        <v>1264</v>
      </c>
      <c r="D208" t="s">
        <v>1610</v>
      </c>
      <c r="E208" t="s">
        <v>438</v>
      </c>
      <c r="F208" t="s">
        <v>188</v>
      </c>
      <c r="G208" t="s">
        <v>67</v>
      </c>
      <c r="H208" t="s">
        <v>214</v>
      </c>
      <c r="I208" t="s">
        <v>29</v>
      </c>
      <c r="J208" t="s">
        <v>30</v>
      </c>
      <c r="K208" t="s">
        <v>50</v>
      </c>
      <c r="L208" t="s">
        <v>1611</v>
      </c>
      <c r="M208" t="s">
        <v>1612</v>
      </c>
      <c r="N208" t="s">
        <v>40</v>
      </c>
      <c r="O208" t="s">
        <v>1613</v>
      </c>
      <c r="P208" t="s">
        <v>1614</v>
      </c>
      <c r="Q208" t="s">
        <v>665</v>
      </c>
      <c r="R208" t="s">
        <v>1615</v>
      </c>
      <c r="S208" t="s">
        <v>79</v>
      </c>
      <c r="T208" t="s">
        <v>1569</v>
      </c>
      <c r="U208" t="s">
        <v>867</v>
      </c>
      <c r="V208" t="s">
        <v>114</v>
      </c>
    </row>
    <row r="209" spans="1:22" x14ac:dyDescent="0.3">
      <c r="A209" t="s">
        <v>1616</v>
      </c>
      <c r="B209" t="s">
        <v>1617</v>
      </c>
      <c r="C209" t="s">
        <v>1618</v>
      </c>
      <c r="D209" t="s">
        <v>1619</v>
      </c>
      <c r="E209" t="s">
        <v>65</v>
      </c>
      <c r="F209" t="s">
        <v>66</v>
      </c>
      <c r="G209" t="s">
        <v>67</v>
      </c>
      <c r="H209" t="s">
        <v>49</v>
      </c>
      <c r="I209" t="s">
        <v>69</v>
      </c>
      <c r="J209" t="s">
        <v>162</v>
      </c>
      <c r="K209" t="s">
        <v>31</v>
      </c>
      <c r="L209" t="s">
        <v>163</v>
      </c>
      <c r="M209" t="s">
        <v>458</v>
      </c>
      <c r="N209" t="s">
        <v>179</v>
      </c>
      <c r="O209" t="s">
        <v>458</v>
      </c>
      <c r="P209" t="s">
        <v>1273</v>
      </c>
      <c r="Q209" t="s">
        <v>1043</v>
      </c>
      <c r="R209" t="s">
        <v>1620</v>
      </c>
      <c r="S209" t="s">
        <v>97</v>
      </c>
      <c r="T209" t="s">
        <v>604</v>
      </c>
      <c r="U209" t="s">
        <v>508</v>
      </c>
      <c r="V209" t="s">
        <v>79</v>
      </c>
    </row>
    <row r="210" spans="1:22" x14ac:dyDescent="0.3">
      <c r="A210" t="s">
        <v>1621</v>
      </c>
      <c r="B210" t="s">
        <v>1622</v>
      </c>
      <c r="C210" t="s">
        <v>1623</v>
      </c>
      <c r="D210" t="s">
        <v>1259</v>
      </c>
      <c r="E210" t="s">
        <v>438</v>
      </c>
      <c r="F210" t="s">
        <v>188</v>
      </c>
      <c r="G210" t="s">
        <v>67</v>
      </c>
      <c r="I210" t="s">
        <v>69</v>
      </c>
      <c r="J210" t="s">
        <v>162</v>
      </c>
      <c r="K210" t="s">
        <v>50</v>
      </c>
      <c r="L210" t="s">
        <v>362</v>
      </c>
      <c r="M210" t="s">
        <v>880</v>
      </c>
      <c r="N210" t="s">
        <v>369</v>
      </c>
      <c r="O210" t="s">
        <v>694</v>
      </c>
      <c r="P210" t="s">
        <v>439</v>
      </c>
      <c r="Q210" t="s">
        <v>1043</v>
      </c>
      <c r="R210" t="s">
        <v>1624</v>
      </c>
      <c r="S210" t="s">
        <v>182</v>
      </c>
      <c r="T210" t="s">
        <v>369</v>
      </c>
      <c r="U210" t="s">
        <v>423</v>
      </c>
      <c r="V210" t="s">
        <v>58</v>
      </c>
    </row>
    <row r="211" spans="1:22" x14ac:dyDescent="0.3">
      <c r="A211" t="s">
        <v>1625</v>
      </c>
      <c r="B211" t="s">
        <v>1251</v>
      </c>
      <c r="C211" t="s">
        <v>1252</v>
      </c>
      <c r="D211" t="s">
        <v>1626</v>
      </c>
      <c r="E211" t="s">
        <v>161</v>
      </c>
      <c r="F211" t="s">
        <v>161</v>
      </c>
      <c r="G211" t="s">
        <v>27</v>
      </c>
      <c r="H211" t="s">
        <v>229</v>
      </c>
      <c r="I211" t="s">
        <v>69</v>
      </c>
      <c r="J211" t="s">
        <v>1514</v>
      </c>
      <c r="K211" t="s">
        <v>71</v>
      </c>
      <c r="L211" t="s">
        <v>1627</v>
      </c>
      <c r="M211" t="s">
        <v>968</v>
      </c>
      <c r="N211" t="s">
        <v>261</v>
      </c>
      <c r="O211" t="s">
        <v>643</v>
      </c>
      <c r="P211" t="s">
        <v>1063</v>
      </c>
      <c r="Q211" t="s">
        <v>1097</v>
      </c>
      <c r="R211" t="s">
        <v>1628</v>
      </c>
      <c r="S211" t="s">
        <v>58</v>
      </c>
      <c r="T211" t="s">
        <v>529</v>
      </c>
      <c r="U211" t="s">
        <v>373</v>
      </c>
      <c r="V211" t="s">
        <v>82</v>
      </c>
    </row>
    <row r="212" spans="1:22" x14ac:dyDescent="0.3">
      <c r="A212" t="s">
        <v>1629</v>
      </c>
      <c r="B212" t="s">
        <v>1630</v>
      </c>
      <c r="C212" t="s">
        <v>1631</v>
      </c>
      <c r="D212" t="s">
        <v>1632</v>
      </c>
      <c r="E212" t="s">
        <v>378</v>
      </c>
      <c r="F212" t="s">
        <v>282</v>
      </c>
      <c r="G212" t="s">
        <v>67</v>
      </c>
      <c r="H212" t="s">
        <v>68</v>
      </c>
      <c r="I212" t="s">
        <v>29</v>
      </c>
      <c r="J212" t="s">
        <v>30</v>
      </c>
      <c r="K212" t="s">
        <v>50</v>
      </c>
      <c r="L212" t="s">
        <v>598</v>
      </c>
      <c r="M212" t="s">
        <v>523</v>
      </c>
      <c r="N212" t="s">
        <v>567</v>
      </c>
      <c r="O212" t="s">
        <v>1633</v>
      </c>
      <c r="P212" t="s">
        <v>1634</v>
      </c>
      <c r="Q212" t="s">
        <v>1635</v>
      </c>
      <c r="R212" t="s">
        <v>1636</v>
      </c>
      <c r="S212" t="s">
        <v>39</v>
      </c>
      <c r="T212" t="s">
        <v>604</v>
      </c>
      <c r="U212" t="s">
        <v>537</v>
      </c>
      <c r="V212" t="s">
        <v>58</v>
      </c>
    </row>
    <row r="213" spans="1:22" x14ac:dyDescent="0.3">
      <c r="A213" t="s">
        <v>1637</v>
      </c>
      <c r="B213" t="s">
        <v>1638</v>
      </c>
      <c r="C213" t="s">
        <v>1639</v>
      </c>
      <c r="D213" t="s">
        <v>1548</v>
      </c>
      <c r="E213" t="s">
        <v>133</v>
      </c>
      <c r="F213" t="s">
        <v>134</v>
      </c>
      <c r="G213" t="s">
        <v>147</v>
      </c>
      <c r="H213" t="s">
        <v>104</v>
      </c>
      <c r="I213" t="s">
        <v>29</v>
      </c>
      <c r="J213" t="s">
        <v>30</v>
      </c>
      <c r="K213" t="s">
        <v>50</v>
      </c>
      <c r="L213" t="s">
        <v>216</v>
      </c>
      <c r="M213" t="s">
        <v>1640</v>
      </c>
      <c r="N213" t="s">
        <v>179</v>
      </c>
      <c r="O213" t="s">
        <v>1640</v>
      </c>
      <c r="P213" t="s">
        <v>656</v>
      </c>
      <c r="Q213" t="s">
        <v>1455</v>
      </c>
      <c r="R213" t="s">
        <v>1641</v>
      </c>
      <c r="S213" t="s">
        <v>58</v>
      </c>
      <c r="T213" t="s">
        <v>1642</v>
      </c>
      <c r="U213" t="s">
        <v>98</v>
      </c>
      <c r="V213" t="s">
        <v>82</v>
      </c>
    </row>
    <row r="214" spans="1:22" x14ac:dyDescent="0.3">
      <c r="A214" t="s">
        <v>1643</v>
      </c>
      <c r="B214" t="s">
        <v>1644</v>
      </c>
      <c r="C214" t="s">
        <v>1645</v>
      </c>
      <c r="D214" t="s">
        <v>1646</v>
      </c>
      <c r="E214" t="s">
        <v>378</v>
      </c>
      <c r="F214" t="s">
        <v>282</v>
      </c>
      <c r="G214" t="s">
        <v>213</v>
      </c>
      <c r="H214" t="s">
        <v>28</v>
      </c>
      <c r="I214" t="s">
        <v>29</v>
      </c>
      <c r="J214" t="s">
        <v>30</v>
      </c>
      <c r="K214" t="s">
        <v>71</v>
      </c>
      <c r="L214" t="s">
        <v>663</v>
      </c>
      <c r="M214" t="s">
        <v>1647</v>
      </c>
      <c r="N214" t="s">
        <v>721</v>
      </c>
      <c r="O214" t="s">
        <v>1635</v>
      </c>
      <c r="P214" t="s">
        <v>152</v>
      </c>
      <c r="Q214" t="s">
        <v>966</v>
      </c>
      <c r="R214" t="s">
        <v>1648</v>
      </c>
      <c r="S214" t="s">
        <v>97</v>
      </c>
      <c r="T214" t="s">
        <v>613</v>
      </c>
      <c r="U214" t="s">
        <v>362</v>
      </c>
      <c r="V214" t="s">
        <v>79</v>
      </c>
    </row>
    <row r="215" spans="1:22" x14ac:dyDescent="0.3">
      <c r="A215" t="s">
        <v>1649</v>
      </c>
      <c r="B215" t="s">
        <v>339</v>
      </c>
      <c r="C215" t="s">
        <v>340</v>
      </c>
      <c r="D215" t="s">
        <v>700</v>
      </c>
      <c r="E215" t="s">
        <v>378</v>
      </c>
      <c r="F215" t="s">
        <v>282</v>
      </c>
      <c r="G215" t="s">
        <v>147</v>
      </c>
      <c r="H215" t="s">
        <v>104</v>
      </c>
      <c r="I215" t="s">
        <v>69</v>
      </c>
      <c r="J215" t="s">
        <v>30</v>
      </c>
      <c r="K215" t="s">
        <v>230</v>
      </c>
      <c r="L215" t="s">
        <v>1211</v>
      </c>
      <c r="M215" t="s">
        <v>1650</v>
      </c>
      <c r="N215" t="s">
        <v>179</v>
      </c>
      <c r="O215" t="s">
        <v>1650</v>
      </c>
      <c r="P215" t="s">
        <v>1651</v>
      </c>
      <c r="Q215" t="s">
        <v>202</v>
      </c>
      <c r="R215" t="s">
        <v>1652</v>
      </c>
      <c r="S215" t="s">
        <v>97</v>
      </c>
      <c r="T215" t="s">
        <v>1097</v>
      </c>
      <c r="U215" t="s">
        <v>423</v>
      </c>
      <c r="V215" t="s">
        <v>58</v>
      </c>
    </row>
    <row r="216" spans="1:22" x14ac:dyDescent="0.3">
      <c r="A216" t="s">
        <v>1653</v>
      </c>
      <c r="B216" t="s">
        <v>1349</v>
      </c>
      <c r="C216" t="s">
        <v>1350</v>
      </c>
      <c r="D216" t="s">
        <v>1654</v>
      </c>
      <c r="E216" t="s">
        <v>133</v>
      </c>
      <c r="F216" t="s">
        <v>134</v>
      </c>
      <c r="G216" t="s">
        <v>147</v>
      </c>
      <c r="H216" t="s">
        <v>28</v>
      </c>
      <c r="I216" t="s">
        <v>69</v>
      </c>
      <c r="J216" t="s">
        <v>30</v>
      </c>
      <c r="K216" t="s">
        <v>71</v>
      </c>
      <c r="L216" t="s">
        <v>1611</v>
      </c>
      <c r="M216" t="s">
        <v>1655</v>
      </c>
      <c r="N216" t="s">
        <v>518</v>
      </c>
      <c r="O216" t="s">
        <v>1656</v>
      </c>
      <c r="P216" t="s">
        <v>1657</v>
      </c>
      <c r="Q216" t="s">
        <v>206</v>
      </c>
      <c r="R216" t="s">
        <v>1658</v>
      </c>
      <c r="S216" t="s">
        <v>58</v>
      </c>
      <c r="T216" t="s">
        <v>1183</v>
      </c>
      <c r="U216" t="s">
        <v>385</v>
      </c>
      <c r="V216" t="s">
        <v>114</v>
      </c>
    </row>
    <row r="217" spans="1:22" x14ac:dyDescent="0.3">
      <c r="A217" t="s">
        <v>1659</v>
      </c>
      <c r="B217" t="s">
        <v>494</v>
      </c>
      <c r="C217" t="s">
        <v>495</v>
      </c>
      <c r="D217" t="s">
        <v>456</v>
      </c>
      <c r="E217" t="s">
        <v>66</v>
      </c>
      <c r="F217" t="s">
        <v>66</v>
      </c>
      <c r="G217" t="s">
        <v>118</v>
      </c>
      <c r="H217" t="s">
        <v>268</v>
      </c>
      <c r="I217" t="s">
        <v>29</v>
      </c>
      <c r="J217" t="s">
        <v>30</v>
      </c>
      <c r="K217" t="s">
        <v>230</v>
      </c>
      <c r="L217" t="s">
        <v>428</v>
      </c>
      <c r="M217" t="s">
        <v>52</v>
      </c>
      <c r="N217" t="s">
        <v>179</v>
      </c>
      <c r="O217" t="s">
        <v>52</v>
      </c>
      <c r="P217" t="s">
        <v>593</v>
      </c>
      <c r="Q217" t="s">
        <v>751</v>
      </c>
      <c r="R217" t="s">
        <v>1660</v>
      </c>
      <c r="S217" t="s">
        <v>58</v>
      </c>
      <c r="T217" t="s">
        <v>621</v>
      </c>
      <c r="U217" t="s">
        <v>288</v>
      </c>
      <c r="V217" t="s">
        <v>58</v>
      </c>
    </row>
    <row r="218" spans="1:22" x14ac:dyDescent="0.3">
      <c r="A218" t="s">
        <v>1661</v>
      </c>
      <c r="B218" t="s">
        <v>1662</v>
      </c>
      <c r="C218" t="s">
        <v>1663</v>
      </c>
      <c r="D218" t="s">
        <v>1574</v>
      </c>
      <c r="E218" t="s">
        <v>282</v>
      </c>
      <c r="F218" t="s">
        <v>282</v>
      </c>
      <c r="G218" t="s">
        <v>118</v>
      </c>
      <c r="H218" t="s">
        <v>68</v>
      </c>
      <c r="I218" t="s">
        <v>29</v>
      </c>
      <c r="J218" t="s">
        <v>30</v>
      </c>
      <c r="K218" t="s">
        <v>245</v>
      </c>
      <c r="L218" t="s">
        <v>90</v>
      </c>
      <c r="M218" t="s">
        <v>1664</v>
      </c>
      <c r="N218" t="s">
        <v>637</v>
      </c>
      <c r="O218" t="s">
        <v>1647</v>
      </c>
      <c r="P218" t="s">
        <v>370</v>
      </c>
      <c r="Q218" t="s">
        <v>1665</v>
      </c>
      <c r="R218" t="s">
        <v>1666</v>
      </c>
      <c r="S218" t="s">
        <v>97</v>
      </c>
      <c r="T218" t="s">
        <v>321</v>
      </c>
      <c r="U218" t="s">
        <v>300</v>
      </c>
      <c r="V218" t="s">
        <v>79</v>
      </c>
    </row>
    <row r="219" spans="1:22" x14ac:dyDescent="0.3">
      <c r="A219" t="s">
        <v>1667</v>
      </c>
      <c r="B219" t="s">
        <v>586</v>
      </c>
      <c r="C219" t="s">
        <v>587</v>
      </c>
      <c r="D219" t="s">
        <v>1668</v>
      </c>
      <c r="E219" t="s">
        <v>65</v>
      </c>
      <c r="F219" t="s">
        <v>66</v>
      </c>
      <c r="G219" t="s">
        <v>103</v>
      </c>
      <c r="H219" t="s">
        <v>68</v>
      </c>
      <c r="I219" t="s">
        <v>69</v>
      </c>
      <c r="J219" t="s">
        <v>70</v>
      </c>
      <c r="K219" t="s">
        <v>293</v>
      </c>
      <c r="L219" t="s">
        <v>731</v>
      </c>
      <c r="M219" t="s">
        <v>1669</v>
      </c>
      <c r="N219" t="s">
        <v>1509</v>
      </c>
      <c r="O219" t="s">
        <v>601</v>
      </c>
      <c r="P219" t="s">
        <v>1449</v>
      </c>
      <c r="Q219" t="s">
        <v>310</v>
      </c>
      <c r="R219" t="s">
        <v>1670</v>
      </c>
      <c r="S219" t="s">
        <v>182</v>
      </c>
      <c r="T219" t="s">
        <v>1230</v>
      </c>
      <c r="U219" t="s">
        <v>394</v>
      </c>
      <c r="V219" t="s">
        <v>79</v>
      </c>
    </row>
    <row r="220" spans="1:22" x14ac:dyDescent="0.3">
      <c r="A220" t="s">
        <v>1671</v>
      </c>
      <c r="B220" t="s">
        <v>302</v>
      </c>
      <c r="C220" t="s">
        <v>303</v>
      </c>
      <c r="D220" t="s">
        <v>681</v>
      </c>
      <c r="E220" t="s">
        <v>176</v>
      </c>
      <c r="F220" t="s">
        <v>161</v>
      </c>
      <c r="G220" t="s">
        <v>213</v>
      </c>
      <c r="H220" t="s">
        <v>68</v>
      </c>
      <c r="I220" t="s">
        <v>69</v>
      </c>
      <c r="J220" t="s">
        <v>30</v>
      </c>
      <c r="K220" t="s">
        <v>89</v>
      </c>
      <c r="M220" t="s">
        <v>194</v>
      </c>
      <c r="N220" t="s">
        <v>361</v>
      </c>
      <c r="O220" t="s">
        <v>1672</v>
      </c>
      <c r="P220" t="s">
        <v>1568</v>
      </c>
      <c r="Q220" t="s">
        <v>356</v>
      </c>
      <c r="R220" t="s">
        <v>1673</v>
      </c>
      <c r="S220" t="s">
        <v>58</v>
      </c>
      <c r="T220" t="s">
        <v>896</v>
      </c>
      <c r="U220" t="s">
        <v>472</v>
      </c>
      <c r="V220" t="s">
        <v>82</v>
      </c>
    </row>
    <row r="221" spans="1:22" x14ac:dyDescent="0.3">
      <c r="A221" t="s">
        <v>1674</v>
      </c>
      <c r="B221" t="s">
        <v>1675</v>
      </c>
      <c r="C221" t="s">
        <v>1676</v>
      </c>
      <c r="D221" t="s">
        <v>1677</v>
      </c>
      <c r="E221" t="s">
        <v>417</v>
      </c>
      <c r="F221" t="s">
        <v>134</v>
      </c>
      <c r="G221" t="s">
        <v>118</v>
      </c>
      <c r="H221" t="s">
        <v>268</v>
      </c>
      <c r="I221" t="s">
        <v>29</v>
      </c>
      <c r="J221" t="s">
        <v>30</v>
      </c>
      <c r="K221" t="s">
        <v>200</v>
      </c>
      <c r="L221" t="s">
        <v>258</v>
      </c>
      <c r="M221" t="s">
        <v>1201</v>
      </c>
      <c r="N221" t="s">
        <v>179</v>
      </c>
      <c r="O221" t="s">
        <v>1201</v>
      </c>
      <c r="P221" t="s">
        <v>1260</v>
      </c>
      <c r="Q221" t="s">
        <v>693</v>
      </c>
      <c r="R221" t="s">
        <v>1678</v>
      </c>
      <c r="S221" t="s">
        <v>182</v>
      </c>
      <c r="T221" t="s">
        <v>782</v>
      </c>
      <c r="U221" t="s">
        <v>113</v>
      </c>
      <c r="V221" t="s">
        <v>58</v>
      </c>
    </row>
    <row r="222" spans="1:22" x14ac:dyDescent="0.3">
      <c r="A222" t="s">
        <v>1679</v>
      </c>
      <c r="B222" t="s">
        <v>396</v>
      </c>
      <c r="C222" t="s">
        <v>397</v>
      </c>
      <c r="D222" t="s">
        <v>1561</v>
      </c>
      <c r="E222" t="s">
        <v>244</v>
      </c>
      <c r="F222" t="s">
        <v>244</v>
      </c>
      <c r="G222" t="s">
        <v>27</v>
      </c>
      <c r="H222" t="s">
        <v>214</v>
      </c>
      <c r="I222" t="s">
        <v>29</v>
      </c>
      <c r="J222" t="s">
        <v>70</v>
      </c>
      <c r="K222" t="s">
        <v>215</v>
      </c>
      <c r="L222" t="s">
        <v>1010</v>
      </c>
      <c r="M222" t="s">
        <v>1680</v>
      </c>
      <c r="N222" t="s">
        <v>179</v>
      </c>
      <c r="O222" t="s">
        <v>1680</v>
      </c>
      <c r="P222" t="s">
        <v>977</v>
      </c>
      <c r="Q222" t="s">
        <v>1681</v>
      </c>
      <c r="R222" t="s">
        <v>1682</v>
      </c>
      <c r="S222" t="s">
        <v>126</v>
      </c>
      <c r="T222" t="s">
        <v>610</v>
      </c>
      <c r="U222" t="s">
        <v>98</v>
      </c>
      <c r="V222" t="s">
        <v>114</v>
      </c>
    </row>
    <row r="223" spans="1:22" x14ac:dyDescent="0.3">
      <c r="A223" t="s">
        <v>1683</v>
      </c>
      <c r="B223" t="s">
        <v>853</v>
      </c>
      <c r="C223" t="s">
        <v>854</v>
      </c>
      <c r="D223" t="s">
        <v>1684</v>
      </c>
      <c r="E223" t="s">
        <v>160</v>
      </c>
      <c r="F223" t="s">
        <v>161</v>
      </c>
      <c r="G223" t="s">
        <v>67</v>
      </c>
      <c r="H223" t="s">
        <v>229</v>
      </c>
      <c r="I223" t="s">
        <v>69</v>
      </c>
      <c r="J223" t="s">
        <v>70</v>
      </c>
      <c r="K223" t="s">
        <v>230</v>
      </c>
      <c r="M223" t="s">
        <v>52</v>
      </c>
      <c r="N223" t="s">
        <v>621</v>
      </c>
      <c r="O223" t="s">
        <v>77</v>
      </c>
      <c r="P223" t="s">
        <v>468</v>
      </c>
      <c r="Q223" t="s">
        <v>308</v>
      </c>
      <c r="R223" t="s">
        <v>1685</v>
      </c>
      <c r="S223" t="s">
        <v>182</v>
      </c>
      <c r="T223" t="s">
        <v>59</v>
      </c>
      <c r="U223" t="s">
        <v>362</v>
      </c>
      <c r="V223" t="s">
        <v>114</v>
      </c>
    </row>
    <row r="224" spans="1:22" x14ac:dyDescent="0.3">
      <c r="A224" t="s">
        <v>1686</v>
      </c>
      <c r="B224" t="s">
        <v>1662</v>
      </c>
      <c r="C224" t="s">
        <v>1663</v>
      </c>
      <c r="D224" t="s">
        <v>1687</v>
      </c>
      <c r="E224" t="s">
        <v>417</v>
      </c>
      <c r="F224" t="s">
        <v>134</v>
      </c>
      <c r="G224" t="s">
        <v>48</v>
      </c>
      <c r="H224" t="s">
        <v>214</v>
      </c>
      <c r="I224" t="s">
        <v>29</v>
      </c>
      <c r="J224" t="s">
        <v>30</v>
      </c>
      <c r="K224" t="s">
        <v>71</v>
      </c>
      <c r="L224" t="s">
        <v>148</v>
      </c>
      <c r="M224" t="s">
        <v>1688</v>
      </c>
      <c r="N224" t="s">
        <v>107</v>
      </c>
      <c r="O224" t="s">
        <v>149</v>
      </c>
      <c r="P224" t="s">
        <v>1689</v>
      </c>
      <c r="Q224" t="s">
        <v>1266</v>
      </c>
      <c r="R224" t="s">
        <v>1690</v>
      </c>
      <c r="S224" t="s">
        <v>182</v>
      </c>
      <c r="T224" t="s">
        <v>384</v>
      </c>
      <c r="U224" t="s">
        <v>407</v>
      </c>
      <c r="V224" t="s">
        <v>114</v>
      </c>
    </row>
    <row r="225" spans="1:22" x14ac:dyDescent="0.3">
      <c r="A225" t="s">
        <v>1691</v>
      </c>
      <c r="B225" t="s">
        <v>1269</v>
      </c>
      <c r="C225" t="s">
        <v>1270</v>
      </c>
      <c r="D225" t="s">
        <v>522</v>
      </c>
      <c r="E225" t="s">
        <v>417</v>
      </c>
      <c r="F225" t="s">
        <v>134</v>
      </c>
      <c r="G225" t="s">
        <v>27</v>
      </c>
      <c r="H225" t="s">
        <v>1692</v>
      </c>
      <c r="I225" t="s">
        <v>69</v>
      </c>
      <c r="J225" t="s">
        <v>30</v>
      </c>
      <c r="K225" t="s">
        <v>89</v>
      </c>
      <c r="L225" t="s">
        <v>1693</v>
      </c>
      <c r="M225" t="s">
        <v>516</v>
      </c>
      <c r="N225" t="s">
        <v>179</v>
      </c>
      <c r="O225" t="s">
        <v>516</v>
      </c>
      <c r="P225" t="s">
        <v>798</v>
      </c>
      <c r="Q225" t="s">
        <v>1694</v>
      </c>
      <c r="R225" t="s">
        <v>1695</v>
      </c>
      <c r="S225" t="s">
        <v>39</v>
      </c>
      <c r="T225" t="s">
        <v>751</v>
      </c>
      <c r="U225" t="s">
        <v>171</v>
      </c>
      <c r="V225" t="s">
        <v>58</v>
      </c>
    </row>
    <row r="226" spans="1:22" x14ac:dyDescent="0.3">
      <c r="A226" t="s">
        <v>1696</v>
      </c>
      <c r="B226" t="s">
        <v>1697</v>
      </c>
      <c r="C226" t="s">
        <v>1698</v>
      </c>
      <c r="D226" t="s">
        <v>512</v>
      </c>
      <c r="E226" t="s">
        <v>354</v>
      </c>
      <c r="F226" t="s">
        <v>134</v>
      </c>
      <c r="G226" t="s">
        <v>27</v>
      </c>
      <c r="H226" t="s">
        <v>49</v>
      </c>
      <c r="I226" t="s">
        <v>69</v>
      </c>
      <c r="J226" t="s">
        <v>30</v>
      </c>
      <c r="K226" t="s">
        <v>71</v>
      </c>
      <c r="L226" t="s">
        <v>487</v>
      </c>
      <c r="M226" t="s">
        <v>1699</v>
      </c>
      <c r="N226" t="s">
        <v>321</v>
      </c>
      <c r="O226" t="s">
        <v>1039</v>
      </c>
      <c r="P226" t="s">
        <v>968</v>
      </c>
      <c r="Q226" t="s">
        <v>127</v>
      </c>
      <c r="R226" t="s">
        <v>1620</v>
      </c>
      <c r="S226" t="s">
        <v>97</v>
      </c>
      <c r="T226" t="s">
        <v>406</v>
      </c>
      <c r="U226" t="s">
        <v>238</v>
      </c>
      <c r="V226" t="s">
        <v>58</v>
      </c>
    </row>
    <row r="227" spans="1:22" x14ac:dyDescent="0.3">
      <c r="A227" t="s">
        <v>1700</v>
      </c>
      <c r="B227" t="s">
        <v>1701</v>
      </c>
      <c r="C227" t="s">
        <v>1702</v>
      </c>
      <c r="D227" t="s">
        <v>1703</v>
      </c>
      <c r="E227" t="s">
        <v>780</v>
      </c>
      <c r="F227" t="s">
        <v>282</v>
      </c>
      <c r="G227" t="s">
        <v>213</v>
      </c>
      <c r="H227" t="s">
        <v>28</v>
      </c>
      <c r="I227" t="s">
        <v>29</v>
      </c>
      <c r="J227" t="s">
        <v>70</v>
      </c>
      <c r="K227" t="s">
        <v>245</v>
      </c>
      <c r="L227" t="s">
        <v>400</v>
      </c>
      <c r="M227" t="s">
        <v>947</v>
      </c>
      <c r="N227" t="s">
        <v>208</v>
      </c>
      <c r="O227" t="s">
        <v>1704</v>
      </c>
      <c r="P227" t="s">
        <v>1705</v>
      </c>
      <c r="Q227" t="s">
        <v>391</v>
      </c>
      <c r="R227" t="s">
        <v>1706</v>
      </c>
      <c r="S227" t="s">
        <v>58</v>
      </c>
      <c r="T227" t="s">
        <v>203</v>
      </c>
      <c r="U227" t="s">
        <v>128</v>
      </c>
      <c r="V227" t="s">
        <v>58</v>
      </c>
    </row>
    <row r="228" spans="1:22" x14ac:dyDescent="0.3">
      <c r="A228" t="s">
        <v>1707</v>
      </c>
      <c r="B228" t="s">
        <v>1708</v>
      </c>
      <c r="C228" t="s">
        <v>1709</v>
      </c>
      <c r="D228" t="s">
        <v>1710</v>
      </c>
      <c r="E228" t="s">
        <v>672</v>
      </c>
      <c r="F228" t="s">
        <v>244</v>
      </c>
      <c r="G228" t="s">
        <v>67</v>
      </c>
      <c r="H228" t="s">
        <v>88</v>
      </c>
      <c r="I228" t="s">
        <v>69</v>
      </c>
      <c r="J228" t="s">
        <v>70</v>
      </c>
      <c r="K228" t="s">
        <v>230</v>
      </c>
      <c r="L228" t="s">
        <v>812</v>
      </c>
      <c r="M228" t="s">
        <v>873</v>
      </c>
      <c r="N228" t="s">
        <v>179</v>
      </c>
      <c r="O228" t="s">
        <v>873</v>
      </c>
      <c r="P228" t="s">
        <v>1689</v>
      </c>
      <c r="Q228" t="s">
        <v>1000</v>
      </c>
      <c r="R228" t="s">
        <v>612</v>
      </c>
      <c r="S228" t="s">
        <v>97</v>
      </c>
      <c r="T228" t="s">
        <v>37</v>
      </c>
      <c r="U228" t="s">
        <v>300</v>
      </c>
      <c r="V228" t="s">
        <v>114</v>
      </c>
    </row>
    <row r="229" spans="1:22" x14ac:dyDescent="0.3">
      <c r="A229" t="s">
        <v>1711</v>
      </c>
      <c r="B229" t="s">
        <v>1712</v>
      </c>
      <c r="C229" t="s">
        <v>1713</v>
      </c>
      <c r="D229" t="s">
        <v>1714</v>
      </c>
      <c r="E229" t="s">
        <v>26</v>
      </c>
      <c r="F229" t="s">
        <v>26</v>
      </c>
      <c r="G229" t="s">
        <v>27</v>
      </c>
      <c r="H229" t="s">
        <v>214</v>
      </c>
      <c r="I229" t="s">
        <v>29</v>
      </c>
      <c r="J229" t="s">
        <v>70</v>
      </c>
      <c r="K229" t="s">
        <v>215</v>
      </c>
      <c r="L229" t="s">
        <v>105</v>
      </c>
      <c r="M229" t="s">
        <v>1715</v>
      </c>
      <c r="N229" t="s">
        <v>529</v>
      </c>
      <c r="O229" t="s">
        <v>1716</v>
      </c>
      <c r="P229" t="s">
        <v>618</v>
      </c>
      <c r="Q229" t="s">
        <v>441</v>
      </c>
      <c r="R229" t="s">
        <v>1717</v>
      </c>
      <c r="S229" t="s">
        <v>39</v>
      </c>
      <c r="T229" t="s">
        <v>482</v>
      </c>
      <c r="U229" t="s">
        <v>277</v>
      </c>
      <c r="V229" t="s">
        <v>82</v>
      </c>
    </row>
    <row r="230" spans="1:22" x14ac:dyDescent="0.3">
      <c r="A230" t="s">
        <v>1718</v>
      </c>
      <c r="B230" t="s">
        <v>1195</v>
      </c>
      <c r="C230" t="s">
        <v>1196</v>
      </c>
      <c r="D230" t="s">
        <v>1084</v>
      </c>
      <c r="E230" t="s">
        <v>161</v>
      </c>
      <c r="F230" t="s">
        <v>161</v>
      </c>
      <c r="G230" t="s">
        <v>580</v>
      </c>
      <c r="H230" t="s">
        <v>28</v>
      </c>
      <c r="I230" t="s">
        <v>29</v>
      </c>
      <c r="J230" t="s">
        <v>30</v>
      </c>
      <c r="K230" t="s">
        <v>200</v>
      </c>
      <c r="L230" t="s">
        <v>90</v>
      </c>
      <c r="M230" t="s">
        <v>1719</v>
      </c>
      <c r="N230" t="s">
        <v>74</v>
      </c>
      <c r="O230" t="s">
        <v>488</v>
      </c>
      <c r="P230" t="s">
        <v>1465</v>
      </c>
      <c r="Q230" t="s">
        <v>645</v>
      </c>
      <c r="R230" t="s">
        <v>1720</v>
      </c>
      <c r="S230" t="s">
        <v>58</v>
      </c>
      <c r="T230" t="s">
        <v>1491</v>
      </c>
      <c r="U230" t="s">
        <v>385</v>
      </c>
      <c r="V230" t="s">
        <v>42</v>
      </c>
    </row>
    <row r="231" spans="1:22" x14ac:dyDescent="0.3">
      <c r="A231" t="s">
        <v>1721</v>
      </c>
      <c r="B231" t="s">
        <v>1722</v>
      </c>
      <c r="C231" t="s">
        <v>1723</v>
      </c>
      <c r="D231" t="s">
        <v>1724</v>
      </c>
      <c r="E231" t="s">
        <v>1321</v>
      </c>
      <c r="F231" t="s">
        <v>228</v>
      </c>
      <c r="G231" t="s">
        <v>213</v>
      </c>
      <c r="H231" t="s">
        <v>49</v>
      </c>
      <c r="I231" t="s">
        <v>69</v>
      </c>
      <c r="J231" t="s">
        <v>30</v>
      </c>
      <c r="K231" t="s">
        <v>89</v>
      </c>
      <c r="L231" t="s">
        <v>246</v>
      </c>
      <c r="M231" t="s">
        <v>1725</v>
      </c>
      <c r="N231" t="s">
        <v>179</v>
      </c>
      <c r="O231" t="s">
        <v>1725</v>
      </c>
      <c r="P231" t="s">
        <v>54</v>
      </c>
      <c r="Q231" t="s">
        <v>56</v>
      </c>
      <c r="R231" t="s">
        <v>1726</v>
      </c>
      <c r="S231" t="s">
        <v>39</v>
      </c>
      <c r="T231" t="s">
        <v>543</v>
      </c>
      <c r="U231" t="s">
        <v>155</v>
      </c>
      <c r="V231" t="s">
        <v>42</v>
      </c>
    </row>
    <row r="232" spans="1:22" x14ac:dyDescent="0.3">
      <c r="A232" t="s">
        <v>1727</v>
      </c>
      <c r="B232" t="s">
        <v>1535</v>
      </c>
      <c r="C232" t="s">
        <v>1536</v>
      </c>
      <c r="D232" t="s">
        <v>1728</v>
      </c>
      <c r="E232" t="s">
        <v>65</v>
      </c>
      <c r="F232" t="s">
        <v>66</v>
      </c>
      <c r="G232" t="s">
        <v>103</v>
      </c>
      <c r="H232" t="s">
        <v>49</v>
      </c>
      <c r="I232" t="s">
        <v>69</v>
      </c>
      <c r="J232" t="s">
        <v>30</v>
      </c>
      <c r="K232" t="s">
        <v>50</v>
      </c>
      <c r="L232" t="s">
        <v>111</v>
      </c>
      <c r="M232" t="s">
        <v>1729</v>
      </c>
      <c r="N232" t="s">
        <v>179</v>
      </c>
      <c r="O232" t="s">
        <v>1729</v>
      </c>
      <c r="P232" t="s">
        <v>1730</v>
      </c>
      <c r="Q232" t="s">
        <v>504</v>
      </c>
      <c r="R232" t="s">
        <v>1731</v>
      </c>
      <c r="S232" t="s">
        <v>58</v>
      </c>
      <c r="T232" t="s">
        <v>1694</v>
      </c>
      <c r="U232" t="s">
        <v>300</v>
      </c>
      <c r="V232" t="s">
        <v>82</v>
      </c>
    </row>
    <row r="233" spans="1:22" x14ac:dyDescent="0.3">
      <c r="A233" t="s">
        <v>1732</v>
      </c>
      <c r="B233" t="s">
        <v>1733</v>
      </c>
      <c r="C233" t="s">
        <v>1734</v>
      </c>
      <c r="D233" t="s">
        <v>1735</v>
      </c>
      <c r="E233" t="s">
        <v>1321</v>
      </c>
      <c r="F233" t="s">
        <v>228</v>
      </c>
      <c r="G233" t="s">
        <v>147</v>
      </c>
      <c r="H233" t="s">
        <v>49</v>
      </c>
      <c r="I233" t="s">
        <v>29</v>
      </c>
      <c r="J233" t="s">
        <v>30</v>
      </c>
      <c r="K233" t="s">
        <v>89</v>
      </c>
      <c r="L233" t="s">
        <v>333</v>
      </c>
      <c r="M233" t="s">
        <v>1492</v>
      </c>
      <c r="N233" t="s">
        <v>179</v>
      </c>
      <c r="O233" t="s">
        <v>1492</v>
      </c>
      <c r="P233" t="s">
        <v>985</v>
      </c>
      <c r="Q233" t="s">
        <v>392</v>
      </c>
      <c r="R233" t="s">
        <v>1736</v>
      </c>
      <c r="S233" t="s">
        <v>79</v>
      </c>
      <c r="T233" t="s">
        <v>321</v>
      </c>
      <c r="U233" t="s">
        <v>288</v>
      </c>
      <c r="V233" t="s">
        <v>42</v>
      </c>
    </row>
    <row r="234" spans="1:22" x14ac:dyDescent="0.3">
      <c r="A234" t="s">
        <v>1737</v>
      </c>
      <c r="B234" t="s">
        <v>1318</v>
      </c>
      <c r="C234" t="s">
        <v>1319</v>
      </c>
      <c r="D234" t="s">
        <v>1738</v>
      </c>
      <c r="E234" t="s">
        <v>26</v>
      </c>
      <c r="F234" t="s">
        <v>26</v>
      </c>
      <c r="G234" t="s">
        <v>103</v>
      </c>
      <c r="H234" t="s">
        <v>88</v>
      </c>
      <c r="I234" t="s">
        <v>69</v>
      </c>
      <c r="J234" t="s">
        <v>30</v>
      </c>
      <c r="K234" t="s">
        <v>245</v>
      </c>
      <c r="L234" t="s">
        <v>983</v>
      </c>
      <c r="M234" t="s">
        <v>712</v>
      </c>
      <c r="N234" t="s">
        <v>724</v>
      </c>
      <c r="O234" t="s">
        <v>564</v>
      </c>
      <c r="P234" t="s">
        <v>152</v>
      </c>
      <c r="Q234" t="s">
        <v>710</v>
      </c>
      <c r="R234" t="s">
        <v>1739</v>
      </c>
      <c r="S234" t="s">
        <v>58</v>
      </c>
      <c r="T234" t="s">
        <v>655</v>
      </c>
      <c r="U234" t="s">
        <v>171</v>
      </c>
      <c r="V234" t="s">
        <v>79</v>
      </c>
    </row>
    <row r="235" spans="1:22" x14ac:dyDescent="0.3">
      <c r="A235" t="s">
        <v>1740</v>
      </c>
      <c r="B235" t="s">
        <v>1741</v>
      </c>
      <c r="C235" t="s">
        <v>1742</v>
      </c>
      <c r="D235" t="s">
        <v>1743</v>
      </c>
      <c r="E235" t="s">
        <v>417</v>
      </c>
      <c r="F235" t="s">
        <v>134</v>
      </c>
      <c r="G235" t="s">
        <v>103</v>
      </c>
      <c r="H235" t="s">
        <v>229</v>
      </c>
      <c r="I235" t="s">
        <v>69</v>
      </c>
      <c r="J235" t="s">
        <v>30</v>
      </c>
      <c r="K235" t="s">
        <v>293</v>
      </c>
      <c r="L235" t="s">
        <v>691</v>
      </c>
      <c r="M235" t="s">
        <v>1744</v>
      </c>
      <c r="N235" t="s">
        <v>1303</v>
      </c>
      <c r="O235" t="s">
        <v>1745</v>
      </c>
      <c r="P235" t="s">
        <v>774</v>
      </c>
      <c r="Q235" t="s">
        <v>1043</v>
      </c>
      <c r="R235" t="s">
        <v>1746</v>
      </c>
      <c r="S235" t="s">
        <v>182</v>
      </c>
      <c r="T235" t="s">
        <v>183</v>
      </c>
      <c r="U235" t="s">
        <v>508</v>
      </c>
      <c r="V235" t="s">
        <v>58</v>
      </c>
    </row>
    <row r="236" spans="1:22" x14ac:dyDescent="0.3">
      <c r="A236" t="s">
        <v>1747</v>
      </c>
      <c r="B236" t="s">
        <v>1025</v>
      </c>
      <c r="C236" t="s">
        <v>1026</v>
      </c>
      <c r="D236" t="s">
        <v>1748</v>
      </c>
      <c r="E236" t="s">
        <v>893</v>
      </c>
      <c r="F236" t="s">
        <v>188</v>
      </c>
      <c r="G236" t="s">
        <v>48</v>
      </c>
      <c r="H236" t="s">
        <v>268</v>
      </c>
      <c r="I236" t="s">
        <v>29</v>
      </c>
      <c r="J236" t="s">
        <v>257</v>
      </c>
      <c r="K236" t="s">
        <v>71</v>
      </c>
      <c r="L236" t="s">
        <v>487</v>
      </c>
      <c r="M236" t="s">
        <v>1749</v>
      </c>
      <c r="N236" t="s">
        <v>168</v>
      </c>
      <c r="O236" t="s">
        <v>1750</v>
      </c>
      <c r="P236" t="s">
        <v>1751</v>
      </c>
      <c r="Q236" t="s">
        <v>694</v>
      </c>
      <c r="R236" t="s">
        <v>1752</v>
      </c>
      <c r="S236" t="s">
        <v>126</v>
      </c>
      <c r="T236" t="s">
        <v>183</v>
      </c>
      <c r="U236" t="s">
        <v>472</v>
      </c>
      <c r="V236" t="s">
        <v>42</v>
      </c>
    </row>
    <row r="237" spans="1:22" x14ac:dyDescent="0.3">
      <c r="A237" t="s">
        <v>1753</v>
      </c>
      <c r="B237" t="s">
        <v>1754</v>
      </c>
      <c r="C237" t="s">
        <v>1755</v>
      </c>
      <c r="D237" t="s">
        <v>1756</v>
      </c>
      <c r="E237" t="s">
        <v>228</v>
      </c>
      <c r="F237" t="s">
        <v>228</v>
      </c>
      <c r="G237" t="s">
        <v>118</v>
      </c>
      <c r="H237" t="s">
        <v>28</v>
      </c>
      <c r="I237" t="s">
        <v>69</v>
      </c>
      <c r="J237" t="s">
        <v>30</v>
      </c>
      <c r="K237" t="s">
        <v>200</v>
      </c>
      <c r="L237" t="s">
        <v>663</v>
      </c>
      <c r="M237" t="s">
        <v>1563</v>
      </c>
      <c r="N237" t="s">
        <v>56</v>
      </c>
      <c r="O237" t="s">
        <v>108</v>
      </c>
      <c r="P237" t="s">
        <v>784</v>
      </c>
      <c r="Q237" t="s">
        <v>359</v>
      </c>
      <c r="R237" t="s">
        <v>1757</v>
      </c>
      <c r="S237" t="s">
        <v>182</v>
      </c>
      <c r="T237" t="s">
        <v>40</v>
      </c>
      <c r="U237" t="s">
        <v>373</v>
      </c>
      <c r="V237" t="s">
        <v>82</v>
      </c>
    </row>
    <row r="238" spans="1:22" x14ac:dyDescent="0.3">
      <c r="A238" t="s">
        <v>1758</v>
      </c>
      <c r="B238" t="s">
        <v>890</v>
      </c>
      <c r="C238" t="s">
        <v>891</v>
      </c>
      <c r="D238" t="s">
        <v>1759</v>
      </c>
      <c r="E238" t="s">
        <v>160</v>
      </c>
      <c r="F238" t="s">
        <v>161</v>
      </c>
      <c r="G238" t="s">
        <v>580</v>
      </c>
      <c r="H238" t="s">
        <v>49</v>
      </c>
      <c r="I238" t="s">
        <v>69</v>
      </c>
      <c r="J238" t="s">
        <v>30</v>
      </c>
      <c r="K238" t="s">
        <v>230</v>
      </c>
      <c r="L238" t="s">
        <v>1139</v>
      </c>
      <c r="M238" t="s">
        <v>760</v>
      </c>
      <c r="N238" t="s">
        <v>735</v>
      </c>
      <c r="O238" t="s">
        <v>1760</v>
      </c>
      <c r="P238" t="s">
        <v>271</v>
      </c>
      <c r="Q238" t="s">
        <v>710</v>
      </c>
      <c r="R238" t="s">
        <v>1761</v>
      </c>
      <c r="S238" t="s">
        <v>79</v>
      </c>
      <c r="T238" t="s">
        <v>321</v>
      </c>
      <c r="U238" t="s">
        <v>423</v>
      </c>
      <c r="V238" t="s">
        <v>82</v>
      </c>
    </row>
    <row r="239" spans="1:22" x14ac:dyDescent="0.3">
      <c r="A239" t="s">
        <v>1762</v>
      </c>
      <c r="B239" t="s">
        <v>577</v>
      </c>
      <c r="C239" t="s">
        <v>578</v>
      </c>
      <c r="D239" t="s">
        <v>1763</v>
      </c>
      <c r="E239" t="s">
        <v>1321</v>
      </c>
      <c r="F239" t="s">
        <v>228</v>
      </c>
      <c r="G239" t="s">
        <v>213</v>
      </c>
      <c r="H239" t="s">
        <v>28</v>
      </c>
      <c r="I239" t="s">
        <v>69</v>
      </c>
      <c r="J239" t="s">
        <v>30</v>
      </c>
      <c r="K239" t="s">
        <v>293</v>
      </c>
      <c r="L239" t="s">
        <v>1022</v>
      </c>
      <c r="M239" t="s">
        <v>582</v>
      </c>
      <c r="N239" t="s">
        <v>179</v>
      </c>
      <c r="O239" t="s">
        <v>582</v>
      </c>
      <c r="P239" t="s">
        <v>468</v>
      </c>
      <c r="Q239" t="s">
        <v>529</v>
      </c>
      <c r="R239" t="s">
        <v>1764</v>
      </c>
      <c r="S239" t="s">
        <v>79</v>
      </c>
      <c r="T239" t="s">
        <v>621</v>
      </c>
      <c r="U239" t="s">
        <v>394</v>
      </c>
      <c r="V239" t="s">
        <v>82</v>
      </c>
    </row>
    <row r="240" spans="1:22" x14ac:dyDescent="0.3">
      <c r="A240" t="s">
        <v>1765</v>
      </c>
      <c r="B240" t="s">
        <v>1766</v>
      </c>
      <c r="C240" t="s">
        <v>1767</v>
      </c>
      <c r="D240" t="s">
        <v>1768</v>
      </c>
      <c r="E240" t="s">
        <v>417</v>
      </c>
      <c r="F240" t="s">
        <v>134</v>
      </c>
      <c r="G240" t="s">
        <v>27</v>
      </c>
      <c r="H240" t="s">
        <v>49</v>
      </c>
      <c r="I240" t="s">
        <v>69</v>
      </c>
      <c r="J240" t="s">
        <v>162</v>
      </c>
      <c r="K240" t="s">
        <v>89</v>
      </c>
      <c r="L240" t="s">
        <v>871</v>
      </c>
      <c r="M240" t="s">
        <v>1769</v>
      </c>
      <c r="N240" t="s">
        <v>966</v>
      </c>
      <c r="O240" t="s">
        <v>1770</v>
      </c>
      <c r="P240" t="s">
        <v>760</v>
      </c>
      <c r="Q240" t="s">
        <v>92</v>
      </c>
      <c r="R240" t="s">
        <v>216</v>
      </c>
      <c r="S240" t="s">
        <v>39</v>
      </c>
      <c r="T240" t="s">
        <v>328</v>
      </c>
      <c r="U240" t="s">
        <v>423</v>
      </c>
      <c r="V240" t="s">
        <v>82</v>
      </c>
    </row>
    <row r="241" spans="1:22" x14ac:dyDescent="0.3">
      <c r="A241" t="s">
        <v>1771</v>
      </c>
      <c r="B241" t="s">
        <v>1592</v>
      </c>
      <c r="C241" t="s">
        <v>1593</v>
      </c>
      <c r="D241" t="s">
        <v>1772</v>
      </c>
      <c r="E241" t="s">
        <v>176</v>
      </c>
      <c r="F241" t="s">
        <v>161</v>
      </c>
      <c r="G241" t="s">
        <v>103</v>
      </c>
      <c r="H241" t="s">
        <v>214</v>
      </c>
      <c r="I241" t="s">
        <v>69</v>
      </c>
      <c r="J241" t="s">
        <v>162</v>
      </c>
      <c r="K241" t="s">
        <v>293</v>
      </c>
      <c r="L241" t="s">
        <v>1022</v>
      </c>
      <c r="M241" t="s">
        <v>479</v>
      </c>
      <c r="N241" t="s">
        <v>165</v>
      </c>
      <c r="O241" t="s">
        <v>1773</v>
      </c>
      <c r="P241" t="s">
        <v>685</v>
      </c>
      <c r="Q241" t="s">
        <v>782</v>
      </c>
      <c r="R241" t="s">
        <v>1774</v>
      </c>
      <c r="S241" t="s">
        <v>79</v>
      </c>
      <c r="T241" t="s">
        <v>1099</v>
      </c>
      <c r="U241" t="s">
        <v>98</v>
      </c>
      <c r="V241" t="s">
        <v>82</v>
      </c>
    </row>
    <row r="242" spans="1:22" x14ac:dyDescent="0.3">
      <c r="A242" t="s">
        <v>1775</v>
      </c>
      <c r="B242" t="s">
        <v>971</v>
      </c>
      <c r="C242" t="s">
        <v>972</v>
      </c>
      <c r="D242" t="s">
        <v>1776</v>
      </c>
      <c r="E242" t="s">
        <v>66</v>
      </c>
      <c r="F242" t="s">
        <v>66</v>
      </c>
      <c r="G242" t="s">
        <v>580</v>
      </c>
      <c r="H242" t="s">
        <v>49</v>
      </c>
      <c r="I242" t="s">
        <v>29</v>
      </c>
      <c r="J242" t="s">
        <v>257</v>
      </c>
      <c r="K242" t="s">
        <v>31</v>
      </c>
      <c r="L242" t="s">
        <v>32</v>
      </c>
      <c r="M242" t="s">
        <v>1777</v>
      </c>
      <c r="N242" t="s">
        <v>335</v>
      </c>
      <c r="O242" t="s">
        <v>1634</v>
      </c>
      <c r="P242" t="s">
        <v>1778</v>
      </c>
      <c r="Q242" t="s">
        <v>276</v>
      </c>
      <c r="R242" t="s">
        <v>1779</v>
      </c>
      <c r="S242" t="s">
        <v>97</v>
      </c>
      <c r="T242" t="s">
        <v>40</v>
      </c>
      <c r="U242" t="s">
        <v>362</v>
      </c>
      <c r="V242" t="s">
        <v>58</v>
      </c>
    </row>
    <row r="243" spans="1:22" x14ac:dyDescent="0.3">
      <c r="A243" t="s">
        <v>1780</v>
      </c>
      <c r="B243" t="s">
        <v>1468</v>
      </c>
      <c r="C243" t="s">
        <v>1469</v>
      </c>
      <c r="D243" t="s">
        <v>1781</v>
      </c>
      <c r="E243" t="s">
        <v>417</v>
      </c>
      <c r="F243" t="s">
        <v>134</v>
      </c>
      <c r="G243" t="s">
        <v>48</v>
      </c>
      <c r="H243" t="s">
        <v>214</v>
      </c>
      <c r="I243" t="s">
        <v>69</v>
      </c>
      <c r="J243" t="s">
        <v>30</v>
      </c>
      <c r="K243" t="s">
        <v>50</v>
      </c>
      <c r="L243" t="s">
        <v>177</v>
      </c>
      <c r="M243" t="s">
        <v>1254</v>
      </c>
      <c r="N243" t="s">
        <v>179</v>
      </c>
      <c r="O243" t="s">
        <v>1254</v>
      </c>
      <c r="P243" t="s">
        <v>1434</v>
      </c>
      <c r="Q243" t="s">
        <v>127</v>
      </c>
      <c r="R243" t="s">
        <v>1782</v>
      </c>
      <c r="S243" t="s">
        <v>182</v>
      </c>
      <c r="T243" t="s">
        <v>112</v>
      </c>
      <c r="U243" t="s">
        <v>394</v>
      </c>
      <c r="V243" t="s">
        <v>82</v>
      </c>
    </row>
    <row r="244" spans="1:22" x14ac:dyDescent="0.3">
      <c r="A244" t="s">
        <v>1783</v>
      </c>
      <c r="B244" t="s">
        <v>396</v>
      </c>
      <c r="C244" t="s">
        <v>397</v>
      </c>
      <c r="D244" t="s">
        <v>1784</v>
      </c>
      <c r="E244" t="s">
        <v>65</v>
      </c>
      <c r="F244" t="s">
        <v>66</v>
      </c>
      <c r="G244" t="s">
        <v>27</v>
      </c>
      <c r="H244" t="s">
        <v>214</v>
      </c>
      <c r="I244" t="s">
        <v>29</v>
      </c>
      <c r="J244" t="s">
        <v>162</v>
      </c>
      <c r="K244" t="s">
        <v>50</v>
      </c>
      <c r="L244" t="s">
        <v>1515</v>
      </c>
      <c r="M244" t="s">
        <v>644</v>
      </c>
      <c r="N244" t="s">
        <v>179</v>
      </c>
      <c r="O244" t="s">
        <v>644</v>
      </c>
      <c r="P244" t="s">
        <v>1523</v>
      </c>
      <c r="Q244" t="s">
        <v>336</v>
      </c>
      <c r="R244" t="s">
        <v>1785</v>
      </c>
      <c r="S244" t="s">
        <v>126</v>
      </c>
      <c r="T244" t="s">
        <v>40</v>
      </c>
      <c r="U244" t="s">
        <v>394</v>
      </c>
      <c r="V244" t="s">
        <v>114</v>
      </c>
    </row>
    <row r="245" spans="1:22" x14ac:dyDescent="0.3">
      <c r="A245" t="s">
        <v>1786</v>
      </c>
      <c r="B245" t="s">
        <v>1787</v>
      </c>
      <c r="C245" t="s">
        <v>1788</v>
      </c>
      <c r="D245" t="s">
        <v>1789</v>
      </c>
      <c r="E245" t="s">
        <v>893</v>
      </c>
      <c r="F245" t="s">
        <v>188</v>
      </c>
      <c r="G245" t="s">
        <v>213</v>
      </c>
      <c r="H245" t="s">
        <v>88</v>
      </c>
      <c r="I245" t="s">
        <v>29</v>
      </c>
      <c r="J245" t="s">
        <v>30</v>
      </c>
      <c r="K245" t="s">
        <v>293</v>
      </c>
      <c r="L245" t="s">
        <v>534</v>
      </c>
      <c r="M245" t="s">
        <v>723</v>
      </c>
      <c r="N245" t="s">
        <v>179</v>
      </c>
      <c r="O245" t="s">
        <v>723</v>
      </c>
      <c r="P245" t="s">
        <v>1790</v>
      </c>
      <c r="Q245" t="s">
        <v>535</v>
      </c>
      <c r="R245" t="s">
        <v>1791</v>
      </c>
      <c r="S245" t="s">
        <v>126</v>
      </c>
      <c r="T245" t="s">
        <v>80</v>
      </c>
      <c r="U245" t="s">
        <v>867</v>
      </c>
      <c r="V245" t="s">
        <v>58</v>
      </c>
    </row>
    <row r="246" spans="1:22" x14ac:dyDescent="0.3">
      <c r="A246" t="s">
        <v>1792</v>
      </c>
      <c r="B246" t="s">
        <v>1793</v>
      </c>
      <c r="C246" t="s">
        <v>1794</v>
      </c>
      <c r="D246" t="s">
        <v>1795</v>
      </c>
      <c r="E246" t="s">
        <v>161</v>
      </c>
      <c r="F246" t="s">
        <v>161</v>
      </c>
      <c r="G246" t="s">
        <v>103</v>
      </c>
      <c r="H246" t="s">
        <v>214</v>
      </c>
      <c r="I246" t="s">
        <v>29</v>
      </c>
      <c r="J246" t="s">
        <v>30</v>
      </c>
      <c r="K246" t="s">
        <v>31</v>
      </c>
      <c r="L246" t="s">
        <v>1295</v>
      </c>
      <c r="M246" t="s">
        <v>1705</v>
      </c>
      <c r="N246" t="s">
        <v>604</v>
      </c>
      <c r="O246" t="s">
        <v>381</v>
      </c>
      <c r="P246" t="s">
        <v>1523</v>
      </c>
      <c r="Q246" t="s">
        <v>433</v>
      </c>
      <c r="R246" t="s">
        <v>1524</v>
      </c>
      <c r="S246" t="s">
        <v>182</v>
      </c>
      <c r="T246" t="s">
        <v>1162</v>
      </c>
      <c r="U246" t="s">
        <v>373</v>
      </c>
      <c r="V246" t="s">
        <v>82</v>
      </c>
    </row>
    <row r="247" spans="1:22" x14ac:dyDescent="0.3">
      <c r="A247" t="s">
        <v>1796</v>
      </c>
      <c r="B247" t="s">
        <v>1797</v>
      </c>
      <c r="C247" t="s">
        <v>1798</v>
      </c>
      <c r="D247" t="s">
        <v>1799</v>
      </c>
      <c r="E247" t="s">
        <v>267</v>
      </c>
      <c r="F247" t="s">
        <v>66</v>
      </c>
      <c r="G247" t="s">
        <v>118</v>
      </c>
      <c r="H247" t="s">
        <v>68</v>
      </c>
      <c r="I247" t="s">
        <v>69</v>
      </c>
      <c r="J247" t="s">
        <v>30</v>
      </c>
      <c r="K247" t="s">
        <v>245</v>
      </c>
      <c r="L247" t="s">
        <v>51</v>
      </c>
      <c r="M247" t="s">
        <v>1800</v>
      </c>
      <c r="N247" t="s">
        <v>881</v>
      </c>
      <c r="O247" t="s">
        <v>1801</v>
      </c>
      <c r="P247" t="s">
        <v>975</v>
      </c>
      <c r="Q247" t="s">
        <v>581</v>
      </c>
      <c r="R247" t="s">
        <v>1802</v>
      </c>
      <c r="S247" t="s">
        <v>79</v>
      </c>
      <c r="T247" t="s">
        <v>600</v>
      </c>
      <c r="U247" t="s">
        <v>362</v>
      </c>
      <c r="V247" t="s">
        <v>58</v>
      </c>
    </row>
    <row r="248" spans="1:22" x14ac:dyDescent="0.3">
      <c r="A248" t="s">
        <v>1803</v>
      </c>
      <c r="B248" t="s">
        <v>1804</v>
      </c>
      <c r="C248" t="s">
        <v>1805</v>
      </c>
      <c r="D248" t="s">
        <v>1806</v>
      </c>
      <c r="E248" t="s">
        <v>282</v>
      </c>
      <c r="F248" t="s">
        <v>282</v>
      </c>
      <c r="G248" t="s">
        <v>147</v>
      </c>
      <c r="H248" t="s">
        <v>88</v>
      </c>
      <c r="I248" t="s">
        <v>29</v>
      </c>
      <c r="J248" t="s">
        <v>30</v>
      </c>
      <c r="K248" t="s">
        <v>293</v>
      </c>
      <c r="L248" t="s">
        <v>201</v>
      </c>
      <c r="M248" t="s">
        <v>949</v>
      </c>
      <c r="N248" t="s">
        <v>179</v>
      </c>
      <c r="O248" t="s">
        <v>949</v>
      </c>
      <c r="P248" t="s">
        <v>153</v>
      </c>
      <c r="Q248" t="s">
        <v>573</v>
      </c>
      <c r="R248" t="s">
        <v>1807</v>
      </c>
      <c r="S248" t="s">
        <v>58</v>
      </c>
      <c r="T248" t="s">
        <v>170</v>
      </c>
      <c r="U248" t="s">
        <v>423</v>
      </c>
      <c r="V248" t="s">
        <v>114</v>
      </c>
    </row>
    <row r="249" spans="1:22" x14ac:dyDescent="0.3">
      <c r="A249" t="s">
        <v>1808</v>
      </c>
      <c r="B249" t="s">
        <v>1809</v>
      </c>
      <c r="C249" t="s">
        <v>1810</v>
      </c>
      <c r="D249" t="s">
        <v>1811</v>
      </c>
      <c r="E249" t="s">
        <v>354</v>
      </c>
      <c r="F249" t="s">
        <v>134</v>
      </c>
      <c r="G249" t="s">
        <v>118</v>
      </c>
      <c r="H249" t="s">
        <v>88</v>
      </c>
      <c r="I249" t="s">
        <v>29</v>
      </c>
      <c r="J249" t="s">
        <v>30</v>
      </c>
      <c r="K249" t="s">
        <v>71</v>
      </c>
      <c r="L249" t="s">
        <v>902</v>
      </c>
      <c r="M249" t="s">
        <v>1715</v>
      </c>
      <c r="N249" t="s">
        <v>406</v>
      </c>
      <c r="O249" t="s">
        <v>491</v>
      </c>
      <c r="P249" t="s">
        <v>234</v>
      </c>
      <c r="Q249" t="s">
        <v>628</v>
      </c>
      <c r="R249" t="s">
        <v>1812</v>
      </c>
      <c r="S249" t="s">
        <v>182</v>
      </c>
      <c r="T249" t="s">
        <v>440</v>
      </c>
      <c r="U249" t="s">
        <v>60</v>
      </c>
      <c r="V249" t="s">
        <v>58</v>
      </c>
    </row>
    <row r="250" spans="1:22" x14ac:dyDescent="0.3">
      <c r="A250" t="s">
        <v>1813</v>
      </c>
      <c r="B250" t="s">
        <v>501</v>
      </c>
      <c r="C250" t="s">
        <v>502</v>
      </c>
      <c r="D250" t="s">
        <v>765</v>
      </c>
      <c r="E250" t="s">
        <v>378</v>
      </c>
      <c r="F250" t="s">
        <v>282</v>
      </c>
      <c r="G250" t="s">
        <v>48</v>
      </c>
      <c r="H250" t="s">
        <v>88</v>
      </c>
      <c r="I250" t="s">
        <v>69</v>
      </c>
      <c r="J250" t="s">
        <v>30</v>
      </c>
      <c r="K250" t="s">
        <v>293</v>
      </c>
      <c r="L250" t="s">
        <v>72</v>
      </c>
      <c r="M250" t="s">
        <v>1773</v>
      </c>
      <c r="N250" t="s">
        <v>179</v>
      </c>
      <c r="O250" t="s">
        <v>1773</v>
      </c>
      <c r="P250" t="s">
        <v>153</v>
      </c>
      <c r="Q250" t="s">
        <v>139</v>
      </c>
      <c r="R250" t="s">
        <v>1814</v>
      </c>
      <c r="S250" t="s">
        <v>39</v>
      </c>
      <c r="T250" t="s">
        <v>308</v>
      </c>
      <c r="U250" t="s">
        <v>155</v>
      </c>
      <c r="V250" t="s">
        <v>58</v>
      </c>
    </row>
    <row r="251" spans="1:22" x14ac:dyDescent="0.3">
      <c r="A251" t="s">
        <v>1815</v>
      </c>
      <c r="B251" t="s">
        <v>1816</v>
      </c>
      <c r="C251" t="s">
        <v>1817</v>
      </c>
      <c r="D251" t="s">
        <v>1818</v>
      </c>
      <c r="E251" t="s">
        <v>267</v>
      </c>
      <c r="F251" t="s">
        <v>66</v>
      </c>
      <c r="G251" t="s">
        <v>48</v>
      </c>
      <c r="H251" t="s">
        <v>68</v>
      </c>
      <c r="I251" t="s">
        <v>69</v>
      </c>
      <c r="J251" t="s">
        <v>30</v>
      </c>
      <c r="K251" t="s">
        <v>293</v>
      </c>
      <c r="L251" t="s">
        <v>598</v>
      </c>
      <c r="M251" t="s">
        <v>421</v>
      </c>
      <c r="N251" t="s">
        <v>276</v>
      </c>
      <c r="O251" t="s">
        <v>627</v>
      </c>
      <c r="P251" t="s">
        <v>1322</v>
      </c>
      <c r="Q251" t="s">
        <v>112</v>
      </c>
      <c r="R251" t="s">
        <v>1819</v>
      </c>
      <c r="S251" t="s">
        <v>39</v>
      </c>
      <c r="T251" t="s">
        <v>74</v>
      </c>
      <c r="U251" t="s">
        <v>171</v>
      </c>
      <c r="V251" t="s">
        <v>42</v>
      </c>
    </row>
    <row r="252" spans="1:22" x14ac:dyDescent="0.3">
      <c r="A252" t="s">
        <v>1820</v>
      </c>
      <c r="B252" t="s">
        <v>1409</v>
      </c>
      <c r="C252" t="s">
        <v>1410</v>
      </c>
      <c r="D252" t="s">
        <v>1821</v>
      </c>
      <c r="E252" t="s">
        <v>634</v>
      </c>
      <c r="F252" t="s">
        <v>228</v>
      </c>
      <c r="G252" t="s">
        <v>67</v>
      </c>
      <c r="H252" t="s">
        <v>28</v>
      </c>
      <c r="I252" t="s">
        <v>29</v>
      </c>
      <c r="J252" t="s">
        <v>30</v>
      </c>
      <c r="K252" t="s">
        <v>50</v>
      </c>
      <c r="L252" t="s">
        <v>871</v>
      </c>
      <c r="M252" t="s">
        <v>1822</v>
      </c>
      <c r="N252" t="s">
        <v>1183</v>
      </c>
      <c r="O252" t="s">
        <v>574</v>
      </c>
      <c r="P252" t="s">
        <v>108</v>
      </c>
      <c r="Q252" t="s">
        <v>344</v>
      </c>
      <c r="R252" t="s">
        <v>1660</v>
      </c>
      <c r="S252" t="s">
        <v>39</v>
      </c>
      <c r="T252" t="s">
        <v>107</v>
      </c>
      <c r="U252" t="s">
        <v>362</v>
      </c>
      <c r="V252" t="s">
        <v>82</v>
      </c>
    </row>
    <row r="253" spans="1:22" x14ac:dyDescent="0.3">
      <c r="A253" t="s">
        <v>1823</v>
      </c>
      <c r="B253" t="s">
        <v>1824</v>
      </c>
      <c r="C253" t="s">
        <v>1825</v>
      </c>
      <c r="D253" t="s">
        <v>1271</v>
      </c>
      <c r="E253" t="s">
        <v>176</v>
      </c>
      <c r="F253" t="s">
        <v>161</v>
      </c>
      <c r="G253" t="s">
        <v>67</v>
      </c>
      <c r="H253" t="s">
        <v>104</v>
      </c>
      <c r="I253" t="s">
        <v>69</v>
      </c>
      <c r="J253" t="s">
        <v>257</v>
      </c>
      <c r="K253" t="s">
        <v>31</v>
      </c>
      <c r="L253" t="s">
        <v>177</v>
      </c>
      <c r="M253" t="s">
        <v>998</v>
      </c>
      <c r="N253" t="s">
        <v>1230</v>
      </c>
      <c r="O253" t="s">
        <v>1826</v>
      </c>
      <c r="P253" t="s">
        <v>1827</v>
      </c>
      <c r="Q253" t="s">
        <v>600</v>
      </c>
      <c r="R253" t="s">
        <v>1828</v>
      </c>
      <c r="S253" t="s">
        <v>97</v>
      </c>
      <c r="T253" t="s">
        <v>183</v>
      </c>
      <c r="U253" t="s">
        <v>373</v>
      </c>
      <c r="V253" t="s">
        <v>42</v>
      </c>
    </row>
    <row r="254" spans="1:22" x14ac:dyDescent="0.3">
      <c r="A254" t="s">
        <v>1829</v>
      </c>
      <c r="B254" t="s">
        <v>1830</v>
      </c>
      <c r="C254" t="s">
        <v>1831</v>
      </c>
      <c r="D254" t="s">
        <v>1832</v>
      </c>
      <c r="E254" t="s">
        <v>26</v>
      </c>
      <c r="F254" t="s">
        <v>26</v>
      </c>
      <c r="G254" t="s">
        <v>147</v>
      </c>
      <c r="H254" t="s">
        <v>68</v>
      </c>
      <c r="I254" t="s">
        <v>69</v>
      </c>
      <c r="J254" t="s">
        <v>30</v>
      </c>
      <c r="K254" t="s">
        <v>200</v>
      </c>
      <c r="L254" t="s">
        <v>773</v>
      </c>
      <c r="M254" t="s">
        <v>219</v>
      </c>
      <c r="N254" t="s">
        <v>179</v>
      </c>
      <c r="O254" t="s">
        <v>219</v>
      </c>
      <c r="P254" t="s">
        <v>317</v>
      </c>
      <c r="Q254" t="s">
        <v>421</v>
      </c>
      <c r="R254" t="s">
        <v>1833</v>
      </c>
      <c r="S254" t="s">
        <v>39</v>
      </c>
      <c r="T254" t="s">
        <v>261</v>
      </c>
      <c r="U254" t="s">
        <v>362</v>
      </c>
      <c r="V254" t="s">
        <v>79</v>
      </c>
    </row>
    <row r="255" spans="1:22" x14ac:dyDescent="0.3">
      <c r="A255" t="s">
        <v>1834</v>
      </c>
      <c r="B255" t="s">
        <v>1325</v>
      </c>
      <c r="C255" t="s">
        <v>1326</v>
      </c>
      <c r="D255" t="s">
        <v>1835</v>
      </c>
      <c r="E255" t="s">
        <v>176</v>
      </c>
      <c r="F255" t="s">
        <v>161</v>
      </c>
      <c r="G255" t="s">
        <v>103</v>
      </c>
      <c r="H255" t="s">
        <v>49</v>
      </c>
      <c r="I255" t="s">
        <v>69</v>
      </c>
      <c r="J255" t="s">
        <v>162</v>
      </c>
      <c r="K255" t="s">
        <v>89</v>
      </c>
      <c r="L255" t="s">
        <v>937</v>
      </c>
      <c r="M255" t="s">
        <v>1836</v>
      </c>
      <c r="N255" t="s">
        <v>999</v>
      </c>
      <c r="O255" t="s">
        <v>1837</v>
      </c>
      <c r="P255" t="s">
        <v>1838</v>
      </c>
      <c r="Q255" t="s">
        <v>37</v>
      </c>
      <c r="R255" t="s">
        <v>1839</v>
      </c>
      <c r="S255" t="s">
        <v>97</v>
      </c>
      <c r="T255" t="s">
        <v>735</v>
      </c>
      <c r="U255" t="s">
        <v>537</v>
      </c>
      <c r="V255" t="s">
        <v>58</v>
      </c>
    </row>
    <row r="256" spans="1:22" x14ac:dyDescent="0.3">
      <c r="A256" t="s">
        <v>1840</v>
      </c>
      <c r="B256" t="s">
        <v>1841</v>
      </c>
      <c r="C256" t="s">
        <v>1842</v>
      </c>
      <c r="D256" t="s">
        <v>1843</v>
      </c>
      <c r="E256" t="s">
        <v>780</v>
      </c>
      <c r="F256" t="s">
        <v>282</v>
      </c>
      <c r="G256" t="s">
        <v>147</v>
      </c>
      <c r="H256" t="s">
        <v>68</v>
      </c>
      <c r="I256" t="s">
        <v>29</v>
      </c>
      <c r="J256" t="s">
        <v>70</v>
      </c>
      <c r="K256" t="s">
        <v>89</v>
      </c>
      <c r="L256" t="s">
        <v>871</v>
      </c>
      <c r="M256" t="s">
        <v>1844</v>
      </c>
      <c r="N256" t="s">
        <v>751</v>
      </c>
      <c r="O256" t="s">
        <v>1604</v>
      </c>
      <c r="P256" t="s">
        <v>1395</v>
      </c>
      <c r="Q256" t="s">
        <v>191</v>
      </c>
      <c r="R256" t="s">
        <v>1845</v>
      </c>
      <c r="S256" t="s">
        <v>126</v>
      </c>
      <c r="T256" t="s">
        <v>770</v>
      </c>
      <c r="U256" t="s">
        <v>407</v>
      </c>
      <c r="V256" t="s">
        <v>42</v>
      </c>
    </row>
    <row r="257" spans="1:22" x14ac:dyDescent="0.3">
      <c r="A257" t="s">
        <v>1846</v>
      </c>
      <c r="B257" t="s">
        <v>1019</v>
      </c>
      <c r="C257" t="s">
        <v>1020</v>
      </c>
      <c r="D257" t="s">
        <v>973</v>
      </c>
      <c r="E257" t="s">
        <v>417</v>
      </c>
      <c r="F257" t="s">
        <v>134</v>
      </c>
      <c r="G257" t="s">
        <v>213</v>
      </c>
      <c r="H257" t="s">
        <v>49</v>
      </c>
      <c r="I257" t="s">
        <v>69</v>
      </c>
      <c r="J257" t="s">
        <v>162</v>
      </c>
      <c r="K257" t="s">
        <v>200</v>
      </c>
      <c r="L257" t="s">
        <v>766</v>
      </c>
      <c r="M257" t="s">
        <v>1847</v>
      </c>
      <c r="N257" t="s">
        <v>628</v>
      </c>
      <c r="O257" t="s">
        <v>192</v>
      </c>
      <c r="P257" t="s">
        <v>1848</v>
      </c>
      <c r="Q257" t="s">
        <v>140</v>
      </c>
      <c r="R257" t="s">
        <v>1849</v>
      </c>
      <c r="S257" t="s">
        <v>182</v>
      </c>
      <c r="T257" t="s">
        <v>441</v>
      </c>
      <c r="U257" t="s">
        <v>407</v>
      </c>
      <c r="V257" t="s">
        <v>79</v>
      </c>
    </row>
    <row r="258" spans="1:22" x14ac:dyDescent="0.3">
      <c r="A258" t="s">
        <v>1850</v>
      </c>
      <c r="B258" t="s">
        <v>1851</v>
      </c>
      <c r="C258" t="s">
        <v>1852</v>
      </c>
      <c r="D258" t="s">
        <v>1853</v>
      </c>
      <c r="E258" t="s">
        <v>438</v>
      </c>
      <c r="F258" t="s">
        <v>188</v>
      </c>
      <c r="G258" t="s">
        <v>147</v>
      </c>
      <c r="H258" t="s">
        <v>104</v>
      </c>
      <c r="I258" t="s">
        <v>69</v>
      </c>
      <c r="J258" t="s">
        <v>30</v>
      </c>
      <c r="K258" t="s">
        <v>89</v>
      </c>
      <c r="L258" t="s">
        <v>201</v>
      </c>
      <c r="M258" t="s">
        <v>1854</v>
      </c>
      <c r="N258" t="s">
        <v>179</v>
      </c>
      <c r="O258" t="s">
        <v>1854</v>
      </c>
      <c r="P258" t="s">
        <v>1745</v>
      </c>
      <c r="Q258" t="s">
        <v>804</v>
      </c>
      <c r="R258" t="s">
        <v>1855</v>
      </c>
      <c r="S258" t="s">
        <v>58</v>
      </c>
      <c r="T258" t="s">
        <v>237</v>
      </c>
      <c r="U258" t="s">
        <v>537</v>
      </c>
      <c r="V258" t="s">
        <v>114</v>
      </c>
    </row>
    <row r="259" spans="1:22" x14ac:dyDescent="0.3">
      <c r="A259" t="s">
        <v>1856</v>
      </c>
      <c r="B259" t="s">
        <v>1857</v>
      </c>
      <c r="C259" t="s">
        <v>1858</v>
      </c>
      <c r="D259" t="s">
        <v>1772</v>
      </c>
      <c r="E259" t="s">
        <v>87</v>
      </c>
      <c r="F259" t="s">
        <v>26</v>
      </c>
      <c r="G259" t="s">
        <v>147</v>
      </c>
      <c r="H259" t="s">
        <v>268</v>
      </c>
      <c r="I259" t="s">
        <v>69</v>
      </c>
      <c r="J259" t="s">
        <v>257</v>
      </c>
      <c r="K259" t="s">
        <v>200</v>
      </c>
      <c r="L259" t="s">
        <v>216</v>
      </c>
      <c r="M259" t="s">
        <v>136</v>
      </c>
      <c r="N259" t="s">
        <v>1224</v>
      </c>
      <c r="O259" t="s">
        <v>581</v>
      </c>
      <c r="P259" t="s">
        <v>54</v>
      </c>
      <c r="Q259" t="s">
        <v>724</v>
      </c>
      <c r="R259" t="s">
        <v>1859</v>
      </c>
      <c r="S259" t="s">
        <v>58</v>
      </c>
      <c r="T259" t="s">
        <v>384</v>
      </c>
      <c r="U259" t="s">
        <v>277</v>
      </c>
      <c r="V259" t="s">
        <v>79</v>
      </c>
    </row>
    <row r="260" spans="1:22" x14ac:dyDescent="0.3">
      <c r="A260" t="s">
        <v>1860</v>
      </c>
      <c r="B260" t="s">
        <v>1861</v>
      </c>
      <c r="C260" t="s">
        <v>1862</v>
      </c>
      <c r="D260" t="s">
        <v>789</v>
      </c>
      <c r="E260" t="s">
        <v>354</v>
      </c>
      <c r="F260" t="s">
        <v>134</v>
      </c>
      <c r="G260" t="s">
        <v>27</v>
      </c>
      <c r="H260" t="s">
        <v>268</v>
      </c>
      <c r="I260" t="s">
        <v>69</v>
      </c>
      <c r="J260" t="s">
        <v>30</v>
      </c>
      <c r="K260" t="s">
        <v>200</v>
      </c>
      <c r="L260" t="s">
        <v>1863</v>
      </c>
      <c r="M260" t="s">
        <v>1864</v>
      </c>
      <c r="N260" t="s">
        <v>1099</v>
      </c>
      <c r="O260" t="s">
        <v>1681</v>
      </c>
      <c r="P260" t="s">
        <v>768</v>
      </c>
      <c r="Q260" t="s">
        <v>600</v>
      </c>
      <c r="R260" t="s">
        <v>1865</v>
      </c>
      <c r="S260" t="s">
        <v>79</v>
      </c>
      <c r="T260" t="s">
        <v>121</v>
      </c>
      <c r="U260" t="s">
        <v>362</v>
      </c>
      <c r="V260" t="s">
        <v>42</v>
      </c>
    </row>
    <row r="261" spans="1:22" x14ac:dyDescent="0.3">
      <c r="A261" t="s">
        <v>1866</v>
      </c>
      <c r="B261" t="s">
        <v>157</v>
      </c>
      <c r="C261" t="s">
        <v>158</v>
      </c>
      <c r="D261" t="s">
        <v>1464</v>
      </c>
      <c r="E261" t="s">
        <v>47</v>
      </c>
      <c r="F261" t="s">
        <v>26</v>
      </c>
      <c r="G261" t="s">
        <v>48</v>
      </c>
      <c r="H261" t="s">
        <v>229</v>
      </c>
      <c r="I261" t="s">
        <v>29</v>
      </c>
      <c r="J261" t="s">
        <v>70</v>
      </c>
      <c r="K261" t="s">
        <v>200</v>
      </c>
      <c r="L261" t="s">
        <v>1693</v>
      </c>
      <c r="M261" t="s">
        <v>1170</v>
      </c>
      <c r="N261" t="s">
        <v>1043</v>
      </c>
      <c r="O261" t="s">
        <v>915</v>
      </c>
      <c r="P261" t="s">
        <v>984</v>
      </c>
      <c r="Q261" t="s">
        <v>1491</v>
      </c>
      <c r="R261" t="s">
        <v>1867</v>
      </c>
      <c r="S261" t="s">
        <v>126</v>
      </c>
      <c r="T261" t="s">
        <v>37</v>
      </c>
      <c r="U261" t="s">
        <v>81</v>
      </c>
      <c r="V261" t="s">
        <v>42</v>
      </c>
    </row>
    <row r="262" spans="1:22" x14ac:dyDescent="0.3">
      <c r="A262" t="s">
        <v>1868</v>
      </c>
      <c r="B262" t="s">
        <v>1869</v>
      </c>
      <c r="C262" t="s">
        <v>1870</v>
      </c>
      <c r="D262" t="s">
        <v>1871</v>
      </c>
      <c r="E262" t="s">
        <v>87</v>
      </c>
      <c r="F262" t="s">
        <v>26</v>
      </c>
      <c r="G262" t="s">
        <v>27</v>
      </c>
      <c r="H262" t="s">
        <v>68</v>
      </c>
      <c r="I262" t="s">
        <v>29</v>
      </c>
      <c r="J262" t="s">
        <v>30</v>
      </c>
      <c r="K262" t="s">
        <v>245</v>
      </c>
      <c r="L262" t="s">
        <v>534</v>
      </c>
      <c r="M262" t="s">
        <v>1647</v>
      </c>
      <c r="N262" t="s">
        <v>721</v>
      </c>
      <c r="O262" t="s">
        <v>1635</v>
      </c>
      <c r="P262" t="s">
        <v>1872</v>
      </c>
      <c r="Q262" t="s">
        <v>1099</v>
      </c>
      <c r="R262" t="s">
        <v>1873</v>
      </c>
      <c r="S262" t="s">
        <v>39</v>
      </c>
      <c r="T262" t="s">
        <v>695</v>
      </c>
      <c r="U262" t="s">
        <v>867</v>
      </c>
      <c r="V262" t="s">
        <v>114</v>
      </c>
    </row>
    <row r="263" spans="1:22" x14ac:dyDescent="0.3">
      <c r="A263" t="s">
        <v>1874</v>
      </c>
      <c r="B263" t="s">
        <v>777</v>
      </c>
      <c r="C263" t="s">
        <v>778</v>
      </c>
      <c r="D263" t="s">
        <v>1875</v>
      </c>
      <c r="E263" t="s">
        <v>176</v>
      </c>
      <c r="F263" t="s">
        <v>161</v>
      </c>
      <c r="G263" t="s">
        <v>147</v>
      </c>
      <c r="H263" t="s">
        <v>104</v>
      </c>
      <c r="I263" t="s">
        <v>69</v>
      </c>
      <c r="J263" t="s">
        <v>30</v>
      </c>
      <c r="K263" t="s">
        <v>50</v>
      </c>
      <c r="L263" t="s">
        <v>105</v>
      </c>
      <c r="M263" t="s">
        <v>35</v>
      </c>
      <c r="N263" t="s">
        <v>179</v>
      </c>
      <c r="O263" t="s">
        <v>35</v>
      </c>
      <c r="P263" t="s">
        <v>842</v>
      </c>
      <c r="Q263" t="s">
        <v>966</v>
      </c>
      <c r="R263" t="s">
        <v>1876</v>
      </c>
      <c r="S263" t="s">
        <v>126</v>
      </c>
      <c r="T263" t="s">
        <v>137</v>
      </c>
      <c r="U263" t="s">
        <v>407</v>
      </c>
      <c r="V263" t="s">
        <v>58</v>
      </c>
    </row>
    <row r="264" spans="1:22" x14ac:dyDescent="0.3">
      <c r="A264" t="s">
        <v>1877</v>
      </c>
      <c r="B264" t="s">
        <v>197</v>
      </c>
      <c r="C264" t="s">
        <v>198</v>
      </c>
      <c r="D264" t="s">
        <v>1878</v>
      </c>
      <c r="E264" t="s">
        <v>26</v>
      </c>
      <c r="F264" t="s">
        <v>26</v>
      </c>
      <c r="G264" t="s">
        <v>67</v>
      </c>
      <c r="H264" t="s">
        <v>28</v>
      </c>
      <c r="I264" t="s">
        <v>69</v>
      </c>
      <c r="J264" t="s">
        <v>162</v>
      </c>
      <c r="K264" t="s">
        <v>215</v>
      </c>
      <c r="L264" t="s">
        <v>428</v>
      </c>
      <c r="M264" t="s">
        <v>1498</v>
      </c>
      <c r="N264" t="s">
        <v>361</v>
      </c>
      <c r="O264" t="s">
        <v>491</v>
      </c>
      <c r="P264" t="s">
        <v>1647</v>
      </c>
      <c r="Q264" t="s">
        <v>276</v>
      </c>
      <c r="R264" t="s">
        <v>1879</v>
      </c>
      <c r="S264" t="s">
        <v>58</v>
      </c>
      <c r="T264" t="s">
        <v>37</v>
      </c>
      <c r="U264" t="s">
        <v>60</v>
      </c>
      <c r="V264" t="s">
        <v>42</v>
      </c>
    </row>
    <row r="265" spans="1:22" x14ac:dyDescent="0.3">
      <c r="A265" t="s">
        <v>1880</v>
      </c>
      <c r="B265" t="s">
        <v>1881</v>
      </c>
      <c r="C265" t="s">
        <v>1882</v>
      </c>
      <c r="D265" t="s">
        <v>1883</v>
      </c>
      <c r="E265" t="s">
        <v>133</v>
      </c>
      <c r="F265" t="s">
        <v>134</v>
      </c>
      <c r="G265" t="s">
        <v>213</v>
      </c>
      <c r="H265" t="s">
        <v>268</v>
      </c>
      <c r="I265" t="s">
        <v>69</v>
      </c>
      <c r="J265" t="s">
        <v>70</v>
      </c>
      <c r="K265" t="s">
        <v>71</v>
      </c>
      <c r="L265" t="s">
        <v>534</v>
      </c>
      <c r="M265" t="s">
        <v>1884</v>
      </c>
      <c r="N265" t="s">
        <v>461</v>
      </c>
      <c r="O265" t="s">
        <v>1403</v>
      </c>
      <c r="P265" t="s">
        <v>753</v>
      </c>
      <c r="Q265" t="s">
        <v>1303</v>
      </c>
      <c r="R265" t="s">
        <v>1885</v>
      </c>
      <c r="S265" t="s">
        <v>126</v>
      </c>
      <c r="T265" t="s">
        <v>621</v>
      </c>
      <c r="U265" t="s">
        <v>288</v>
      </c>
      <c r="V265" t="s">
        <v>82</v>
      </c>
    </row>
    <row r="266" spans="1:22" x14ac:dyDescent="0.3">
      <c r="A266" t="s">
        <v>1886</v>
      </c>
      <c r="B266" t="s">
        <v>1118</v>
      </c>
      <c r="C266" t="s">
        <v>1119</v>
      </c>
      <c r="D266" t="s">
        <v>1887</v>
      </c>
      <c r="E266" t="s">
        <v>780</v>
      </c>
      <c r="F266" t="s">
        <v>282</v>
      </c>
      <c r="G266" t="s">
        <v>67</v>
      </c>
      <c r="H266" t="s">
        <v>214</v>
      </c>
      <c r="I266" t="s">
        <v>29</v>
      </c>
      <c r="J266" t="s">
        <v>30</v>
      </c>
      <c r="K266" t="s">
        <v>71</v>
      </c>
      <c r="L266" t="s">
        <v>179</v>
      </c>
      <c r="M266" t="s">
        <v>1888</v>
      </c>
      <c r="N266" t="s">
        <v>573</v>
      </c>
      <c r="O266" t="s">
        <v>1889</v>
      </c>
      <c r="P266" t="s">
        <v>1777</v>
      </c>
      <c r="Q266" t="s">
        <v>37</v>
      </c>
      <c r="R266" t="s">
        <v>1890</v>
      </c>
      <c r="S266" t="s">
        <v>39</v>
      </c>
      <c r="T266" t="s">
        <v>137</v>
      </c>
      <c r="U266" t="s">
        <v>1891</v>
      </c>
      <c r="V266" t="s">
        <v>82</v>
      </c>
    </row>
    <row r="267" spans="1:22" x14ac:dyDescent="0.3">
      <c r="A267" t="s">
        <v>1892</v>
      </c>
      <c r="B267" t="s">
        <v>698</v>
      </c>
      <c r="C267" t="s">
        <v>699</v>
      </c>
      <c r="D267" t="s">
        <v>1893</v>
      </c>
      <c r="E267" t="s">
        <v>66</v>
      </c>
      <c r="F267" t="s">
        <v>66</v>
      </c>
      <c r="G267" t="s">
        <v>580</v>
      </c>
      <c r="H267" t="s">
        <v>104</v>
      </c>
      <c r="I267" t="s">
        <v>29</v>
      </c>
      <c r="J267" t="s">
        <v>30</v>
      </c>
      <c r="K267" t="s">
        <v>245</v>
      </c>
      <c r="L267" t="s">
        <v>663</v>
      </c>
      <c r="M267" t="s">
        <v>1894</v>
      </c>
      <c r="N267" t="s">
        <v>1133</v>
      </c>
      <c r="O267" t="s">
        <v>431</v>
      </c>
      <c r="P267" t="s">
        <v>193</v>
      </c>
      <c r="Q267" t="s">
        <v>319</v>
      </c>
      <c r="R267" t="s">
        <v>1895</v>
      </c>
      <c r="S267" t="s">
        <v>79</v>
      </c>
      <c r="T267" t="s">
        <v>610</v>
      </c>
      <c r="U267" t="s">
        <v>277</v>
      </c>
      <c r="V267" t="s">
        <v>82</v>
      </c>
    </row>
    <row r="268" spans="1:22" x14ac:dyDescent="0.3">
      <c r="A268" t="s">
        <v>1896</v>
      </c>
      <c r="B268" t="s">
        <v>1251</v>
      </c>
      <c r="C268" t="s">
        <v>1252</v>
      </c>
      <c r="D268" t="s">
        <v>486</v>
      </c>
      <c r="E268" t="s">
        <v>243</v>
      </c>
      <c r="F268" t="s">
        <v>244</v>
      </c>
      <c r="G268" t="s">
        <v>580</v>
      </c>
      <c r="H268" t="s">
        <v>229</v>
      </c>
      <c r="I268" t="s">
        <v>69</v>
      </c>
      <c r="J268" t="s">
        <v>70</v>
      </c>
      <c r="K268" t="s">
        <v>200</v>
      </c>
      <c r="L268" t="s">
        <v>1611</v>
      </c>
      <c r="M268" t="s">
        <v>959</v>
      </c>
      <c r="N268" t="s">
        <v>179</v>
      </c>
      <c r="O268" t="s">
        <v>959</v>
      </c>
      <c r="P268" t="s">
        <v>1694</v>
      </c>
      <c r="Q268" t="s">
        <v>276</v>
      </c>
      <c r="R268" t="s">
        <v>1897</v>
      </c>
      <c r="S268" t="s">
        <v>58</v>
      </c>
      <c r="T268" t="s">
        <v>543</v>
      </c>
      <c r="U268" t="s">
        <v>171</v>
      </c>
      <c r="V268" t="s">
        <v>58</v>
      </c>
    </row>
    <row r="269" spans="1:22" x14ac:dyDescent="0.3">
      <c r="A269" t="s">
        <v>1898</v>
      </c>
      <c r="B269" t="s">
        <v>1899</v>
      </c>
      <c r="C269" t="s">
        <v>1900</v>
      </c>
      <c r="D269" t="s">
        <v>1901</v>
      </c>
      <c r="E269" t="s">
        <v>227</v>
      </c>
      <c r="F269" t="s">
        <v>228</v>
      </c>
      <c r="G269" t="s">
        <v>48</v>
      </c>
      <c r="H269" t="s">
        <v>229</v>
      </c>
      <c r="I269" t="s">
        <v>29</v>
      </c>
      <c r="J269" t="s">
        <v>30</v>
      </c>
      <c r="K269" t="s">
        <v>31</v>
      </c>
      <c r="L269" t="s">
        <v>294</v>
      </c>
      <c r="M269" t="s">
        <v>317</v>
      </c>
      <c r="N269" t="s">
        <v>308</v>
      </c>
      <c r="O269" t="s">
        <v>1402</v>
      </c>
      <c r="P269" t="s">
        <v>1079</v>
      </c>
      <c r="Q269" t="s">
        <v>710</v>
      </c>
      <c r="R269" t="s">
        <v>1902</v>
      </c>
      <c r="T269" t="s">
        <v>567</v>
      </c>
      <c r="U269" t="s">
        <v>300</v>
      </c>
      <c r="V269" t="s">
        <v>79</v>
      </c>
    </row>
    <row r="270" spans="1:22" x14ac:dyDescent="0.3">
      <c r="A270" t="s">
        <v>1903</v>
      </c>
      <c r="B270" t="s">
        <v>1904</v>
      </c>
      <c r="C270" t="s">
        <v>1905</v>
      </c>
      <c r="D270" t="s">
        <v>1906</v>
      </c>
      <c r="E270" t="s">
        <v>354</v>
      </c>
      <c r="F270" t="s">
        <v>134</v>
      </c>
      <c r="G270" t="s">
        <v>118</v>
      </c>
      <c r="H270" t="s">
        <v>104</v>
      </c>
      <c r="I270" t="s">
        <v>29</v>
      </c>
      <c r="J270" t="s">
        <v>70</v>
      </c>
      <c r="K270" t="s">
        <v>230</v>
      </c>
      <c r="L270" t="s">
        <v>1515</v>
      </c>
      <c r="M270" t="s">
        <v>1907</v>
      </c>
      <c r="N270" t="s">
        <v>482</v>
      </c>
      <c r="O270" t="s">
        <v>1908</v>
      </c>
      <c r="P270" t="s">
        <v>1414</v>
      </c>
      <c r="Q270" t="s">
        <v>1909</v>
      </c>
      <c r="R270" t="s">
        <v>1910</v>
      </c>
      <c r="S270" t="s">
        <v>182</v>
      </c>
      <c r="T270" t="s">
        <v>183</v>
      </c>
      <c r="U270" t="s">
        <v>394</v>
      </c>
      <c r="V270" t="s">
        <v>114</v>
      </c>
    </row>
    <row r="271" spans="1:22" x14ac:dyDescent="0.3">
      <c r="A271" t="s">
        <v>1911</v>
      </c>
      <c r="B271" t="s">
        <v>1912</v>
      </c>
      <c r="C271" t="s">
        <v>1913</v>
      </c>
      <c r="D271" t="s">
        <v>1914</v>
      </c>
      <c r="E271" t="s">
        <v>1321</v>
      </c>
      <c r="F271" t="s">
        <v>228</v>
      </c>
      <c r="G271" t="s">
        <v>103</v>
      </c>
      <c r="H271" t="s">
        <v>214</v>
      </c>
      <c r="I271" t="s">
        <v>69</v>
      </c>
      <c r="J271" t="s">
        <v>257</v>
      </c>
      <c r="K271" t="s">
        <v>293</v>
      </c>
      <c r="L271" t="s">
        <v>1915</v>
      </c>
      <c r="M271" t="s">
        <v>1413</v>
      </c>
      <c r="N271" t="s">
        <v>655</v>
      </c>
      <c r="O271" t="s">
        <v>767</v>
      </c>
      <c r="P271" t="s">
        <v>1827</v>
      </c>
      <c r="Q271" t="s">
        <v>1916</v>
      </c>
      <c r="R271" t="s">
        <v>508</v>
      </c>
      <c r="S271" t="s">
        <v>126</v>
      </c>
      <c r="T271" t="s">
        <v>328</v>
      </c>
      <c r="U271" t="s">
        <v>98</v>
      </c>
      <c r="V271" t="s">
        <v>42</v>
      </c>
    </row>
    <row r="272" spans="1:22" x14ac:dyDescent="0.3">
      <c r="A272" t="s">
        <v>1917</v>
      </c>
      <c r="B272" t="s">
        <v>1592</v>
      </c>
      <c r="C272" t="s">
        <v>1593</v>
      </c>
      <c r="D272" t="s">
        <v>1918</v>
      </c>
      <c r="E272" t="s">
        <v>176</v>
      </c>
      <c r="F272" t="s">
        <v>161</v>
      </c>
      <c r="G272" t="s">
        <v>67</v>
      </c>
      <c r="H272" t="s">
        <v>68</v>
      </c>
      <c r="I272" t="s">
        <v>69</v>
      </c>
      <c r="J272" t="s">
        <v>70</v>
      </c>
      <c r="K272" t="s">
        <v>71</v>
      </c>
      <c r="L272" t="s">
        <v>466</v>
      </c>
      <c r="M272" t="s">
        <v>52</v>
      </c>
      <c r="N272" t="s">
        <v>499</v>
      </c>
      <c r="O272" t="s">
        <v>180</v>
      </c>
      <c r="P272" t="s">
        <v>441</v>
      </c>
      <c r="Q272" t="s">
        <v>567</v>
      </c>
      <c r="R272" t="s">
        <v>1919</v>
      </c>
      <c r="S272" t="s">
        <v>97</v>
      </c>
      <c r="T272" t="s">
        <v>1099</v>
      </c>
      <c r="U272" t="s">
        <v>300</v>
      </c>
      <c r="V272" t="s">
        <v>79</v>
      </c>
    </row>
    <row r="273" spans="1:22" x14ac:dyDescent="0.3">
      <c r="A273" t="s">
        <v>1920</v>
      </c>
      <c r="B273" t="s">
        <v>1921</v>
      </c>
      <c r="C273" t="s">
        <v>1922</v>
      </c>
      <c r="D273" t="s">
        <v>1923</v>
      </c>
      <c r="E273" t="s">
        <v>160</v>
      </c>
      <c r="F273" t="s">
        <v>161</v>
      </c>
      <c r="G273" t="s">
        <v>48</v>
      </c>
      <c r="H273" t="s">
        <v>88</v>
      </c>
      <c r="I273" t="s">
        <v>29</v>
      </c>
      <c r="J273" t="s">
        <v>30</v>
      </c>
      <c r="K273" t="s">
        <v>245</v>
      </c>
      <c r="L273" t="s">
        <v>163</v>
      </c>
      <c r="M273" t="s">
        <v>1280</v>
      </c>
      <c r="N273" t="s">
        <v>1303</v>
      </c>
      <c r="O273" t="s">
        <v>1924</v>
      </c>
      <c r="P273" t="s">
        <v>618</v>
      </c>
      <c r="Q273" t="s">
        <v>433</v>
      </c>
      <c r="R273" t="s">
        <v>1925</v>
      </c>
      <c r="S273" t="s">
        <v>126</v>
      </c>
      <c r="T273" t="s">
        <v>74</v>
      </c>
      <c r="U273" t="s">
        <v>362</v>
      </c>
      <c r="V273" t="s">
        <v>58</v>
      </c>
    </row>
    <row r="274" spans="1:22" x14ac:dyDescent="0.3">
      <c r="A274" t="s">
        <v>1926</v>
      </c>
      <c r="B274" t="s">
        <v>520</v>
      </c>
      <c r="C274" t="s">
        <v>521</v>
      </c>
      <c r="D274" t="s">
        <v>831</v>
      </c>
      <c r="E274" t="s">
        <v>26</v>
      </c>
      <c r="F274" t="s">
        <v>26</v>
      </c>
      <c r="G274" t="s">
        <v>48</v>
      </c>
      <c r="I274" t="s">
        <v>29</v>
      </c>
      <c r="J274" t="s">
        <v>30</v>
      </c>
      <c r="K274" t="s">
        <v>215</v>
      </c>
      <c r="L274" t="s">
        <v>333</v>
      </c>
      <c r="M274" t="s">
        <v>1927</v>
      </c>
      <c r="N274" t="s">
        <v>583</v>
      </c>
      <c r="O274" t="s">
        <v>1280</v>
      </c>
      <c r="P274" t="s">
        <v>850</v>
      </c>
      <c r="Q274" t="s">
        <v>627</v>
      </c>
      <c r="R274" t="s">
        <v>1928</v>
      </c>
      <c r="S274" t="s">
        <v>58</v>
      </c>
      <c r="T274" t="s">
        <v>55</v>
      </c>
      <c r="U274" t="s">
        <v>508</v>
      </c>
      <c r="V274" t="s">
        <v>42</v>
      </c>
    </row>
    <row r="275" spans="1:22" x14ac:dyDescent="0.3">
      <c r="A275" t="s">
        <v>1929</v>
      </c>
      <c r="B275" t="s">
        <v>1093</v>
      </c>
      <c r="C275" t="s">
        <v>1094</v>
      </c>
      <c r="D275" t="s">
        <v>1930</v>
      </c>
      <c r="E275" t="s">
        <v>342</v>
      </c>
      <c r="F275" t="s">
        <v>244</v>
      </c>
      <c r="G275" t="s">
        <v>580</v>
      </c>
      <c r="H275" t="s">
        <v>229</v>
      </c>
      <c r="I275" t="s">
        <v>29</v>
      </c>
      <c r="J275" t="s">
        <v>30</v>
      </c>
      <c r="K275" t="s">
        <v>31</v>
      </c>
      <c r="L275" t="s">
        <v>333</v>
      </c>
      <c r="M275" t="s">
        <v>1449</v>
      </c>
      <c r="N275" t="s">
        <v>695</v>
      </c>
      <c r="O275" t="s">
        <v>609</v>
      </c>
      <c r="P275" t="s">
        <v>1931</v>
      </c>
      <c r="Q275" t="s">
        <v>335</v>
      </c>
      <c r="R275" t="s">
        <v>584</v>
      </c>
      <c r="S275" t="s">
        <v>58</v>
      </c>
      <c r="T275" t="s">
        <v>191</v>
      </c>
      <c r="U275" t="s">
        <v>867</v>
      </c>
      <c r="V275" t="s">
        <v>79</v>
      </c>
    </row>
    <row r="276" spans="1:22" x14ac:dyDescent="0.3">
      <c r="A276" t="s">
        <v>1932</v>
      </c>
      <c r="B276" t="s">
        <v>951</v>
      </c>
      <c r="C276" t="s">
        <v>952</v>
      </c>
      <c r="D276" t="s">
        <v>1933</v>
      </c>
      <c r="E276" t="s">
        <v>1321</v>
      </c>
      <c r="F276" t="s">
        <v>228</v>
      </c>
      <c r="G276" t="s">
        <v>27</v>
      </c>
      <c r="H276" t="s">
        <v>104</v>
      </c>
      <c r="I276" t="s">
        <v>69</v>
      </c>
      <c r="J276" t="s">
        <v>30</v>
      </c>
      <c r="K276" t="s">
        <v>245</v>
      </c>
      <c r="L276" t="s">
        <v>111</v>
      </c>
      <c r="M276" t="s">
        <v>52</v>
      </c>
      <c r="N276" t="s">
        <v>499</v>
      </c>
      <c r="O276" t="s">
        <v>180</v>
      </c>
      <c r="P276" t="s">
        <v>1112</v>
      </c>
      <c r="Q276" t="s">
        <v>695</v>
      </c>
      <c r="R276" t="s">
        <v>1934</v>
      </c>
      <c r="S276" t="s">
        <v>97</v>
      </c>
      <c r="T276" t="s">
        <v>59</v>
      </c>
      <c r="U276" t="s">
        <v>288</v>
      </c>
      <c r="V276" t="s">
        <v>114</v>
      </c>
    </row>
    <row r="277" spans="1:22" x14ac:dyDescent="0.3">
      <c r="A277" t="s">
        <v>1935</v>
      </c>
      <c r="B277" t="s">
        <v>716</v>
      </c>
      <c r="C277" t="s">
        <v>717</v>
      </c>
      <c r="D277" t="s">
        <v>1936</v>
      </c>
      <c r="E277" t="s">
        <v>399</v>
      </c>
      <c r="F277" t="s">
        <v>188</v>
      </c>
      <c r="G277" t="s">
        <v>118</v>
      </c>
      <c r="H277" t="s">
        <v>214</v>
      </c>
      <c r="I277" t="s">
        <v>29</v>
      </c>
      <c r="J277" t="s">
        <v>70</v>
      </c>
      <c r="K277" t="s">
        <v>245</v>
      </c>
      <c r="L277" t="s">
        <v>551</v>
      </c>
      <c r="M277" t="s">
        <v>1937</v>
      </c>
      <c r="N277" t="s">
        <v>150</v>
      </c>
      <c r="O277" t="s">
        <v>1449</v>
      </c>
      <c r="P277" t="s">
        <v>664</v>
      </c>
      <c r="Q277" t="s">
        <v>40</v>
      </c>
      <c r="R277" t="s">
        <v>1938</v>
      </c>
      <c r="S277" t="s">
        <v>39</v>
      </c>
      <c r="T277" t="s">
        <v>735</v>
      </c>
      <c r="U277" t="s">
        <v>300</v>
      </c>
      <c r="V277" t="s">
        <v>79</v>
      </c>
    </row>
    <row r="278" spans="1:22" x14ac:dyDescent="0.3">
      <c r="A278" t="s">
        <v>1939</v>
      </c>
      <c r="B278" t="s">
        <v>1373</v>
      </c>
      <c r="C278" t="s">
        <v>1374</v>
      </c>
      <c r="D278" t="s">
        <v>1940</v>
      </c>
      <c r="E278" t="s">
        <v>378</v>
      </c>
      <c r="F278" t="s">
        <v>282</v>
      </c>
      <c r="G278" t="s">
        <v>27</v>
      </c>
      <c r="H278" t="s">
        <v>88</v>
      </c>
      <c r="I278" t="s">
        <v>29</v>
      </c>
      <c r="J278" t="s">
        <v>30</v>
      </c>
      <c r="K278" t="s">
        <v>230</v>
      </c>
      <c r="L278" t="s">
        <v>333</v>
      </c>
      <c r="M278" t="s">
        <v>1941</v>
      </c>
      <c r="N278" t="s">
        <v>999</v>
      </c>
      <c r="O278" t="s">
        <v>1942</v>
      </c>
      <c r="P278" t="s">
        <v>1030</v>
      </c>
      <c r="Q278" t="s">
        <v>1063</v>
      </c>
      <c r="R278" t="s">
        <v>1943</v>
      </c>
      <c r="S278" t="s">
        <v>126</v>
      </c>
      <c r="T278" t="s">
        <v>208</v>
      </c>
      <c r="U278" t="s">
        <v>407</v>
      </c>
      <c r="V278" t="s">
        <v>42</v>
      </c>
    </row>
    <row r="279" spans="1:22" x14ac:dyDescent="0.3">
      <c r="A279" t="s">
        <v>1944</v>
      </c>
      <c r="B279" t="s">
        <v>1945</v>
      </c>
      <c r="C279" t="s">
        <v>1946</v>
      </c>
      <c r="D279" t="s">
        <v>758</v>
      </c>
      <c r="E279" t="s">
        <v>227</v>
      </c>
      <c r="F279" t="s">
        <v>228</v>
      </c>
      <c r="G279" t="s">
        <v>118</v>
      </c>
      <c r="H279" t="s">
        <v>28</v>
      </c>
      <c r="I279" t="s">
        <v>69</v>
      </c>
      <c r="J279" t="s">
        <v>30</v>
      </c>
      <c r="K279" t="s">
        <v>50</v>
      </c>
      <c r="L279" t="s">
        <v>487</v>
      </c>
      <c r="M279" t="s">
        <v>1689</v>
      </c>
      <c r="N279" t="s">
        <v>179</v>
      </c>
      <c r="O279" t="s">
        <v>1689</v>
      </c>
      <c r="P279" t="s">
        <v>76</v>
      </c>
      <c r="Q279" t="s">
        <v>677</v>
      </c>
      <c r="R279" t="s">
        <v>1947</v>
      </c>
      <c r="S279" t="s">
        <v>58</v>
      </c>
      <c r="T279" t="s">
        <v>440</v>
      </c>
      <c r="U279" t="s">
        <v>373</v>
      </c>
      <c r="V279" t="s">
        <v>114</v>
      </c>
    </row>
    <row r="280" spans="1:22" x14ac:dyDescent="0.3">
      <c r="A280" t="s">
        <v>1948</v>
      </c>
      <c r="B280" t="s">
        <v>1949</v>
      </c>
      <c r="C280" t="s">
        <v>1950</v>
      </c>
      <c r="D280" t="s">
        <v>1951</v>
      </c>
      <c r="E280" t="s">
        <v>161</v>
      </c>
      <c r="F280" t="s">
        <v>161</v>
      </c>
      <c r="G280" t="s">
        <v>48</v>
      </c>
      <c r="H280" t="s">
        <v>88</v>
      </c>
      <c r="I280" t="s">
        <v>69</v>
      </c>
      <c r="J280" t="s">
        <v>70</v>
      </c>
      <c r="K280" t="s">
        <v>71</v>
      </c>
      <c r="L280" t="s">
        <v>135</v>
      </c>
      <c r="M280" t="s">
        <v>1952</v>
      </c>
      <c r="N280" t="s">
        <v>782</v>
      </c>
      <c r="O280" t="s">
        <v>1953</v>
      </c>
      <c r="P280" t="s">
        <v>709</v>
      </c>
      <c r="Q280" t="s">
        <v>138</v>
      </c>
      <c r="R280" t="s">
        <v>1954</v>
      </c>
      <c r="S280" t="s">
        <v>97</v>
      </c>
      <c r="T280" t="s">
        <v>121</v>
      </c>
      <c r="U280" t="s">
        <v>349</v>
      </c>
      <c r="V280" t="s">
        <v>58</v>
      </c>
    </row>
    <row r="281" spans="1:22" x14ac:dyDescent="0.3">
      <c r="A281" t="s">
        <v>1955</v>
      </c>
      <c r="B281" t="s">
        <v>756</v>
      </c>
      <c r="C281" t="s">
        <v>757</v>
      </c>
      <c r="D281" t="s">
        <v>671</v>
      </c>
      <c r="E281" t="s">
        <v>133</v>
      </c>
      <c r="F281" t="s">
        <v>134</v>
      </c>
      <c r="G281" t="s">
        <v>103</v>
      </c>
      <c r="H281" t="s">
        <v>268</v>
      </c>
      <c r="I281" t="s">
        <v>69</v>
      </c>
      <c r="J281" t="s">
        <v>30</v>
      </c>
      <c r="K281" t="s">
        <v>200</v>
      </c>
      <c r="L281" t="s">
        <v>812</v>
      </c>
      <c r="M281" t="s">
        <v>1956</v>
      </c>
      <c r="N281" t="s">
        <v>602</v>
      </c>
      <c r="O281" t="s">
        <v>1957</v>
      </c>
      <c r="P281" t="s">
        <v>1958</v>
      </c>
      <c r="Q281" t="s">
        <v>1064</v>
      </c>
      <c r="R281" t="s">
        <v>866</v>
      </c>
      <c r="S281" t="s">
        <v>97</v>
      </c>
      <c r="T281" t="s">
        <v>966</v>
      </c>
      <c r="U281" t="s">
        <v>407</v>
      </c>
      <c r="V281" t="s">
        <v>42</v>
      </c>
    </row>
    <row r="282" spans="1:22" x14ac:dyDescent="0.3">
      <c r="A282" t="s">
        <v>1959</v>
      </c>
      <c r="B282" t="s">
        <v>1960</v>
      </c>
      <c r="C282" t="s">
        <v>1961</v>
      </c>
      <c r="D282" t="s">
        <v>512</v>
      </c>
      <c r="E282" t="s">
        <v>47</v>
      </c>
      <c r="F282" t="s">
        <v>26</v>
      </c>
      <c r="G282" t="s">
        <v>580</v>
      </c>
      <c r="H282" t="s">
        <v>104</v>
      </c>
      <c r="I282" t="s">
        <v>69</v>
      </c>
      <c r="J282" t="s">
        <v>30</v>
      </c>
      <c r="K282" t="s">
        <v>71</v>
      </c>
      <c r="L282" t="s">
        <v>1394</v>
      </c>
      <c r="M282" t="s">
        <v>52</v>
      </c>
      <c r="N282" t="s">
        <v>179</v>
      </c>
      <c r="O282" t="s">
        <v>52</v>
      </c>
      <c r="P282" t="s">
        <v>593</v>
      </c>
      <c r="Q282" t="s">
        <v>751</v>
      </c>
      <c r="R282" t="s">
        <v>1660</v>
      </c>
      <c r="S282" t="s">
        <v>126</v>
      </c>
      <c r="T282" t="s">
        <v>59</v>
      </c>
      <c r="U282" t="s">
        <v>423</v>
      </c>
      <c r="V282" t="s">
        <v>79</v>
      </c>
    </row>
    <row r="283" spans="1:22" x14ac:dyDescent="0.3">
      <c r="A283" t="s">
        <v>1962</v>
      </c>
      <c r="B283" t="s">
        <v>197</v>
      </c>
      <c r="C283" t="s">
        <v>198</v>
      </c>
      <c r="D283" t="s">
        <v>1963</v>
      </c>
      <c r="E283" t="s">
        <v>438</v>
      </c>
      <c r="F283" t="s">
        <v>188</v>
      </c>
      <c r="G283" t="s">
        <v>118</v>
      </c>
      <c r="H283" t="s">
        <v>214</v>
      </c>
      <c r="I283" t="s">
        <v>69</v>
      </c>
      <c r="J283" t="s">
        <v>30</v>
      </c>
      <c r="K283" t="s">
        <v>200</v>
      </c>
      <c r="L283" t="s">
        <v>551</v>
      </c>
      <c r="M283" t="s">
        <v>259</v>
      </c>
      <c r="N283" t="s">
        <v>179</v>
      </c>
      <c r="O283" t="s">
        <v>259</v>
      </c>
      <c r="P283" t="s">
        <v>1141</v>
      </c>
      <c r="Q283" t="s">
        <v>714</v>
      </c>
      <c r="R283" t="s">
        <v>1964</v>
      </c>
      <c r="S283" t="s">
        <v>182</v>
      </c>
      <c r="T283" t="s">
        <v>621</v>
      </c>
      <c r="U283" t="s">
        <v>362</v>
      </c>
      <c r="V283" t="s">
        <v>114</v>
      </c>
    </row>
    <row r="284" spans="1:22" x14ac:dyDescent="0.3">
      <c r="A284" t="s">
        <v>1965</v>
      </c>
      <c r="B284" t="s">
        <v>1399</v>
      </c>
      <c r="C284" t="s">
        <v>1400</v>
      </c>
      <c r="D284" t="s">
        <v>1966</v>
      </c>
      <c r="E284" t="s">
        <v>65</v>
      </c>
      <c r="F284" t="s">
        <v>66</v>
      </c>
      <c r="G284" t="s">
        <v>27</v>
      </c>
      <c r="H284" t="s">
        <v>1967</v>
      </c>
      <c r="I284" t="s">
        <v>69</v>
      </c>
      <c r="J284" t="s">
        <v>70</v>
      </c>
      <c r="K284" t="s">
        <v>89</v>
      </c>
      <c r="L284" t="s">
        <v>598</v>
      </c>
      <c r="M284" t="s">
        <v>1968</v>
      </c>
      <c r="N284" t="s">
        <v>326</v>
      </c>
      <c r="O284" t="s">
        <v>421</v>
      </c>
      <c r="P284" t="s">
        <v>1128</v>
      </c>
      <c r="Q284" t="s">
        <v>1969</v>
      </c>
      <c r="R284" t="s">
        <v>1970</v>
      </c>
      <c r="S284" t="s">
        <v>126</v>
      </c>
      <c r="T284" t="s">
        <v>604</v>
      </c>
      <c r="U284" t="s">
        <v>277</v>
      </c>
      <c r="V284" t="s">
        <v>42</v>
      </c>
    </row>
    <row r="285" spans="1:22" x14ac:dyDescent="0.3">
      <c r="A285" t="s">
        <v>1971</v>
      </c>
      <c r="B285" t="s">
        <v>1972</v>
      </c>
      <c r="C285" t="s">
        <v>1973</v>
      </c>
      <c r="D285" t="s">
        <v>1974</v>
      </c>
      <c r="E285" t="s">
        <v>1321</v>
      </c>
      <c r="F285" t="s">
        <v>228</v>
      </c>
      <c r="G285" t="s">
        <v>213</v>
      </c>
      <c r="H285" t="s">
        <v>28</v>
      </c>
      <c r="I285" t="s">
        <v>69</v>
      </c>
      <c r="J285" t="s">
        <v>30</v>
      </c>
      <c r="K285" t="s">
        <v>71</v>
      </c>
      <c r="L285" t="s">
        <v>294</v>
      </c>
      <c r="M285" t="s">
        <v>1773</v>
      </c>
      <c r="N285" t="s">
        <v>770</v>
      </c>
      <c r="O285" t="s">
        <v>733</v>
      </c>
      <c r="P285" t="s">
        <v>985</v>
      </c>
      <c r="Q285" t="s">
        <v>252</v>
      </c>
      <c r="R285" t="s">
        <v>1975</v>
      </c>
      <c r="S285" t="s">
        <v>58</v>
      </c>
      <c r="T285" t="s">
        <v>1013</v>
      </c>
      <c r="U285" t="s">
        <v>373</v>
      </c>
      <c r="V285" t="s">
        <v>114</v>
      </c>
    </row>
    <row r="286" spans="1:22" x14ac:dyDescent="0.3">
      <c r="A286" t="s">
        <v>1976</v>
      </c>
      <c r="B286" t="s">
        <v>1512</v>
      </c>
      <c r="C286" t="s">
        <v>1513</v>
      </c>
      <c r="D286" t="s">
        <v>1977</v>
      </c>
      <c r="E286" t="s">
        <v>780</v>
      </c>
      <c r="F286" t="s">
        <v>282</v>
      </c>
      <c r="G286" t="s">
        <v>67</v>
      </c>
      <c r="H286" t="s">
        <v>68</v>
      </c>
      <c r="I286" t="s">
        <v>69</v>
      </c>
      <c r="J286" t="s">
        <v>30</v>
      </c>
      <c r="K286" t="s">
        <v>71</v>
      </c>
      <c r="L286" t="s">
        <v>1049</v>
      </c>
      <c r="M286" t="s">
        <v>1978</v>
      </c>
      <c r="N286" t="s">
        <v>686</v>
      </c>
      <c r="O286" t="s">
        <v>1979</v>
      </c>
      <c r="P286" t="s">
        <v>850</v>
      </c>
      <c r="Q286" t="s">
        <v>1097</v>
      </c>
      <c r="R286" t="s">
        <v>1980</v>
      </c>
      <c r="S286" t="s">
        <v>79</v>
      </c>
      <c r="T286" t="s">
        <v>150</v>
      </c>
      <c r="U286" t="s">
        <v>867</v>
      </c>
      <c r="V286" t="s">
        <v>82</v>
      </c>
    </row>
    <row r="287" spans="1:22" x14ac:dyDescent="0.3">
      <c r="A287" t="s">
        <v>1981</v>
      </c>
      <c r="B287" t="s">
        <v>1007</v>
      </c>
      <c r="C287" t="s">
        <v>1008</v>
      </c>
      <c r="D287" t="s">
        <v>1370</v>
      </c>
      <c r="E287" t="s">
        <v>780</v>
      </c>
      <c r="F287" t="s">
        <v>282</v>
      </c>
      <c r="G287" t="s">
        <v>213</v>
      </c>
      <c r="H287" t="s">
        <v>49</v>
      </c>
      <c r="I287" t="s">
        <v>69</v>
      </c>
      <c r="J287" t="s">
        <v>257</v>
      </c>
      <c r="K287" t="s">
        <v>215</v>
      </c>
      <c r="L287" t="s">
        <v>561</v>
      </c>
      <c r="M287" t="s">
        <v>609</v>
      </c>
      <c r="N287" t="s">
        <v>1116</v>
      </c>
      <c r="O287" t="s">
        <v>1982</v>
      </c>
      <c r="P287" t="s">
        <v>792</v>
      </c>
      <c r="Q287" t="s">
        <v>1141</v>
      </c>
      <c r="R287" t="s">
        <v>1983</v>
      </c>
      <c r="S287" t="s">
        <v>58</v>
      </c>
      <c r="T287" t="s">
        <v>1224</v>
      </c>
      <c r="U287" t="s">
        <v>300</v>
      </c>
      <c r="V287" t="s">
        <v>58</v>
      </c>
    </row>
    <row r="288" spans="1:22" x14ac:dyDescent="0.3">
      <c r="A288" t="s">
        <v>1984</v>
      </c>
      <c r="B288" t="s">
        <v>890</v>
      </c>
      <c r="C288" t="s">
        <v>891</v>
      </c>
      <c r="D288" t="s">
        <v>1532</v>
      </c>
      <c r="E288" t="s">
        <v>780</v>
      </c>
      <c r="F288" t="s">
        <v>282</v>
      </c>
      <c r="G288" t="s">
        <v>580</v>
      </c>
      <c r="H288" t="s">
        <v>68</v>
      </c>
      <c r="I288" t="s">
        <v>69</v>
      </c>
      <c r="J288" t="s">
        <v>30</v>
      </c>
      <c r="K288" t="s">
        <v>245</v>
      </c>
      <c r="L288" t="s">
        <v>1037</v>
      </c>
      <c r="M288" t="s">
        <v>1705</v>
      </c>
      <c r="N288" t="s">
        <v>179</v>
      </c>
      <c r="O288" t="s">
        <v>1705</v>
      </c>
      <c r="P288" t="s">
        <v>359</v>
      </c>
      <c r="Q288" t="s">
        <v>1266</v>
      </c>
      <c r="R288" t="s">
        <v>1985</v>
      </c>
      <c r="S288" t="s">
        <v>39</v>
      </c>
      <c r="T288" t="s">
        <v>183</v>
      </c>
      <c r="U288" t="s">
        <v>288</v>
      </c>
      <c r="V288" t="s">
        <v>58</v>
      </c>
    </row>
    <row r="289" spans="1:22" x14ac:dyDescent="0.3">
      <c r="A289" t="s">
        <v>1986</v>
      </c>
      <c r="B289" t="s">
        <v>727</v>
      </c>
      <c r="C289" t="s">
        <v>728</v>
      </c>
      <c r="D289" t="s">
        <v>292</v>
      </c>
      <c r="E289" t="s">
        <v>342</v>
      </c>
      <c r="F289" t="s">
        <v>244</v>
      </c>
      <c r="G289" t="s">
        <v>67</v>
      </c>
      <c r="H289" t="s">
        <v>68</v>
      </c>
      <c r="I289" t="s">
        <v>69</v>
      </c>
      <c r="J289" t="s">
        <v>30</v>
      </c>
      <c r="K289" t="s">
        <v>230</v>
      </c>
      <c r="L289" t="s">
        <v>1987</v>
      </c>
      <c r="M289" t="s">
        <v>1988</v>
      </c>
      <c r="N289" t="s">
        <v>1303</v>
      </c>
      <c r="O289" t="s">
        <v>1989</v>
      </c>
      <c r="P289" t="s">
        <v>1990</v>
      </c>
      <c r="Q289" t="s">
        <v>692</v>
      </c>
      <c r="R289" t="s">
        <v>1991</v>
      </c>
      <c r="S289" t="s">
        <v>58</v>
      </c>
      <c r="T289" t="s">
        <v>121</v>
      </c>
      <c r="U289" t="s">
        <v>277</v>
      </c>
      <c r="V289" t="s">
        <v>58</v>
      </c>
    </row>
    <row r="290" spans="1:22" x14ac:dyDescent="0.3">
      <c r="A290" t="s">
        <v>1992</v>
      </c>
      <c r="B290" t="s">
        <v>1993</v>
      </c>
      <c r="C290" t="s">
        <v>1994</v>
      </c>
      <c r="D290" t="s">
        <v>1995</v>
      </c>
      <c r="E290" t="s">
        <v>780</v>
      </c>
      <c r="F290" t="s">
        <v>282</v>
      </c>
      <c r="G290" t="s">
        <v>118</v>
      </c>
      <c r="H290" t="s">
        <v>88</v>
      </c>
      <c r="I290" t="s">
        <v>69</v>
      </c>
      <c r="J290" t="s">
        <v>30</v>
      </c>
      <c r="K290" t="s">
        <v>89</v>
      </c>
      <c r="L290" t="s">
        <v>258</v>
      </c>
      <c r="M290" t="s">
        <v>1996</v>
      </c>
      <c r="N290" t="s">
        <v>384</v>
      </c>
      <c r="O290" t="s">
        <v>1248</v>
      </c>
      <c r="P290" t="s">
        <v>1997</v>
      </c>
      <c r="Q290" t="s">
        <v>1141</v>
      </c>
      <c r="R290" t="s">
        <v>1998</v>
      </c>
      <c r="S290" t="s">
        <v>97</v>
      </c>
      <c r="T290" t="s">
        <v>56</v>
      </c>
      <c r="U290" t="s">
        <v>537</v>
      </c>
      <c r="V290" t="s">
        <v>79</v>
      </c>
    </row>
    <row r="291" spans="1:22" x14ac:dyDescent="0.3">
      <c r="A291" t="s">
        <v>1999</v>
      </c>
      <c r="B291" t="s">
        <v>2000</v>
      </c>
      <c r="C291" t="s">
        <v>2001</v>
      </c>
      <c r="D291" t="s">
        <v>2002</v>
      </c>
      <c r="E291" t="s">
        <v>134</v>
      </c>
      <c r="F291" t="s">
        <v>134</v>
      </c>
      <c r="G291" t="s">
        <v>580</v>
      </c>
      <c r="H291" t="s">
        <v>268</v>
      </c>
      <c r="I291" t="s">
        <v>69</v>
      </c>
      <c r="J291" t="s">
        <v>30</v>
      </c>
      <c r="K291" t="s">
        <v>31</v>
      </c>
      <c r="L291" t="s">
        <v>333</v>
      </c>
      <c r="M291" t="s">
        <v>984</v>
      </c>
      <c r="N291" t="s">
        <v>179</v>
      </c>
      <c r="O291" t="s">
        <v>984</v>
      </c>
      <c r="P291" t="s">
        <v>959</v>
      </c>
      <c r="Q291" t="s">
        <v>55</v>
      </c>
      <c r="R291" t="s">
        <v>2003</v>
      </c>
      <c r="S291" t="s">
        <v>126</v>
      </c>
      <c r="T291" t="s">
        <v>461</v>
      </c>
      <c r="U291" t="s">
        <v>568</v>
      </c>
      <c r="V291" t="s">
        <v>42</v>
      </c>
    </row>
    <row r="292" spans="1:22" x14ac:dyDescent="0.3">
      <c r="A292" t="s">
        <v>2004</v>
      </c>
      <c r="B292" t="s">
        <v>2005</v>
      </c>
      <c r="C292" t="s">
        <v>2006</v>
      </c>
      <c r="D292" t="s">
        <v>2007</v>
      </c>
      <c r="E292" t="s">
        <v>378</v>
      </c>
      <c r="F292" t="s">
        <v>282</v>
      </c>
      <c r="G292" t="s">
        <v>118</v>
      </c>
      <c r="H292" t="s">
        <v>28</v>
      </c>
      <c r="I292" t="s">
        <v>29</v>
      </c>
      <c r="J292" t="s">
        <v>70</v>
      </c>
      <c r="K292" t="s">
        <v>31</v>
      </c>
      <c r="L292" t="s">
        <v>90</v>
      </c>
      <c r="M292" t="s">
        <v>977</v>
      </c>
      <c r="N292" t="s">
        <v>1162</v>
      </c>
      <c r="O292" t="s">
        <v>881</v>
      </c>
      <c r="P292" t="s">
        <v>286</v>
      </c>
      <c r="Q292" t="s">
        <v>121</v>
      </c>
      <c r="R292" t="s">
        <v>2008</v>
      </c>
      <c r="S292" t="s">
        <v>79</v>
      </c>
      <c r="T292" t="s">
        <v>170</v>
      </c>
      <c r="U292" t="s">
        <v>407</v>
      </c>
      <c r="V292" t="s">
        <v>58</v>
      </c>
    </row>
    <row r="293" spans="1:22" x14ac:dyDescent="0.3">
      <c r="A293" t="s">
        <v>2009</v>
      </c>
      <c r="B293" t="s">
        <v>2010</v>
      </c>
      <c r="C293" t="s">
        <v>2011</v>
      </c>
      <c r="D293" t="s">
        <v>2012</v>
      </c>
      <c r="E293" t="s">
        <v>634</v>
      </c>
      <c r="F293" t="s">
        <v>228</v>
      </c>
      <c r="G293" t="s">
        <v>67</v>
      </c>
      <c r="H293" t="s">
        <v>68</v>
      </c>
      <c r="I293" t="s">
        <v>69</v>
      </c>
      <c r="J293" t="s">
        <v>70</v>
      </c>
      <c r="K293" t="s">
        <v>31</v>
      </c>
      <c r="L293" t="s">
        <v>32</v>
      </c>
      <c r="M293" t="s">
        <v>91</v>
      </c>
      <c r="N293" t="s">
        <v>140</v>
      </c>
      <c r="O293" t="s">
        <v>194</v>
      </c>
      <c r="P293" t="s">
        <v>767</v>
      </c>
      <c r="Q293" t="s">
        <v>180</v>
      </c>
      <c r="R293" t="s">
        <v>2013</v>
      </c>
      <c r="S293" t="s">
        <v>126</v>
      </c>
      <c r="T293" t="s">
        <v>237</v>
      </c>
      <c r="U293" t="s">
        <v>373</v>
      </c>
      <c r="V293" t="s">
        <v>82</v>
      </c>
    </row>
    <row r="294" spans="1:22" x14ac:dyDescent="0.3">
      <c r="A294" t="s">
        <v>2014</v>
      </c>
      <c r="B294" t="s">
        <v>1697</v>
      </c>
      <c r="C294" t="s">
        <v>1698</v>
      </c>
      <c r="D294" t="s">
        <v>132</v>
      </c>
      <c r="E294" t="s">
        <v>267</v>
      </c>
      <c r="F294" t="s">
        <v>66</v>
      </c>
      <c r="G294" t="s">
        <v>27</v>
      </c>
      <c r="H294" t="s">
        <v>68</v>
      </c>
      <c r="I294" t="s">
        <v>69</v>
      </c>
      <c r="J294" t="s">
        <v>257</v>
      </c>
      <c r="K294" t="s">
        <v>50</v>
      </c>
      <c r="L294" t="s">
        <v>111</v>
      </c>
      <c r="M294" t="s">
        <v>664</v>
      </c>
      <c r="N294" t="s">
        <v>179</v>
      </c>
      <c r="O294" t="s">
        <v>664</v>
      </c>
      <c r="P294" t="s">
        <v>694</v>
      </c>
      <c r="Q294" t="s">
        <v>55</v>
      </c>
      <c r="R294" t="s">
        <v>2015</v>
      </c>
      <c r="S294" t="s">
        <v>58</v>
      </c>
      <c r="T294" t="s">
        <v>499</v>
      </c>
      <c r="U294" t="s">
        <v>362</v>
      </c>
      <c r="V294" t="s">
        <v>42</v>
      </c>
    </row>
    <row r="295" spans="1:22" x14ac:dyDescent="0.3">
      <c r="A295" t="s">
        <v>2016</v>
      </c>
      <c r="B295" t="s">
        <v>2017</v>
      </c>
      <c r="C295" t="s">
        <v>2018</v>
      </c>
      <c r="D295" t="s">
        <v>964</v>
      </c>
      <c r="E295" t="s">
        <v>267</v>
      </c>
      <c r="F295" t="s">
        <v>66</v>
      </c>
      <c r="G295" t="s">
        <v>118</v>
      </c>
      <c r="H295" t="s">
        <v>49</v>
      </c>
      <c r="I295" t="s">
        <v>69</v>
      </c>
      <c r="J295" t="s">
        <v>30</v>
      </c>
      <c r="K295" t="s">
        <v>71</v>
      </c>
      <c r="L295" t="s">
        <v>177</v>
      </c>
      <c r="M295" t="s">
        <v>1689</v>
      </c>
      <c r="N295" t="s">
        <v>121</v>
      </c>
      <c r="O295" t="s">
        <v>1383</v>
      </c>
      <c r="P295" t="s">
        <v>1028</v>
      </c>
      <c r="Q295" t="s">
        <v>276</v>
      </c>
      <c r="R295" t="s">
        <v>2019</v>
      </c>
      <c r="S295" t="s">
        <v>97</v>
      </c>
      <c r="T295" t="s">
        <v>440</v>
      </c>
      <c r="U295" t="s">
        <v>394</v>
      </c>
      <c r="V295" t="s">
        <v>79</v>
      </c>
    </row>
    <row r="296" spans="1:22" x14ac:dyDescent="0.3">
      <c r="A296" t="s">
        <v>2020</v>
      </c>
      <c r="B296" t="s">
        <v>2021</v>
      </c>
      <c r="C296" t="s">
        <v>2022</v>
      </c>
      <c r="D296" t="s">
        <v>2023</v>
      </c>
      <c r="E296" t="s">
        <v>780</v>
      </c>
      <c r="F296" t="s">
        <v>282</v>
      </c>
      <c r="G296" t="s">
        <v>580</v>
      </c>
      <c r="H296" t="s">
        <v>104</v>
      </c>
      <c r="I296" t="s">
        <v>29</v>
      </c>
      <c r="J296" t="s">
        <v>70</v>
      </c>
      <c r="K296" t="s">
        <v>230</v>
      </c>
      <c r="L296" t="s">
        <v>400</v>
      </c>
      <c r="M296" t="s">
        <v>759</v>
      </c>
      <c r="N296" t="s">
        <v>648</v>
      </c>
      <c r="O296" t="s">
        <v>2024</v>
      </c>
      <c r="P296" t="s">
        <v>760</v>
      </c>
      <c r="Q296" t="s">
        <v>276</v>
      </c>
      <c r="R296" t="s">
        <v>2025</v>
      </c>
      <c r="S296" t="s">
        <v>97</v>
      </c>
      <c r="T296" t="s">
        <v>168</v>
      </c>
      <c r="U296" t="s">
        <v>349</v>
      </c>
      <c r="V296" t="s">
        <v>42</v>
      </c>
    </row>
    <row r="297" spans="1:22" x14ac:dyDescent="0.3">
      <c r="A297" t="s">
        <v>2026</v>
      </c>
      <c r="B297" t="s">
        <v>302</v>
      </c>
      <c r="C297" t="s">
        <v>303</v>
      </c>
      <c r="D297" t="s">
        <v>2027</v>
      </c>
      <c r="E297" t="s">
        <v>161</v>
      </c>
      <c r="F297" t="s">
        <v>161</v>
      </c>
      <c r="G297" t="s">
        <v>118</v>
      </c>
      <c r="H297" t="s">
        <v>88</v>
      </c>
      <c r="I297" t="s">
        <v>69</v>
      </c>
      <c r="J297" t="s">
        <v>30</v>
      </c>
      <c r="K297" t="s">
        <v>215</v>
      </c>
      <c r="L297" t="s">
        <v>871</v>
      </c>
      <c r="M297" t="s">
        <v>358</v>
      </c>
      <c r="N297" t="s">
        <v>529</v>
      </c>
      <c r="O297" t="s">
        <v>1790</v>
      </c>
      <c r="P297" t="s">
        <v>1114</v>
      </c>
      <c r="Q297" t="s">
        <v>369</v>
      </c>
      <c r="R297" t="s">
        <v>2028</v>
      </c>
      <c r="S297" t="s">
        <v>97</v>
      </c>
      <c r="T297" t="s">
        <v>1162</v>
      </c>
      <c r="U297" t="s">
        <v>277</v>
      </c>
      <c r="V297" t="s">
        <v>42</v>
      </c>
    </row>
    <row r="298" spans="1:22" x14ac:dyDescent="0.3">
      <c r="A298" t="s">
        <v>2029</v>
      </c>
      <c r="B298" t="s">
        <v>1512</v>
      </c>
      <c r="C298" t="s">
        <v>1513</v>
      </c>
      <c r="D298" t="s">
        <v>2030</v>
      </c>
      <c r="E298" t="s">
        <v>378</v>
      </c>
      <c r="F298" t="s">
        <v>282</v>
      </c>
      <c r="G298" t="s">
        <v>48</v>
      </c>
      <c r="H298" t="s">
        <v>49</v>
      </c>
      <c r="I298" t="s">
        <v>69</v>
      </c>
      <c r="J298" t="s">
        <v>162</v>
      </c>
      <c r="K298" t="s">
        <v>215</v>
      </c>
      <c r="L298" t="s">
        <v>1987</v>
      </c>
      <c r="M298" t="s">
        <v>1433</v>
      </c>
      <c r="N298" t="s">
        <v>137</v>
      </c>
      <c r="O298" t="s">
        <v>544</v>
      </c>
      <c r="P298" t="s">
        <v>1430</v>
      </c>
      <c r="Q298" t="s">
        <v>621</v>
      </c>
      <c r="R298" t="s">
        <v>2031</v>
      </c>
      <c r="S298" t="s">
        <v>58</v>
      </c>
      <c r="T298" t="s">
        <v>499</v>
      </c>
      <c r="U298" t="s">
        <v>349</v>
      </c>
      <c r="V298" t="s">
        <v>114</v>
      </c>
    </row>
    <row r="299" spans="1:22" x14ac:dyDescent="0.3">
      <c r="A299" t="s">
        <v>2032</v>
      </c>
      <c r="B299" t="s">
        <v>157</v>
      </c>
      <c r="C299" t="s">
        <v>158</v>
      </c>
      <c r="D299" t="s">
        <v>878</v>
      </c>
      <c r="E299" t="s">
        <v>378</v>
      </c>
      <c r="F299" t="s">
        <v>282</v>
      </c>
      <c r="G299" t="s">
        <v>213</v>
      </c>
      <c r="H299" t="s">
        <v>214</v>
      </c>
      <c r="I299" t="s">
        <v>29</v>
      </c>
      <c r="J299" t="s">
        <v>30</v>
      </c>
      <c r="K299" t="s">
        <v>230</v>
      </c>
      <c r="L299" t="s">
        <v>927</v>
      </c>
      <c r="M299" t="s">
        <v>1011</v>
      </c>
      <c r="N299" t="s">
        <v>170</v>
      </c>
      <c r="O299" t="s">
        <v>1266</v>
      </c>
      <c r="P299" t="s">
        <v>54</v>
      </c>
      <c r="Q299" t="s">
        <v>191</v>
      </c>
      <c r="R299" t="s">
        <v>2033</v>
      </c>
      <c r="S299" t="s">
        <v>126</v>
      </c>
      <c r="T299" t="s">
        <v>1162</v>
      </c>
      <c r="U299" t="s">
        <v>155</v>
      </c>
      <c r="V299" t="s">
        <v>42</v>
      </c>
    </row>
    <row r="300" spans="1:22" x14ac:dyDescent="0.3">
      <c r="A300" t="s">
        <v>2034</v>
      </c>
      <c r="B300" t="s">
        <v>1093</v>
      </c>
      <c r="C300" t="s">
        <v>1094</v>
      </c>
      <c r="D300" t="s">
        <v>2035</v>
      </c>
      <c r="E300" t="s">
        <v>342</v>
      </c>
      <c r="F300" t="s">
        <v>244</v>
      </c>
      <c r="G300" t="s">
        <v>580</v>
      </c>
      <c r="H300" t="s">
        <v>214</v>
      </c>
      <c r="I300" t="s">
        <v>29</v>
      </c>
      <c r="J300" t="s">
        <v>30</v>
      </c>
      <c r="K300" t="s">
        <v>245</v>
      </c>
      <c r="L300" t="s">
        <v>682</v>
      </c>
      <c r="M300" t="s">
        <v>2036</v>
      </c>
      <c r="N300" t="s">
        <v>2037</v>
      </c>
      <c r="O300" t="s">
        <v>120</v>
      </c>
      <c r="P300" t="s">
        <v>2038</v>
      </c>
      <c r="Q300" t="s">
        <v>593</v>
      </c>
      <c r="R300" t="s">
        <v>2039</v>
      </c>
      <c r="S300" t="s">
        <v>39</v>
      </c>
      <c r="T300" t="s">
        <v>326</v>
      </c>
      <c r="U300" t="s">
        <v>362</v>
      </c>
      <c r="V300" t="s">
        <v>79</v>
      </c>
    </row>
    <row r="301" spans="1:22" x14ac:dyDescent="0.3">
      <c r="A301" t="s">
        <v>2040</v>
      </c>
      <c r="B301" t="s">
        <v>845</v>
      </c>
      <c r="C301" t="s">
        <v>846</v>
      </c>
      <c r="D301" t="s">
        <v>2041</v>
      </c>
      <c r="E301" t="s">
        <v>417</v>
      </c>
      <c r="F301" t="s">
        <v>134</v>
      </c>
      <c r="G301" t="s">
        <v>27</v>
      </c>
      <c r="H301" t="s">
        <v>229</v>
      </c>
      <c r="I301" t="s">
        <v>69</v>
      </c>
      <c r="J301" t="s">
        <v>30</v>
      </c>
      <c r="K301" t="s">
        <v>230</v>
      </c>
      <c r="L301" t="s">
        <v>1503</v>
      </c>
      <c r="M301" t="s">
        <v>2042</v>
      </c>
      <c r="N301" t="s">
        <v>1509</v>
      </c>
      <c r="O301" t="s">
        <v>2043</v>
      </c>
      <c r="P301" t="s">
        <v>2044</v>
      </c>
      <c r="Q301" t="s">
        <v>391</v>
      </c>
      <c r="R301" t="s">
        <v>2045</v>
      </c>
      <c r="S301" t="s">
        <v>126</v>
      </c>
      <c r="T301" t="s">
        <v>319</v>
      </c>
      <c r="U301" t="s">
        <v>423</v>
      </c>
      <c r="V301" t="s">
        <v>42</v>
      </c>
    </row>
    <row r="302" spans="1:22" x14ac:dyDescent="0.3">
      <c r="A302" t="s">
        <v>2046</v>
      </c>
      <c r="B302" t="s">
        <v>2047</v>
      </c>
      <c r="C302" t="s">
        <v>2048</v>
      </c>
      <c r="D302" t="s">
        <v>2049</v>
      </c>
      <c r="E302" t="s">
        <v>438</v>
      </c>
      <c r="F302" t="s">
        <v>188</v>
      </c>
      <c r="G302" t="s">
        <v>103</v>
      </c>
      <c r="H302" t="s">
        <v>28</v>
      </c>
      <c r="I302" t="s">
        <v>69</v>
      </c>
      <c r="J302" t="s">
        <v>30</v>
      </c>
      <c r="K302" t="s">
        <v>71</v>
      </c>
      <c r="L302" t="s">
        <v>1049</v>
      </c>
      <c r="M302" t="s">
        <v>205</v>
      </c>
      <c r="N302" t="s">
        <v>677</v>
      </c>
      <c r="O302" t="s">
        <v>636</v>
      </c>
      <c r="P302" t="s">
        <v>1383</v>
      </c>
      <c r="Q302" t="s">
        <v>1222</v>
      </c>
      <c r="R302" t="s">
        <v>2050</v>
      </c>
      <c r="S302" t="s">
        <v>97</v>
      </c>
      <c r="T302" t="s">
        <v>237</v>
      </c>
      <c r="U302" t="s">
        <v>171</v>
      </c>
      <c r="V302" t="s">
        <v>42</v>
      </c>
    </row>
    <row r="303" spans="1:22" x14ac:dyDescent="0.3">
      <c r="A303" t="s">
        <v>2051</v>
      </c>
      <c r="B303" t="s">
        <v>2052</v>
      </c>
      <c r="C303" t="s">
        <v>2053</v>
      </c>
      <c r="D303" t="s">
        <v>2054</v>
      </c>
      <c r="E303" t="s">
        <v>47</v>
      </c>
      <c r="F303" t="s">
        <v>26</v>
      </c>
      <c r="G303" t="s">
        <v>580</v>
      </c>
      <c r="H303" t="s">
        <v>88</v>
      </c>
      <c r="I303" t="s">
        <v>29</v>
      </c>
      <c r="J303" t="s">
        <v>30</v>
      </c>
      <c r="K303" t="s">
        <v>245</v>
      </c>
      <c r="L303" t="s">
        <v>773</v>
      </c>
      <c r="M303" t="s">
        <v>880</v>
      </c>
      <c r="N303" t="s">
        <v>179</v>
      </c>
      <c r="O303" t="s">
        <v>880</v>
      </c>
      <c r="P303" t="s">
        <v>1539</v>
      </c>
      <c r="Q303" t="s">
        <v>600</v>
      </c>
      <c r="R303" t="s">
        <v>2055</v>
      </c>
      <c r="S303" t="s">
        <v>39</v>
      </c>
      <c r="T303" t="s">
        <v>1013</v>
      </c>
      <c r="U303" t="s">
        <v>300</v>
      </c>
      <c r="V303" t="s">
        <v>82</v>
      </c>
    </row>
    <row r="304" spans="1:22" x14ac:dyDescent="0.3">
      <c r="A304" t="s">
        <v>2056</v>
      </c>
      <c r="B304" t="s">
        <v>2057</v>
      </c>
      <c r="C304" t="s">
        <v>2058</v>
      </c>
      <c r="D304" t="s">
        <v>1974</v>
      </c>
      <c r="E304" t="s">
        <v>47</v>
      </c>
      <c r="F304" t="s">
        <v>26</v>
      </c>
      <c r="G304" t="s">
        <v>48</v>
      </c>
      <c r="H304" t="s">
        <v>104</v>
      </c>
      <c r="I304" t="s">
        <v>69</v>
      </c>
      <c r="J304" t="s">
        <v>30</v>
      </c>
      <c r="K304" t="s">
        <v>71</v>
      </c>
      <c r="L304" t="s">
        <v>32</v>
      </c>
      <c r="M304" t="s">
        <v>784</v>
      </c>
      <c r="N304" t="s">
        <v>59</v>
      </c>
      <c r="O304" t="s">
        <v>235</v>
      </c>
      <c r="P304" t="s">
        <v>768</v>
      </c>
      <c r="Q304" t="s">
        <v>655</v>
      </c>
      <c r="R304" t="s">
        <v>2059</v>
      </c>
      <c r="S304" t="s">
        <v>97</v>
      </c>
      <c r="T304" t="s">
        <v>165</v>
      </c>
      <c r="U304" t="s">
        <v>41</v>
      </c>
      <c r="V304" t="s">
        <v>42</v>
      </c>
    </row>
    <row r="305" spans="1:22" x14ac:dyDescent="0.3">
      <c r="A305" t="s">
        <v>2060</v>
      </c>
      <c r="B305" t="s">
        <v>1787</v>
      </c>
      <c r="C305" t="s">
        <v>1788</v>
      </c>
      <c r="D305" t="s">
        <v>1191</v>
      </c>
      <c r="E305" t="s">
        <v>47</v>
      </c>
      <c r="F305" t="s">
        <v>26</v>
      </c>
      <c r="G305" t="s">
        <v>213</v>
      </c>
      <c r="H305" t="s">
        <v>104</v>
      </c>
      <c r="I305" t="s">
        <v>29</v>
      </c>
      <c r="J305" t="s">
        <v>30</v>
      </c>
      <c r="K305" t="s">
        <v>230</v>
      </c>
      <c r="L305" t="s">
        <v>105</v>
      </c>
      <c r="M305" t="s">
        <v>2061</v>
      </c>
      <c r="N305" t="s">
        <v>602</v>
      </c>
      <c r="O305" t="s">
        <v>526</v>
      </c>
      <c r="P305" t="s">
        <v>685</v>
      </c>
      <c r="Q305" t="s">
        <v>1665</v>
      </c>
      <c r="R305" t="s">
        <v>2062</v>
      </c>
      <c r="S305" t="s">
        <v>182</v>
      </c>
      <c r="T305" t="s">
        <v>583</v>
      </c>
      <c r="U305" t="s">
        <v>362</v>
      </c>
      <c r="V305" t="s">
        <v>58</v>
      </c>
    </row>
    <row r="306" spans="1:22" x14ac:dyDescent="0.3">
      <c r="A306" t="s">
        <v>2063</v>
      </c>
      <c r="B306" t="s">
        <v>2064</v>
      </c>
      <c r="C306" t="s">
        <v>2065</v>
      </c>
      <c r="D306" t="s">
        <v>2066</v>
      </c>
      <c r="E306" t="s">
        <v>342</v>
      </c>
      <c r="F306" t="s">
        <v>244</v>
      </c>
      <c r="G306" t="s">
        <v>213</v>
      </c>
      <c r="H306" t="s">
        <v>28</v>
      </c>
      <c r="I306" t="s">
        <v>69</v>
      </c>
      <c r="J306" t="s">
        <v>30</v>
      </c>
      <c r="K306" t="s">
        <v>71</v>
      </c>
      <c r="L306" t="s">
        <v>269</v>
      </c>
      <c r="M306" t="s">
        <v>2067</v>
      </c>
      <c r="N306" t="s">
        <v>127</v>
      </c>
      <c r="O306" t="s">
        <v>1927</v>
      </c>
      <c r="P306" t="s">
        <v>402</v>
      </c>
      <c r="Q306" t="s">
        <v>567</v>
      </c>
      <c r="R306" t="s">
        <v>2068</v>
      </c>
      <c r="S306" t="s">
        <v>182</v>
      </c>
      <c r="T306" t="s">
        <v>150</v>
      </c>
      <c r="U306" t="s">
        <v>349</v>
      </c>
      <c r="V306" t="s">
        <v>79</v>
      </c>
    </row>
    <row r="307" spans="1:22" x14ac:dyDescent="0.3">
      <c r="A307" t="s">
        <v>2069</v>
      </c>
      <c r="B307" t="s">
        <v>2070</v>
      </c>
      <c r="C307" t="s">
        <v>2071</v>
      </c>
      <c r="D307" t="s">
        <v>2072</v>
      </c>
      <c r="E307" t="s">
        <v>354</v>
      </c>
      <c r="F307" t="s">
        <v>134</v>
      </c>
      <c r="G307" t="s">
        <v>118</v>
      </c>
      <c r="H307" t="s">
        <v>28</v>
      </c>
      <c r="I307" t="s">
        <v>29</v>
      </c>
      <c r="J307" t="s">
        <v>70</v>
      </c>
      <c r="K307" t="s">
        <v>71</v>
      </c>
      <c r="L307" t="s">
        <v>691</v>
      </c>
      <c r="M307" t="s">
        <v>73</v>
      </c>
      <c r="N307" t="s">
        <v>655</v>
      </c>
      <c r="O307" t="s">
        <v>479</v>
      </c>
      <c r="P307" t="s">
        <v>2073</v>
      </c>
      <c r="Q307" t="s">
        <v>724</v>
      </c>
      <c r="R307" t="s">
        <v>2074</v>
      </c>
      <c r="S307" t="s">
        <v>126</v>
      </c>
      <c r="T307" t="s">
        <v>448</v>
      </c>
      <c r="V307" t="s">
        <v>114</v>
      </c>
    </row>
    <row r="308" spans="1:22" x14ac:dyDescent="0.3">
      <c r="A308" t="s">
        <v>2075</v>
      </c>
      <c r="B308" t="s">
        <v>1733</v>
      </c>
      <c r="C308" t="s">
        <v>1734</v>
      </c>
      <c r="D308" t="s">
        <v>2076</v>
      </c>
      <c r="E308" t="s">
        <v>417</v>
      </c>
      <c r="F308" t="s">
        <v>134</v>
      </c>
      <c r="G308" t="s">
        <v>147</v>
      </c>
      <c r="H308" t="s">
        <v>268</v>
      </c>
      <c r="I308" t="s">
        <v>29</v>
      </c>
      <c r="J308" t="s">
        <v>30</v>
      </c>
      <c r="K308" t="s">
        <v>89</v>
      </c>
      <c r="L308" t="s">
        <v>72</v>
      </c>
      <c r="M308" t="s">
        <v>2077</v>
      </c>
      <c r="N308" t="s">
        <v>499</v>
      </c>
      <c r="O308" t="s">
        <v>124</v>
      </c>
      <c r="P308" t="s">
        <v>344</v>
      </c>
      <c r="Q308" t="s">
        <v>710</v>
      </c>
      <c r="R308" t="s">
        <v>2078</v>
      </c>
      <c r="S308" t="s">
        <v>79</v>
      </c>
      <c r="T308" t="s">
        <v>1230</v>
      </c>
      <c r="U308" t="s">
        <v>537</v>
      </c>
      <c r="V308" t="s">
        <v>58</v>
      </c>
    </row>
    <row r="309" spans="1:22" x14ac:dyDescent="0.3">
      <c r="A309" t="s">
        <v>2079</v>
      </c>
      <c r="B309" t="s">
        <v>2080</v>
      </c>
      <c r="C309" t="s">
        <v>2081</v>
      </c>
      <c r="D309" t="s">
        <v>2082</v>
      </c>
      <c r="E309" t="s">
        <v>133</v>
      </c>
      <c r="F309" t="s">
        <v>134</v>
      </c>
      <c r="G309" t="s">
        <v>580</v>
      </c>
      <c r="H309" t="s">
        <v>28</v>
      </c>
      <c r="I309" t="s">
        <v>69</v>
      </c>
      <c r="J309" t="s">
        <v>70</v>
      </c>
      <c r="K309" t="s">
        <v>230</v>
      </c>
      <c r="L309" t="s">
        <v>362</v>
      </c>
      <c r="M309" t="s">
        <v>2083</v>
      </c>
      <c r="N309" t="s">
        <v>179</v>
      </c>
      <c r="O309" t="s">
        <v>2083</v>
      </c>
      <c r="P309" t="s">
        <v>984</v>
      </c>
      <c r="Q309" t="s">
        <v>334</v>
      </c>
      <c r="R309" t="s">
        <v>2084</v>
      </c>
      <c r="S309" t="s">
        <v>39</v>
      </c>
      <c r="T309" t="s">
        <v>695</v>
      </c>
      <c r="U309" t="s">
        <v>362</v>
      </c>
      <c r="V309" t="s">
        <v>114</v>
      </c>
    </row>
    <row r="310" spans="1:22" x14ac:dyDescent="0.3">
      <c r="A310" t="s">
        <v>2085</v>
      </c>
      <c r="B310" t="s">
        <v>615</v>
      </c>
      <c r="C310" t="s">
        <v>616</v>
      </c>
      <c r="D310" t="s">
        <v>847</v>
      </c>
      <c r="E310" t="s">
        <v>282</v>
      </c>
      <c r="F310" t="s">
        <v>282</v>
      </c>
      <c r="G310" t="s">
        <v>118</v>
      </c>
      <c r="H310" t="s">
        <v>229</v>
      </c>
      <c r="I310" t="s">
        <v>69</v>
      </c>
      <c r="J310" t="s">
        <v>30</v>
      </c>
      <c r="K310" t="s">
        <v>89</v>
      </c>
      <c r="L310" t="s">
        <v>428</v>
      </c>
      <c r="M310" t="s">
        <v>2086</v>
      </c>
      <c r="N310" t="s">
        <v>179</v>
      </c>
      <c r="O310" t="s">
        <v>2086</v>
      </c>
      <c r="P310" t="s">
        <v>1260</v>
      </c>
      <c r="Q310" t="s">
        <v>237</v>
      </c>
      <c r="R310" t="s">
        <v>2087</v>
      </c>
      <c r="S310" t="s">
        <v>79</v>
      </c>
      <c r="T310" t="s">
        <v>137</v>
      </c>
      <c r="U310" t="s">
        <v>41</v>
      </c>
      <c r="V310" t="s">
        <v>79</v>
      </c>
    </row>
    <row r="311" spans="1:22" x14ac:dyDescent="0.3">
      <c r="A311" t="s">
        <v>2088</v>
      </c>
      <c r="B311" t="s">
        <v>2089</v>
      </c>
      <c r="C311" t="s">
        <v>2090</v>
      </c>
      <c r="D311" t="s">
        <v>2091</v>
      </c>
      <c r="E311" t="s">
        <v>176</v>
      </c>
      <c r="F311" t="s">
        <v>161</v>
      </c>
      <c r="G311" t="s">
        <v>147</v>
      </c>
      <c r="H311" t="s">
        <v>104</v>
      </c>
      <c r="I311" t="s">
        <v>69</v>
      </c>
      <c r="J311" t="s">
        <v>70</v>
      </c>
      <c r="K311" t="s">
        <v>71</v>
      </c>
      <c r="L311" t="s">
        <v>246</v>
      </c>
      <c r="M311" t="s">
        <v>562</v>
      </c>
      <c r="N311" t="s">
        <v>127</v>
      </c>
      <c r="O311" t="s">
        <v>1198</v>
      </c>
      <c r="P311" t="s">
        <v>842</v>
      </c>
      <c r="Q311" t="s">
        <v>881</v>
      </c>
      <c r="R311" t="s">
        <v>2092</v>
      </c>
      <c r="S311" t="s">
        <v>39</v>
      </c>
      <c r="T311" t="s">
        <v>40</v>
      </c>
      <c r="U311" t="s">
        <v>98</v>
      </c>
      <c r="V311" t="s">
        <v>82</v>
      </c>
    </row>
    <row r="312" spans="1:22" x14ac:dyDescent="0.3">
      <c r="A312" t="s">
        <v>2093</v>
      </c>
      <c r="B312" t="s">
        <v>1298</v>
      </c>
      <c r="C312" t="s">
        <v>1299</v>
      </c>
      <c r="D312" t="s">
        <v>1182</v>
      </c>
      <c r="E312" t="s">
        <v>354</v>
      </c>
      <c r="F312" t="s">
        <v>134</v>
      </c>
      <c r="G312" t="s">
        <v>48</v>
      </c>
      <c r="H312" t="s">
        <v>28</v>
      </c>
      <c r="I312" t="s">
        <v>29</v>
      </c>
      <c r="J312" t="s">
        <v>30</v>
      </c>
      <c r="K312" t="s">
        <v>200</v>
      </c>
      <c r="L312" t="s">
        <v>1139</v>
      </c>
      <c r="M312" t="s">
        <v>2094</v>
      </c>
      <c r="N312" t="s">
        <v>677</v>
      </c>
      <c r="O312" t="s">
        <v>2095</v>
      </c>
      <c r="P312" t="s">
        <v>317</v>
      </c>
      <c r="Q312" t="s">
        <v>2096</v>
      </c>
      <c r="R312" t="s">
        <v>2097</v>
      </c>
      <c r="S312" t="s">
        <v>39</v>
      </c>
      <c r="T312" t="s">
        <v>328</v>
      </c>
      <c r="U312" t="s">
        <v>171</v>
      </c>
      <c r="V312" t="s">
        <v>58</v>
      </c>
    </row>
    <row r="313" spans="1:22" x14ac:dyDescent="0.3">
      <c r="A313" t="s">
        <v>2098</v>
      </c>
      <c r="B313" t="s">
        <v>2099</v>
      </c>
      <c r="C313" t="s">
        <v>2100</v>
      </c>
      <c r="D313" t="s">
        <v>2101</v>
      </c>
      <c r="E313" t="s">
        <v>227</v>
      </c>
      <c r="F313" t="s">
        <v>228</v>
      </c>
      <c r="G313" t="s">
        <v>213</v>
      </c>
      <c r="H313" t="s">
        <v>229</v>
      </c>
      <c r="I313" t="s">
        <v>29</v>
      </c>
      <c r="J313" t="s">
        <v>30</v>
      </c>
      <c r="K313" t="s">
        <v>230</v>
      </c>
      <c r="L313" t="s">
        <v>658</v>
      </c>
      <c r="M313" t="s">
        <v>977</v>
      </c>
      <c r="N313" t="s">
        <v>179</v>
      </c>
      <c r="O313" t="s">
        <v>977</v>
      </c>
      <c r="P313" t="s">
        <v>344</v>
      </c>
      <c r="Q313" t="s">
        <v>751</v>
      </c>
      <c r="R313" t="s">
        <v>2102</v>
      </c>
      <c r="S313" t="s">
        <v>58</v>
      </c>
      <c r="T313" t="s">
        <v>321</v>
      </c>
      <c r="U313" t="s">
        <v>128</v>
      </c>
      <c r="V313" t="s">
        <v>58</v>
      </c>
    </row>
    <row r="314" spans="1:22" x14ac:dyDescent="0.3">
      <c r="A314" t="s">
        <v>2103</v>
      </c>
      <c r="B314" t="s">
        <v>2104</v>
      </c>
      <c r="C314" t="s">
        <v>2105</v>
      </c>
      <c r="D314" t="s">
        <v>2106</v>
      </c>
      <c r="E314" t="s">
        <v>47</v>
      </c>
      <c r="F314" t="s">
        <v>26</v>
      </c>
      <c r="G314" t="s">
        <v>147</v>
      </c>
      <c r="H314" t="s">
        <v>49</v>
      </c>
      <c r="I314" t="s">
        <v>29</v>
      </c>
      <c r="J314" t="s">
        <v>70</v>
      </c>
      <c r="K314" t="s">
        <v>200</v>
      </c>
      <c r="L314" t="s">
        <v>871</v>
      </c>
      <c r="M314" t="s">
        <v>1777</v>
      </c>
      <c r="N314" t="s">
        <v>55</v>
      </c>
      <c r="O314" t="s">
        <v>2107</v>
      </c>
      <c r="P314" t="s">
        <v>2108</v>
      </c>
      <c r="Q314" t="s">
        <v>751</v>
      </c>
      <c r="R314" t="s">
        <v>2109</v>
      </c>
      <c r="S314" t="s">
        <v>39</v>
      </c>
      <c r="T314" t="s">
        <v>170</v>
      </c>
      <c r="U314" t="s">
        <v>385</v>
      </c>
      <c r="V314" t="s">
        <v>79</v>
      </c>
    </row>
    <row r="315" spans="1:22" x14ac:dyDescent="0.3">
      <c r="A315" t="s">
        <v>2110</v>
      </c>
      <c r="B315" t="s">
        <v>1101</v>
      </c>
      <c r="C315" t="s">
        <v>1102</v>
      </c>
      <c r="D315" t="s">
        <v>2111</v>
      </c>
      <c r="E315" t="s">
        <v>47</v>
      </c>
      <c r="F315" t="s">
        <v>26</v>
      </c>
      <c r="G315" t="s">
        <v>27</v>
      </c>
      <c r="H315" t="s">
        <v>88</v>
      </c>
      <c r="I315" t="s">
        <v>69</v>
      </c>
      <c r="J315" t="s">
        <v>30</v>
      </c>
      <c r="K315" t="s">
        <v>293</v>
      </c>
      <c r="L315" t="s">
        <v>105</v>
      </c>
      <c r="M315" t="s">
        <v>913</v>
      </c>
      <c r="N315" t="s">
        <v>179</v>
      </c>
      <c r="O315" t="s">
        <v>913</v>
      </c>
      <c r="P315" t="s">
        <v>497</v>
      </c>
      <c r="Q315" t="s">
        <v>2112</v>
      </c>
      <c r="R315" t="s">
        <v>2113</v>
      </c>
      <c r="S315" t="s">
        <v>97</v>
      </c>
      <c r="T315" t="s">
        <v>55</v>
      </c>
      <c r="U315" t="s">
        <v>537</v>
      </c>
      <c r="V315" t="s">
        <v>114</v>
      </c>
    </row>
    <row r="316" spans="1:22" x14ac:dyDescent="0.3">
      <c r="A316" t="s">
        <v>2114</v>
      </c>
      <c r="B316" t="s">
        <v>1587</v>
      </c>
      <c r="C316" t="s">
        <v>1588</v>
      </c>
      <c r="D316" t="s">
        <v>1036</v>
      </c>
      <c r="E316" t="s">
        <v>243</v>
      </c>
      <c r="F316" t="s">
        <v>244</v>
      </c>
      <c r="G316" t="s">
        <v>213</v>
      </c>
      <c r="H316" t="s">
        <v>229</v>
      </c>
      <c r="I316" t="s">
        <v>29</v>
      </c>
      <c r="J316" t="s">
        <v>30</v>
      </c>
      <c r="K316" t="s">
        <v>215</v>
      </c>
      <c r="L316" t="s">
        <v>148</v>
      </c>
      <c r="M316" t="s">
        <v>357</v>
      </c>
      <c r="N316" t="s">
        <v>179</v>
      </c>
      <c r="O316" t="s">
        <v>357</v>
      </c>
      <c r="P316" t="s">
        <v>998</v>
      </c>
      <c r="Q316" t="s">
        <v>774</v>
      </c>
      <c r="R316" t="s">
        <v>2115</v>
      </c>
      <c r="S316" t="s">
        <v>79</v>
      </c>
      <c r="T316" t="s">
        <v>440</v>
      </c>
      <c r="U316" t="s">
        <v>407</v>
      </c>
      <c r="V316" t="s">
        <v>82</v>
      </c>
    </row>
    <row r="317" spans="1:22" x14ac:dyDescent="0.3">
      <c r="A317" t="s">
        <v>2116</v>
      </c>
      <c r="B317" t="s">
        <v>2117</v>
      </c>
      <c r="C317" t="s">
        <v>2118</v>
      </c>
      <c r="D317" t="s">
        <v>2119</v>
      </c>
      <c r="E317" t="s">
        <v>87</v>
      </c>
      <c r="F317" t="s">
        <v>26</v>
      </c>
      <c r="G317" t="s">
        <v>27</v>
      </c>
      <c r="H317" t="s">
        <v>268</v>
      </c>
      <c r="I317" t="s">
        <v>69</v>
      </c>
      <c r="J317" t="s">
        <v>70</v>
      </c>
      <c r="K317" t="s">
        <v>215</v>
      </c>
      <c r="L317" t="s">
        <v>974</v>
      </c>
      <c r="M317" t="s">
        <v>1600</v>
      </c>
      <c r="N317" t="s">
        <v>600</v>
      </c>
      <c r="O317" t="s">
        <v>2120</v>
      </c>
      <c r="P317" t="s">
        <v>953</v>
      </c>
      <c r="Q317" t="s">
        <v>1509</v>
      </c>
      <c r="R317" t="s">
        <v>189</v>
      </c>
      <c r="S317" t="s">
        <v>97</v>
      </c>
      <c r="T317" t="s">
        <v>191</v>
      </c>
      <c r="U317" t="s">
        <v>407</v>
      </c>
      <c r="V317" t="s">
        <v>58</v>
      </c>
    </row>
    <row r="318" spans="1:22" x14ac:dyDescent="0.3">
      <c r="A318" t="s">
        <v>2121</v>
      </c>
      <c r="B318" t="s">
        <v>2122</v>
      </c>
      <c r="C318" t="s">
        <v>2123</v>
      </c>
      <c r="D318" t="s">
        <v>2124</v>
      </c>
      <c r="E318" t="s">
        <v>730</v>
      </c>
      <c r="F318" t="s">
        <v>26</v>
      </c>
      <c r="G318" t="s">
        <v>213</v>
      </c>
      <c r="H318" t="s">
        <v>229</v>
      </c>
      <c r="I318" t="s">
        <v>69</v>
      </c>
      <c r="J318" t="s">
        <v>30</v>
      </c>
      <c r="K318" t="s">
        <v>50</v>
      </c>
      <c r="L318" t="s">
        <v>1382</v>
      </c>
      <c r="M318" t="s">
        <v>52</v>
      </c>
      <c r="N318" t="s">
        <v>179</v>
      </c>
      <c r="O318" t="s">
        <v>52</v>
      </c>
      <c r="P318" t="s">
        <v>2125</v>
      </c>
      <c r="Q318" t="s">
        <v>92</v>
      </c>
      <c r="R318" t="s">
        <v>1022</v>
      </c>
      <c r="S318" t="s">
        <v>79</v>
      </c>
      <c r="T318" t="s">
        <v>1162</v>
      </c>
      <c r="U318" t="s">
        <v>98</v>
      </c>
      <c r="V318" t="s">
        <v>82</v>
      </c>
    </row>
    <row r="319" spans="1:22" x14ac:dyDescent="0.3">
      <c r="A319" t="s">
        <v>2126</v>
      </c>
      <c r="B319" t="s">
        <v>1697</v>
      </c>
      <c r="C319" t="s">
        <v>1698</v>
      </c>
      <c r="D319" t="s">
        <v>2127</v>
      </c>
      <c r="E319" t="s">
        <v>26</v>
      </c>
      <c r="F319" t="s">
        <v>26</v>
      </c>
      <c r="G319" t="s">
        <v>147</v>
      </c>
      <c r="H319" t="s">
        <v>88</v>
      </c>
      <c r="I319" t="s">
        <v>69</v>
      </c>
      <c r="J319" t="s">
        <v>30</v>
      </c>
      <c r="K319" t="s">
        <v>89</v>
      </c>
      <c r="L319" t="s">
        <v>1049</v>
      </c>
      <c r="M319" t="s">
        <v>1079</v>
      </c>
      <c r="N319" t="s">
        <v>179</v>
      </c>
      <c r="O319" t="s">
        <v>1079</v>
      </c>
      <c r="P319" t="s">
        <v>734</v>
      </c>
      <c r="Q319" t="s">
        <v>137</v>
      </c>
      <c r="R319" t="s">
        <v>2128</v>
      </c>
      <c r="S319" t="s">
        <v>79</v>
      </c>
      <c r="T319" t="s">
        <v>1230</v>
      </c>
      <c r="U319" t="s">
        <v>373</v>
      </c>
      <c r="V319" t="s">
        <v>42</v>
      </c>
    </row>
    <row r="320" spans="1:22" x14ac:dyDescent="0.3">
      <c r="A320" t="s">
        <v>2129</v>
      </c>
      <c r="B320" t="s">
        <v>2130</v>
      </c>
      <c r="C320" t="s">
        <v>2131</v>
      </c>
      <c r="D320" t="s">
        <v>2132</v>
      </c>
      <c r="E320" t="s">
        <v>282</v>
      </c>
      <c r="F320" t="s">
        <v>282</v>
      </c>
      <c r="G320" t="s">
        <v>48</v>
      </c>
      <c r="I320" t="s">
        <v>69</v>
      </c>
      <c r="J320" t="s">
        <v>30</v>
      </c>
      <c r="K320" t="s">
        <v>71</v>
      </c>
      <c r="L320" t="s">
        <v>362</v>
      </c>
      <c r="M320" t="s">
        <v>732</v>
      </c>
      <c r="N320" t="s">
        <v>610</v>
      </c>
      <c r="O320" t="s">
        <v>931</v>
      </c>
      <c r="P320" t="s">
        <v>1266</v>
      </c>
      <c r="Q320" t="s">
        <v>191</v>
      </c>
      <c r="R320" t="s">
        <v>2133</v>
      </c>
      <c r="S320" t="s">
        <v>126</v>
      </c>
      <c r="T320" t="s">
        <v>613</v>
      </c>
      <c r="U320" t="s">
        <v>300</v>
      </c>
      <c r="V320" t="s">
        <v>114</v>
      </c>
    </row>
    <row r="321" spans="1:22" x14ac:dyDescent="0.3">
      <c r="A321" t="s">
        <v>2134</v>
      </c>
      <c r="B321" t="s">
        <v>2135</v>
      </c>
      <c r="C321" t="s">
        <v>2136</v>
      </c>
      <c r="D321" t="s">
        <v>2137</v>
      </c>
      <c r="E321" t="s">
        <v>160</v>
      </c>
      <c r="F321" t="s">
        <v>161</v>
      </c>
      <c r="G321" t="s">
        <v>118</v>
      </c>
      <c r="H321" t="s">
        <v>104</v>
      </c>
      <c r="I321" t="s">
        <v>69</v>
      </c>
      <c r="J321" t="s">
        <v>70</v>
      </c>
      <c r="K321" t="s">
        <v>230</v>
      </c>
      <c r="L321" t="s">
        <v>766</v>
      </c>
      <c r="M321" t="s">
        <v>1039</v>
      </c>
      <c r="N321" t="s">
        <v>179</v>
      </c>
      <c r="O321" t="s">
        <v>1039</v>
      </c>
      <c r="P321" t="s">
        <v>234</v>
      </c>
      <c r="Q321" t="s">
        <v>1694</v>
      </c>
      <c r="R321" t="s">
        <v>2138</v>
      </c>
      <c r="S321" t="s">
        <v>182</v>
      </c>
      <c r="T321" t="s">
        <v>308</v>
      </c>
      <c r="U321" t="s">
        <v>373</v>
      </c>
      <c r="V321" t="s">
        <v>42</v>
      </c>
    </row>
    <row r="322" spans="1:22" x14ac:dyDescent="0.3">
      <c r="A322" t="s">
        <v>2139</v>
      </c>
      <c r="B322" t="s">
        <v>2140</v>
      </c>
      <c r="C322" t="s">
        <v>2141</v>
      </c>
      <c r="D322" t="s">
        <v>2142</v>
      </c>
      <c r="E322" t="s">
        <v>228</v>
      </c>
      <c r="F322" t="s">
        <v>228</v>
      </c>
      <c r="G322" t="s">
        <v>580</v>
      </c>
      <c r="H322" t="s">
        <v>268</v>
      </c>
      <c r="I322" t="s">
        <v>29</v>
      </c>
      <c r="J322" t="s">
        <v>257</v>
      </c>
      <c r="K322" t="s">
        <v>293</v>
      </c>
      <c r="L322" t="s">
        <v>189</v>
      </c>
      <c r="M322" t="s">
        <v>2143</v>
      </c>
      <c r="N322" t="s">
        <v>276</v>
      </c>
      <c r="O322" t="s">
        <v>665</v>
      </c>
      <c r="P322" t="s">
        <v>1064</v>
      </c>
      <c r="Q322" t="s">
        <v>326</v>
      </c>
      <c r="R322" t="s">
        <v>2144</v>
      </c>
      <c r="S322" t="s">
        <v>126</v>
      </c>
      <c r="T322" t="s">
        <v>92</v>
      </c>
      <c r="U322" t="s">
        <v>41</v>
      </c>
      <c r="V322" t="s">
        <v>82</v>
      </c>
    </row>
    <row r="323" spans="1:22" x14ac:dyDescent="0.3">
      <c r="A323" t="s">
        <v>2145</v>
      </c>
      <c r="B323" t="s">
        <v>2146</v>
      </c>
      <c r="C323" t="s">
        <v>2147</v>
      </c>
      <c r="D323" t="s">
        <v>2148</v>
      </c>
      <c r="E323" t="s">
        <v>87</v>
      </c>
      <c r="F323" t="s">
        <v>26</v>
      </c>
      <c r="G323" t="s">
        <v>67</v>
      </c>
      <c r="H323" t="s">
        <v>49</v>
      </c>
      <c r="I323" t="s">
        <v>69</v>
      </c>
      <c r="J323" t="s">
        <v>30</v>
      </c>
      <c r="K323" t="s">
        <v>293</v>
      </c>
      <c r="L323" t="s">
        <v>32</v>
      </c>
      <c r="M323" t="s">
        <v>1121</v>
      </c>
      <c r="N323" t="s">
        <v>179</v>
      </c>
      <c r="O323" t="s">
        <v>1121</v>
      </c>
      <c r="P323" t="s">
        <v>120</v>
      </c>
      <c r="Q323" t="s">
        <v>1647</v>
      </c>
      <c r="R323" t="s">
        <v>2149</v>
      </c>
      <c r="S323" t="s">
        <v>58</v>
      </c>
      <c r="T323" t="s">
        <v>529</v>
      </c>
      <c r="U323" t="s">
        <v>288</v>
      </c>
      <c r="V323" t="s">
        <v>82</v>
      </c>
    </row>
    <row r="324" spans="1:22" x14ac:dyDescent="0.3">
      <c r="A324" t="s">
        <v>2150</v>
      </c>
      <c r="B324" t="s">
        <v>2151</v>
      </c>
      <c r="C324" t="s">
        <v>2152</v>
      </c>
      <c r="D324" t="s">
        <v>2153</v>
      </c>
      <c r="E324" t="s">
        <v>282</v>
      </c>
      <c r="F324" t="s">
        <v>282</v>
      </c>
      <c r="G324" t="s">
        <v>213</v>
      </c>
      <c r="H324" t="s">
        <v>88</v>
      </c>
      <c r="I324" t="s">
        <v>2154</v>
      </c>
      <c r="J324" t="s">
        <v>70</v>
      </c>
      <c r="K324" t="s">
        <v>50</v>
      </c>
      <c r="L324" t="s">
        <v>269</v>
      </c>
      <c r="M324" t="s">
        <v>804</v>
      </c>
      <c r="N324" t="s">
        <v>448</v>
      </c>
      <c r="O324" t="s">
        <v>1634</v>
      </c>
      <c r="P324" t="s">
        <v>880</v>
      </c>
      <c r="Q324" t="s">
        <v>593</v>
      </c>
      <c r="R324" t="s">
        <v>2155</v>
      </c>
      <c r="S324" t="s">
        <v>58</v>
      </c>
      <c r="T324" t="s">
        <v>140</v>
      </c>
      <c r="U324" t="s">
        <v>277</v>
      </c>
      <c r="V324" t="s">
        <v>42</v>
      </c>
    </row>
    <row r="325" spans="1:22" x14ac:dyDescent="0.3">
      <c r="A325" t="s">
        <v>2156</v>
      </c>
      <c r="B325" t="s">
        <v>2157</v>
      </c>
      <c r="C325" t="s">
        <v>2158</v>
      </c>
      <c r="D325" t="s">
        <v>2159</v>
      </c>
      <c r="E325" t="s">
        <v>134</v>
      </c>
      <c r="F325" t="s">
        <v>134</v>
      </c>
      <c r="G325" t="s">
        <v>48</v>
      </c>
      <c r="H325" t="s">
        <v>268</v>
      </c>
      <c r="I325" t="s">
        <v>69</v>
      </c>
      <c r="J325" t="s">
        <v>257</v>
      </c>
      <c r="K325" t="s">
        <v>293</v>
      </c>
      <c r="L325" t="s">
        <v>362</v>
      </c>
      <c r="M325" t="s">
        <v>2160</v>
      </c>
      <c r="N325" t="s">
        <v>1013</v>
      </c>
      <c r="O325" t="s">
        <v>880</v>
      </c>
      <c r="P325" t="s">
        <v>816</v>
      </c>
      <c r="Q325" t="s">
        <v>714</v>
      </c>
      <c r="R325" t="s">
        <v>2161</v>
      </c>
      <c r="S325" t="s">
        <v>39</v>
      </c>
      <c r="T325" t="s">
        <v>170</v>
      </c>
      <c r="U325" t="s">
        <v>98</v>
      </c>
      <c r="V325" t="s">
        <v>114</v>
      </c>
    </row>
    <row r="326" spans="1:22" x14ac:dyDescent="0.3">
      <c r="A326" t="s">
        <v>2162</v>
      </c>
      <c r="B326" t="s">
        <v>2163</v>
      </c>
      <c r="C326" t="s">
        <v>2164</v>
      </c>
      <c r="D326" t="s">
        <v>2165</v>
      </c>
      <c r="E326" t="s">
        <v>133</v>
      </c>
      <c r="F326" t="s">
        <v>134</v>
      </c>
      <c r="G326" t="s">
        <v>67</v>
      </c>
      <c r="H326" t="s">
        <v>104</v>
      </c>
      <c r="I326" t="s">
        <v>69</v>
      </c>
      <c r="J326" t="s">
        <v>257</v>
      </c>
      <c r="K326" t="s">
        <v>293</v>
      </c>
      <c r="L326" t="s">
        <v>362</v>
      </c>
      <c r="M326" t="s">
        <v>2166</v>
      </c>
      <c r="N326" t="s">
        <v>655</v>
      </c>
      <c r="O326" t="s">
        <v>491</v>
      </c>
      <c r="P326" t="s">
        <v>2167</v>
      </c>
      <c r="Q326" t="s">
        <v>310</v>
      </c>
      <c r="R326" t="s">
        <v>2168</v>
      </c>
      <c r="S326" t="s">
        <v>39</v>
      </c>
      <c r="T326" t="s">
        <v>261</v>
      </c>
      <c r="U326" t="s">
        <v>238</v>
      </c>
      <c r="V326" t="s">
        <v>114</v>
      </c>
    </row>
    <row r="327" spans="1:22" x14ac:dyDescent="0.3">
      <c r="A327" t="s">
        <v>2169</v>
      </c>
      <c r="B327" t="s">
        <v>869</v>
      </c>
      <c r="C327" t="s">
        <v>870</v>
      </c>
      <c r="D327" t="s">
        <v>2170</v>
      </c>
      <c r="E327" t="s">
        <v>176</v>
      </c>
      <c r="F327" t="s">
        <v>161</v>
      </c>
      <c r="G327" t="s">
        <v>27</v>
      </c>
      <c r="H327" t="s">
        <v>68</v>
      </c>
      <c r="I327" t="s">
        <v>69</v>
      </c>
      <c r="J327" t="s">
        <v>257</v>
      </c>
      <c r="K327" t="s">
        <v>245</v>
      </c>
      <c r="L327" t="s">
        <v>2171</v>
      </c>
      <c r="M327" t="s">
        <v>52</v>
      </c>
      <c r="N327" t="s">
        <v>179</v>
      </c>
      <c r="O327" t="s">
        <v>52</v>
      </c>
      <c r="P327" t="s">
        <v>335</v>
      </c>
      <c r="Q327" t="s">
        <v>237</v>
      </c>
      <c r="R327" t="s">
        <v>258</v>
      </c>
      <c r="S327" t="s">
        <v>97</v>
      </c>
      <c r="T327" t="s">
        <v>142</v>
      </c>
      <c r="U327" t="s">
        <v>238</v>
      </c>
      <c r="V327" t="s">
        <v>79</v>
      </c>
    </row>
    <row r="328" spans="1:22" x14ac:dyDescent="0.3">
      <c r="A328" t="s">
        <v>2172</v>
      </c>
      <c r="B328" t="s">
        <v>2173</v>
      </c>
      <c r="C328" t="s">
        <v>2174</v>
      </c>
      <c r="D328" t="s">
        <v>2175</v>
      </c>
      <c r="E328" t="s">
        <v>47</v>
      </c>
      <c r="F328" t="s">
        <v>26</v>
      </c>
      <c r="G328" t="s">
        <v>103</v>
      </c>
      <c r="H328" t="s">
        <v>268</v>
      </c>
      <c r="I328" t="s">
        <v>69</v>
      </c>
      <c r="J328" t="s">
        <v>30</v>
      </c>
      <c r="K328" t="s">
        <v>293</v>
      </c>
      <c r="L328" t="s">
        <v>294</v>
      </c>
      <c r="M328" t="s">
        <v>2176</v>
      </c>
      <c r="N328" t="s">
        <v>735</v>
      </c>
      <c r="O328" t="s">
        <v>1635</v>
      </c>
      <c r="P328" t="s">
        <v>753</v>
      </c>
      <c r="Q328" t="s">
        <v>260</v>
      </c>
      <c r="R328" t="s">
        <v>2177</v>
      </c>
      <c r="S328" t="s">
        <v>126</v>
      </c>
      <c r="T328" t="s">
        <v>40</v>
      </c>
      <c r="U328" t="s">
        <v>407</v>
      </c>
      <c r="V328" t="s">
        <v>82</v>
      </c>
    </row>
    <row r="329" spans="1:22" x14ac:dyDescent="0.3">
      <c r="A329" t="s">
        <v>2178</v>
      </c>
      <c r="B329" t="s">
        <v>869</v>
      </c>
      <c r="C329" t="s">
        <v>870</v>
      </c>
      <c r="D329" t="s">
        <v>2179</v>
      </c>
      <c r="E329" t="s">
        <v>176</v>
      </c>
      <c r="F329" t="s">
        <v>161</v>
      </c>
      <c r="G329" t="s">
        <v>27</v>
      </c>
      <c r="H329" t="s">
        <v>49</v>
      </c>
      <c r="I329" t="s">
        <v>69</v>
      </c>
      <c r="J329" t="s">
        <v>30</v>
      </c>
      <c r="K329" t="s">
        <v>215</v>
      </c>
      <c r="L329" t="s">
        <v>534</v>
      </c>
      <c r="M329" t="s">
        <v>2180</v>
      </c>
      <c r="N329" t="s">
        <v>112</v>
      </c>
      <c r="O329" t="s">
        <v>527</v>
      </c>
      <c r="P329" t="s">
        <v>1322</v>
      </c>
      <c r="Q329" t="s">
        <v>59</v>
      </c>
      <c r="R329" t="s">
        <v>2181</v>
      </c>
      <c r="S329" t="s">
        <v>79</v>
      </c>
      <c r="T329" t="s">
        <v>448</v>
      </c>
      <c r="U329" t="s">
        <v>238</v>
      </c>
      <c r="V329" t="s">
        <v>58</v>
      </c>
    </row>
    <row r="330" spans="1:22" x14ac:dyDescent="0.3">
      <c r="A330" t="s">
        <v>2182</v>
      </c>
      <c r="B330" t="s">
        <v>364</v>
      </c>
      <c r="C330" t="s">
        <v>365</v>
      </c>
      <c r="D330" t="s">
        <v>226</v>
      </c>
      <c r="E330" t="s">
        <v>87</v>
      </c>
      <c r="F330" t="s">
        <v>26</v>
      </c>
      <c r="G330" t="s">
        <v>48</v>
      </c>
      <c r="H330" t="s">
        <v>104</v>
      </c>
      <c r="I330" t="s">
        <v>29</v>
      </c>
      <c r="J330" t="s">
        <v>30</v>
      </c>
      <c r="K330" t="s">
        <v>71</v>
      </c>
      <c r="L330" t="s">
        <v>119</v>
      </c>
      <c r="M330" t="s">
        <v>2183</v>
      </c>
      <c r="N330" t="s">
        <v>124</v>
      </c>
      <c r="O330" t="s">
        <v>2184</v>
      </c>
      <c r="P330" t="s">
        <v>1688</v>
      </c>
      <c r="Q330" t="s">
        <v>1158</v>
      </c>
      <c r="R330" t="s">
        <v>2185</v>
      </c>
      <c r="S330" t="s">
        <v>182</v>
      </c>
      <c r="T330" t="s">
        <v>1420</v>
      </c>
      <c r="U330" t="s">
        <v>41</v>
      </c>
      <c r="V330" t="s">
        <v>82</v>
      </c>
    </row>
    <row r="331" spans="1:22" x14ac:dyDescent="0.3">
      <c r="A331" t="s">
        <v>2186</v>
      </c>
      <c r="B331" t="s">
        <v>2187</v>
      </c>
      <c r="C331" t="s">
        <v>2188</v>
      </c>
      <c r="D331" t="s">
        <v>1871</v>
      </c>
      <c r="E331" t="s">
        <v>134</v>
      </c>
      <c r="F331" t="s">
        <v>134</v>
      </c>
      <c r="G331" t="s">
        <v>27</v>
      </c>
      <c r="H331" t="s">
        <v>68</v>
      </c>
      <c r="I331" t="s">
        <v>69</v>
      </c>
      <c r="J331" t="s">
        <v>30</v>
      </c>
      <c r="K331" t="s">
        <v>245</v>
      </c>
      <c r="L331" t="s">
        <v>466</v>
      </c>
      <c r="M331" t="s">
        <v>535</v>
      </c>
      <c r="N331" t="s">
        <v>308</v>
      </c>
      <c r="O331" t="s">
        <v>1884</v>
      </c>
      <c r="P331" t="s">
        <v>645</v>
      </c>
      <c r="Q331" t="s">
        <v>768</v>
      </c>
      <c r="R331" t="s">
        <v>2189</v>
      </c>
      <c r="S331" t="s">
        <v>97</v>
      </c>
      <c r="T331" t="s">
        <v>183</v>
      </c>
      <c r="U331" t="s">
        <v>288</v>
      </c>
      <c r="V331" t="s">
        <v>82</v>
      </c>
    </row>
    <row r="332" spans="1:22" x14ac:dyDescent="0.3">
      <c r="A332" t="s">
        <v>2190</v>
      </c>
      <c r="B332" t="s">
        <v>2191</v>
      </c>
      <c r="C332" t="s">
        <v>2192</v>
      </c>
      <c r="D332" t="s">
        <v>681</v>
      </c>
      <c r="E332" t="s">
        <v>342</v>
      </c>
      <c r="F332" t="s">
        <v>244</v>
      </c>
      <c r="G332" t="s">
        <v>118</v>
      </c>
      <c r="H332" t="s">
        <v>28</v>
      </c>
      <c r="I332" t="s">
        <v>29</v>
      </c>
      <c r="J332" t="s">
        <v>30</v>
      </c>
      <c r="K332" t="s">
        <v>71</v>
      </c>
      <c r="L332" t="s">
        <v>487</v>
      </c>
      <c r="M332" t="s">
        <v>2167</v>
      </c>
      <c r="N332" t="s">
        <v>604</v>
      </c>
      <c r="O332" t="s">
        <v>2193</v>
      </c>
      <c r="P332" t="s">
        <v>1222</v>
      </c>
      <c r="Q332" t="s">
        <v>1028</v>
      </c>
      <c r="R332" t="s">
        <v>2194</v>
      </c>
      <c r="S332" t="s">
        <v>182</v>
      </c>
      <c r="T332" t="s">
        <v>770</v>
      </c>
      <c r="U332" t="s">
        <v>288</v>
      </c>
      <c r="V332" t="s">
        <v>42</v>
      </c>
    </row>
    <row r="333" spans="1:22" x14ac:dyDescent="0.3">
      <c r="A333" t="s">
        <v>2195</v>
      </c>
      <c r="B333" t="s">
        <v>396</v>
      </c>
      <c r="C333" t="s">
        <v>397</v>
      </c>
      <c r="D333" t="s">
        <v>2196</v>
      </c>
      <c r="E333" t="s">
        <v>65</v>
      </c>
      <c r="F333" t="s">
        <v>66</v>
      </c>
      <c r="G333" t="s">
        <v>103</v>
      </c>
      <c r="H333" t="s">
        <v>104</v>
      </c>
      <c r="I333" t="s">
        <v>29</v>
      </c>
      <c r="J333" t="s">
        <v>257</v>
      </c>
      <c r="K333" t="s">
        <v>293</v>
      </c>
      <c r="L333" t="s">
        <v>1037</v>
      </c>
      <c r="M333" t="s">
        <v>480</v>
      </c>
      <c r="N333" t="s">
        <v>321</v>
      </c>
      <c r="O333" t="s">
        <v>2077</v>
      </c>
      <c r="P333" t="s">
        <v>506</v>
      </c>
      <c r="Q333" t="s">
        <v>751</v>
      </c>
      <c r="R333" t="s">
        <v>2197</v>
      </c>
      <c r="S333" t="s">
        <v>58</v>
      </c>
      <c r="T333" t="s">
        <v>170</v>
      </c>
      <c r="U333" t="s">
        <v>277</v>
      </c>
      <c r="V333" t="s">
        <v>42</v>
      </c>
    </row>
    <row r="334" spans="1:22" x14ac:dyDescent="0.3">
      <c r="A334" t="s">
        <v>2198</v>
      </c>
      <c r="B334" t="s">
        <v>1487</v>
      </c>
      <c r="C334" t="s">
        <v>1488</v>
      </c>
      <c r="D334" t="s">
        <v>820</v>
      </c>
      <c r="E334" t="s">
        <v>227</v>
      </c>
      <c r="F334" t="s">
        <v>228</v>
      </c>
      <c r="G334" t="s">
        <v>213</v>
      </c>
      <c r="H334" t="s">
        <v>49</v>
      </c>
      <c r="I334" t="s">
        <v>29</v>
      </c>
      <c r="J334" t="s">
        <v>70</v>
      </c>
      <c r="K334" t="s">
        <v>293</v>
      </c>
      <c r="L334" t="s">
        <v>1295</v>
      </c>
      <c r="M334" t="s">
        <v>1672</v>
      </c>
      <c r="N334" t="s">
        <v>37</v>
      </c>
      <c r="O334" t="s">
        <v>1433</v>
      </c>
      <c r="P334" t="s">
        <v>784</v>
      </c>
      <c r="Q334" t="s">
        <v>1013</v>
      </c>
      <c r="R334" t="s">
        <v>2199</v>
      </c>
      <c r="S334" t="s">
        <v>58</v>
      </c>
      <c r="T334" t="s">
        <v>191</v>
      </c>
      <c r="U334" t="s">
        <v>423</v>
      </c>
      <c r="V334" t="s">
        <v>82</v>
      </c>
    </row>
    <row r="335" spans="1:22" x14ac:dyDescent="0.3">
      <c r="A335" t="s">
        <v>2200</v>
      </c>
      <c r="B335" t="s">
        <v>2201</v>
      </c>
      <c r="C335" t="s">
        <v>2202</v>
      </c>
      <c r="D335" t="s">
        <v>2203</v>
      </c>
      <c r="E335" t="s">
        <v>26</v>
      </c>
      <c r="F335" t="s">
        <v>26</v>
      </c>
      <c r="G335" t="s">
        <v>147</v>
      </c>
      <c r="H335" t="s">
        <v>104</v>
      </c>
      <c r="I335" t="s">
        <v>69</v>
      </c>
      <c r="J335" t="s">
        <v>162</v>
      </c>
      <c r="K335" t="s">
        <v>230</v>
      </c>
      <c r="L335" t="s">
        <v>598</v>
      </c>
      <c r="M335" t="s">
        <v>221</v>
      </c>
      <c r="N335" t="s">
        <v>140</v>
      </c>
      <c r="O335" t="s">
        <v>1689</v>
      </c>
      <c r="P335" t="s">
        <v>1011</v>
      </c>
      <c r="Q335" t="s">
        <v>80</v>
      </c>
      <c r="R335" t="s">
        <v>2204</v>
      </c>
      <c r="S335" t="s">
        <v>79</v>
      </c>
      <c r="T335" t="s">
        <v>74</v>
      </c>
      <c r="U335" t="s">
        <v>867</v>
      </c>
      <c r="V335" t="s">
        <v>79</v>
      </c>
    </row>
    <row r="336" spans="1:22" x14ac:dyDescent="0.3">
      <c r="A336" t="s">
        <v>2205</v>
      </c>
      <c r="B336" t="s">
        <v>84</v>
      </c>
      <c r="C336" t="s">
        <v>85</v>
      </c>
      <c r="D336" t="s">
        <v>1835</v>
      </c>
      <c r="E336" t="s">
        <v>1321</v>
      </c>
      <c r="F336" t="s">
        <v>228</v>
      </c>
      <c r="G336" t="s">
        <v>147</v>
      </c>
      <c r="H336" t="s">
        <v>68</v>
      </c>
      <c r="I336" t="s">
        <v>29</v>
      </c>
      <c r="J336" t="s">
        <v>30</v>
      </c>
      <c r="K336" t="s">
        <v>89</v>
      </c>
      <c r="L336" t="s">
        <v>177</v>
      </c>
      <c r="M336" t="s">
        <v>1669</v>
      </c>
      <c r="N336" t="s">
        <v>179</v>
      </c>
      <c r="O336" t="s">
        <v>1669</v>
      </c>
      <c r="P336" t="s">
        <v>1402</v>
      </c>
      <c r="Q336" t="s">
        <v>193</v>
      </c>
      <c r="R336" t="s">
        <v>2206</v>
      </c>
      <c r="S336" t="s">
        <v>182</v>
      </c>
      <c r="T336" t="s">
        <v>308</v>
      </c>
      <c r="U336" t="s">
        <v>537</v>
      </c>
      <c r="V336" t="s">
        <v>79</v>
      </c>
    </row>
    <row r="337" spans="1:22" x14ac:dyDescent="0.3">
      <c r="A337" t="s">
        <v>2207</v>
      </c>
      <c r="B337" t="s">
        <v>2122</v>
      </c>
      <c r="C337" t="s">
        <v>2123</v>
      </c>
      <c r="D337" t="s">
        <v>2119</v>
      </c>
      <c r="E337" t="s">
        <v>176</v>
      </c>
      <c r="F337" t="s">
        <v>161</v>
      </c>
      <c r="G337" t="s">
        <v>118</v>
      </c>
      <c r="H337" t="s">
        <v>49</v>
      </c>
      <c r="I337" t="s">
        <v>69</v>
      </c>
      <c r="J337" t="s">
        <v>70</v>
      </c>
      <c r="K337" t="s">
        <v>200</v>
      </c>
      <c r="L337" t="s">
        <v>400</v>
      </c>
      <c r="M337" t="s">
        <v>2112</v>
      </c>
      <c r="N337" t="s">
        <v>179</v>
      </c>
      <c r="O337" t="s">
        <v>2112</v>
      </c>
      <c r="P337" t="s">
        <v>816</v>
      </c>
      <c r="Q337" t="s">
        <v>753</v>
      </c>
      <c r="R337" t="s">
        <v>2208</v>
      </c>
      <c r="S337" t="s">
        <v>79</v>
      </c>
      <c r="T337" t="s">
        <v>137</v>
      </c>
      <c r="U337" t="s">
        <v>171</v>
      </c>
      <c r="V337" t="s">
        <v>82</v>
      </c>
    </row>
    <row r="338" spans="1:22" x14ac:dyDescent="0.3">
      <c r="A338" t="s">
        <v>2209</v>
      </c>
      <c r="B338" t="s">
        <v>1446</v>
      </c>
      <c r="C338" t="s">
        <v>1447</v>
      </c>
      <c r="D338" t="s">
        <v>1759</v>
      </c>
      <c r="E338" t="s">
        <v>267</v>
      </c>
      <c r="F338" t="s">
        <v>66</v>
      </c>
      <c r="G338" t="s">
        <v>103</v>
      </c>
      <c r="H338" t="s">
        <v>268</v>
      </c>
      <c r="I338" t="s">
        <v>69</v>
      </c>
      <c r="J338" t="s">
        <v>30</v>
      </c>
      <c r="K338" t="s">
        <v>293</v>
      </c>
      <c r="L338" t="s">
        <v>428</v>
      </c>
      <c r="M338" t="s">
        <v>1237</v>
      </c>
      <c r="N338" t="s">
        <v>710</v>
      </c>
      <c r="O338" t="s">
        <v>2086</v>
      </c>
      <c r="P338" t="s">
        <v>1051</v>
      </c>
      <c r="Q338" t="s">
        <v>1224</v>
      </c>
      <c r="R338" t="s">
        <v>288</v>
      </c>
      <c r="S338" t="s">
        <v>58</v>
      </c>
      <c r="T338" t="s">
        <v>440</v>
      </c>
      <c r="U338" t="s">
        <v>362</v>
      </c>
      <c r="V338" t="s">
        <v>79</v>
      </c>
    </row>
    <row r="339" spans="1:22" x14ac:dyDescent="0.3">
      <c r="A339" t="s">
        <v>2210</v>
      </c>
      <c r="B339" t="s">
        <v>323</v>
      </c>
      <c r="C339" t="s">
        <v>324</v>
      </c>
      <c r="D339" t="s">
        <v>2211</v>
      </c>
      <c r="E339" t="s">
        <v>780</v>
      </c>
      <c r="F339" t="s">
        <v>282</v>
      </c>
      <c r="G339" t="s">
        <v>103</v>
      </c>
      <c r="H339" t="s">
        <v>49</v>
      </c>
      <c r="I339" t="s">
        <v>29</v>
      </c>
      <c r="J339" t="s">
        <v>30</v>
      </c>
      <c r="K339" t="s">
        <v>230</v>
      </c>
      <c r="L339" t="s">
        <v>105</v>
      </c>
      <c r="M339" t="s">
        <v>1937</v>
      </c>
      <c r="N339" t="s">
        <v>150</v>
      </c>
      <c r="O339" t="s">
        <v>1449</v>
      </c>
      <c r="P339" t="s">
        <v>1485</v>
      </c>
      <c r="Q339" t="s">
        <v>34</v>
      </c>
      <c r="R339" t="s">
        <v>1774</v>
      </c>
      <c r="S339" t="s">
        <v>97</v>
      </c>
      <c r="T339" t="s">
        <v>896</v>
      </c>
      <c r="U339" t="s">
        <v>288</v>
      </c>
      <c r="V339" t="s">
        <v>58</v>
      </c>
    </row>
    <row r="340" spans="1:22" x14ac:dyDescent="0.3">
      <c r="A340" t="s">
        <v>2212</v>
      </c>
      <c r="B340" t="s">
        <v>2213</v>
      </c>
      <c r="C340" t="s">
        <v>2214</v>
      </c>
      <c r="D340" t="s">
        <v>2215</v>
      </c>
      <c r="E340" t="s">
        <v>672</v>
      </c>
      <c r="F340" t="s">
        <v>244</v>
      </c>
      <c r="G340" t="s">
        <v>118</v>
      </c>
      <c r="H340" t="s">
        <v>229</v>
      </c>
      <c r="I340" t="s">
        <v>69</v>
      </c>
      <c r="J340" t="s">
        <v>30</v>
      </c>
      <c r="K340" t="s">
        <v>245</v>
      </c>
      <c r="L340" t="s">
        <v>177</v>
      </c>
      <c r="M340" t="s">
        <v>2216</v>
      </c>
      <c r="N340" t="s">
        <v>170</v>
      </c>
      <c r="O340" t="s">
        <v>1272</v>
      </c>
      <c r="P340" t="s">
        <v>1114</v>
      </c>
      <c r="Q340" t="s">
        <v>1141</v>
      </c>
      <c r="R340" t="s">
        <v>2217</v>
      </c>
      <c r="S340" t="s">
        <v>58</v>
      </c>
      <c r="T340" t="s">
        <v>543</v>
      </c>
      <c r="U340" t="s">
        <v>508</v>
      </c>
      <c r="V340" t="s">
        <v>82</v>
      </c>
    </row>
    <row r="341" spans="1:22" x14ac:dyDescent="0.3">
      <c r="A341" t="s">
        <v>2218</v>
      </c>
      <c r="B341" t="s">
        <v>2219</v>
      </c>
      <c r="C341" t="s">
        <v>2220</v>
      </c>
      <c r="D341" t="s">
        <v>2221</v>
      </c>
      <c r="E341" t="s">
        <v>634</v>
      </c>
      <c r="F341" t="s">
        <v>228</v>
      </c>
      <c r="G341" t="s">
        <v>147</v>
      </c>
      <c r="H341" t="s">
        <v>214</v>
      </c>
      <c r="I341" t="s">
        <v>29</v>
      </c>
      <c r="J341" t="s">
        <v>30</v>
      </c>
      <c r="K341" t="s">
        <v>31</v>
      </c>
      <c r="L341" t="s">
        <v>362</v>
      </c>
      <c r="M341" t="s">
        <v>1777</v>
      </c>
      <c r="N341" t="s">
        <v>335</v>
      </c>
      <c r="O341" t="s">
        <v>1634</v>
      </c>
      <c r="P341" t="s">
        <v>2096</v>
      </c>
      <c r="Q341" t="s">
        <v>1509</v>
      </c>
      <c r="R341" t="s">
        <v>2222</v>
      </c>
      <c r="S341" t="s">
        <v>182</v>
      </c>
      <c r="T341" t="s">
        <v>140</v>
      </c>
      <c r="U341" t="s">
        <v>238</v>
      </c>
      <c r="V341" t="s">
        <v>82</v>
      </c>
    </row>
    <row r="342" spans="1:22" x14ac:dyDescent="0.3">
      <c r="A342" t="s">
        <v>2223</v>
      </c>
      <c r="B342" t="s">
        <v>2224</v>
      </c>
      <c r="C342" t="s">
        <v>2225</v>
      </c>
      <c r="D342" t="s">
        <v>2072</v>
      </c>
      <c r="E342" t="s">
        <v>417</v>
      </c>
      <c r="F342" t="s">
        <v>134</v>
      </c>
      <c r="G342" t="s">
        <v>147</v>
      </c>
      <c r="H342" t="s">
        <v>49</v>
      </c>
      <c r="I342" t="s">
        <v>29</v>
      </c>
      <c r="J342" t="s">
        <v>70</v>
      </c>
      <c r="K342" t="s">
        <v>31</v>
      </c>
      <c r="L342" t="s">
        <v>294</v>
      </c>
      <c r="M342" t="s">
        <v>1553</v>
      </c>
      <c r="N342" t="s">
        <v>110</v>
      </c>
      <c r="O342" t="s">
        <v>316</v>
      </c>
      <c r="P342" t="s">
        <v>1396</v>
      </c>
      <c r="Q342" t="s">
        <v>489</v>
      </c>
      <c r="R342" t="s">
        <v>2226</v>
      </c>
      <c r="S342" t="s">
        <v>182</v>
      </c>
      <c r="T342" t="s">
        <v>573</v>
      </c>
      <c r="U342" t="s">
        <v>472</v>
      </c>
      <c r="V342" t="s">
        <v>79</v>
      </c>
    </row>
    <row r="343" spans="1:22" x14ac:dyDescent="0.3">
      <c r="A343" t="s">
        <v>2227</v>
      </c>
      <c r="B343" t="s">
        <v>1263</v>
      </c>
      <c r="C343" t="s">
        <v>1264</v>
      </c>
      <c r="D343" t="s">
        <v>2228</v>
      </c>
      <c r="E343" t="s">
        <v>438</v>
      </c>
      <c r="F343" t="s">
        <v>188</v>
      </c>
      <c r="G343" t="s">
        <v>147</v>
      </c>
      <c r="H343" t="s">
        <v>229</v>
      </c>
      <c r="I343" t="s">
        <v>29</v>
      </c>
      <c r="J343" t="s">
        <v>30</v>
      </c>
      <c r="K343" t="s">
        <v>31</v>
      </c>
      <c r="L343" t="s">
        <v>719</v>
      </c>
      <c r="M343" t="s">
        <v>2229</v>
      </c>
      <c r="N343" t="s">
        <v>179</v>
      </c>
      <c r="O343" t="s">
        <v>2229</v>
      </c>
      <c r="P343" t="s">
        <v>2230</v>
      </c>
      <c r="Q343" t="s">
        <v>76</v>
      </c>
      <c r="R343" t="s">
        <v>2231</v>
      </c>
      <c r="S343" t="s">
        <v>182</v>
      </c>
      <c r="T343" t="s">
        <v>489</v>
      </c>
      <c r="U343" t="s">
        <v>300</v>
      </c>
      <c r="V343" t="s">
        <v>58</v>
      </c>
    </row>
    <row r="344" spans="1:22" x14ac:dyDescent="0.3">
      <c r="A344" t="s">
        <v>2232</v>
      </c>
      <c r="B344" t="s">
        <v>2233</v>
      </c>
      <c r="C344" t="s">
        <v>2234</v>
      </c>
      <c r="D344" t="s">
        <v>2235</v>
      </c>
      <c r="E344" t="s">
        <v>227</v>
      </c>
      <c r="F344" t="s">
        <v>228</v>
      </c>
      <c r="G344" t="s">
        <v>580</v>
      </c>
      <c r="H344" t="s">
        <v>88</v>
      </c>
      <c r="I344" t="s">
        <v>69</v>
      </c>
      <c r="J344" t="s">
        <v>30</v>
      </c>
      <c r="K344" t="s">
        <v>245</v>
      </c>
      <c r="L344" t="s">
        <v>682</v>
      </c>
      <c r="M344" t="s">
        <v>2236</v>
      </c>
      <c r="N344" t="s">
        <v>896</v>
      </c>
      <c r="O344" t="s">
        <v>2237</v>
      </c>
      <c r="P344" t="s">
        <v>554</v>
      </c>
      <c r="Q344" t="s">
        <v>139</v>
      </c>
      <c r="R344" t="s">
        <v>2238</v>
      </c>
      <c r="S344" t="s">
        <v>39</v>
      </c>
      <c r="T344" t="s">
        <v>1116</v>
      </c>
      <c r="U344" t="s">
        <v>867</v>
      </c>
      <c r="V344" t="s">
        <v>42</v>
      </c>
    </row>
    <row r="345" spans="1:22" x14ac:dyDescent="0.3">
      <c r="A345" t="s">
        <v>2239</v>
      </c>
      <c r="B345" t="s">
        <v>2240</v>
      </c>
      <c r="C345" t="s">
        <v>2241</v>
      </c>
      <c r="D345" t="s">
        <v>2242</v>
      </c>
      <c r="E345" t="s">
        <v>134</v>
      </c>
      <c r="F345" t="s">
        <v>134</v>
      </c>
      <c r="G345" t="s">
        <v>118</v>
      </c>
      <c r="H345" t="s">
        <v>49</v>
      </c>
      <c r="I345" t="s">
        <v>69</v>
      </c>
      <c r="J345" t="s">
        <v>30</v>
      </c>
      <c r="K345" t="s">
        <v>293</v>
      </c>
      <c r="L345" t="s">
        <v>294</v>
      </c>
      <c r="M345" t="s">
        <v>1889</v>
      </c>
      <c r="N345" t="s">
        <v>179</v>
      </c>
      <c r="O345" t="s">
        <v>2243</v>
      </c>
      <c r="P345" t="s">
        <v>609</v>
      </c>
      <c r="Q345" t="s">
        <v>124</v>
      </c>
      <c r="R345" t="s">
        <v>2244</v>
      </c>
      <c r="S345" t="s">
        <v>79</v>
      </c>
      <c r="T345" t="s">
        <v>150</v>
      </c>
      <c r="U345" t="s">
        <v>407</v>
      </c>
      <c r="V345" t="s">
        <v>82</v>
      </c>
    </row>
    <row r="346" spans="1:22" x14ac:dyDescent="0.3">
      <c r="A346" t="s">
        <v>2245</v>
      </c>
      <c r="B346" t="s">
        <v>2246</v>
      </c>
      <c r="C346" t="s">
        <v>2247</v>
      </c>
      <c r="D346" t="s">
        <v>242</v>
      </c>
      <c r="E346" t="s">
        <v>227</v>
      </c>
      <c r="F346" t="s">
        <v>228</v>
      </c>
      <c r="G346" t="s">
        <v>27</v>
      </c>
      <c r="H346" t="s">
        <v>229</v>
      </c>
      <c r="I346" t="s">
        <v>69</v>
      </c>
      <c r="J346" t="s">
        <v>30</v>
      </c>
      <c r="K346" t="s">
        <v>293</v>
      </c>
      <c r="L346" t="s">
        <v>333</v>
      </c>
      <c r="M346" t="s">
        <v>1202</v>
      </c>
      <c r="N346" t="s">
        <v>170</v>
      </c>
      <c r="O346" t="s">
        <v>297</v>
      </c>
      <c r="P346" t="s">
        <v>259</v>
      </c>
      <c r="Q346" t="s">
        <v>439</v>
      </c>
      <c r="R346" t="s">
        <v>1910</v>
      </c>
      <c r="S346" t="s">
        <v>39</v>
      </c>
      <c r="T346" t="s">
        <v>695</v>
      </c>
      <c r="U346" t="s">
        <v>472</v>
      </c>
      <c r="V346" t="s">
        <v>82</v>
      </c>
    </row>
    <row r="347" spans="1:22" x14ac:dyDescent="0.3">
      <c r="A347" t="s">
        <v>2248</v>
      </c>
      <c r="B347" t="s">
        <v>1019</v>
      </c>
      <c r="C347" t="s">
        <v>1020</v>
      </c>
      <c r="D347" t="s">
        <v>2249</v>
      </c>
      <c r="E347" t="s">
        <v>176</v>
      </c>
      <c r="F347" t="s">
        <v>161</v>
      </c>
      <c r="G347" t="s">
        <v>213</v>
      </c>
      <c r="H347" t="s">
        <v>28</v>
      </c>
      <c r="I347" t="s">
        <v>69</v>
      </c>
      <c r="J347" t="s">
        <v>30</v>
      </c>
      <c r="K347" t="s">
        <v>215</v>
      </c>
      <c r="L347" t="s">
        <v>111</v>
      </c>
      <c r="M347" t="s">
        <v>381</v>
      </c>
      <c r="N347" t="s">
        <v>179</v>
      </c>
      <c r="O347" t="s">
        <v>381</v>
      </c>
      <c r="P347" t="s">
        <v>1864</v>
      </c>
      <c r="Q347" t="s">
        <v>107</v>
      </c>
      <c r="R347" t="s">
        <v>2250</v>
      </c>
      <c r="S347" t="s">
        <v>97</v>
      </c>
      <c r="T347" t="s">
        <v>112</v>
      </c>
      <c r="U347" t="s">
        <v>171</v>
      </c>
      <c r="V347" t="s">
        <v>79</v>
      </c>
    </row>
    <row r="348" spans="1:22" x14ac:dyDescent="0.3">
      <c r="A348" t="s">
        <v>2251</v>
      </c>
      <c r="B348" t="s">
        <v>2252</v>
      </c>
      <c r="C348" t="s">
        <v>2253</v>
      </c>
      <c r="D348" t="s">
        <v>1811</v>
      </c>
      <c r="E348" t="s">
        <v>438</v>
      </c>
      <c r="F348" t="s">
        <v>188</v>
      </c>
      <c r="G348" t="s">
        <v>103</v>
      </c>
      <c r="H348" t="s">
        <v>68</v>
      </c>
      <c r="I348" t="s">
        <v>29</v>
      </c>
      <c r="J348" t="s">
        <v>70</v>
      </c>
      <c r="K348" t="s">
        <v>50</v>
      </c>
      <c r="L348" t="s">
        <v>534</v>
      </c>
      <c r="M348" t="s">
        <v>1490</v>
      </c>
      <c r="N348" t="s">
        <v>392</v>
      </c>
      <c r="O348" t="s">
        <v>2230</v>
      </c>
      <c r="P348" t="s">
        <v>390</v>
      </c>
      <c r="Q348" t="s">
        <v>334</v>
      </c>
      <c r="R348" t="s">
        <v>2254</v>
      </c>
      <c r="S348" t="s">
        <v>58</v>
      </c>
      <c r="T348" t="s">
        <v>276</v>
      </c>
      <c r="U348" t="s">
        <v>407</v>
      </c>
      <c r="V348" t="s">
        <v>82</v>
      </c>
    </row>
    <row r="349" spans="1:22" x14ac:dyDescent="0.3">
      <c r="A349" t="s">
        <v>2255</v>
      </c>
      <c r="B349" t="s">
        <v>1501</v>
      </c>
      <c r="C349" t="s">
        <v>1502</v>
      </c>
      <c r="D349" t="s">
        <v>2256</v>
      </c>
      <c r="E349" t="s">
        <v>267</v>
      </c>
      <c r="F349" t="s">
        <v>66</v>
      </c>
      <c r="G349" t="s">
        <v>48</v>
      </c>
      <c r="H349" t="s">
        <v>88</v>
      </c>
      <c r="I349" t="s">
        <v>29</v>
      </c>
      <c r="J349" t="s">
        <v>162</v>
      </c>
      <c r="K349" t="s">
        <v>293</v>
      </c>
      <c r="L349" t="s">
        <v>1328</v>
      </c>
      <c r="M349" t="s">
        <v>2257</v>
      </c>
      <c r="N349" t="s">
        <v>742</v>
      </c>
      <c r="O349" t="s">
        <v>1801</v>
      </c>
      <c r="P349" t="s">
        <v>2258</v>
      </c>
      <c r="Q349" t="s">
        <v>206</v>
      </c>
      <c r="R349" t="s">
        <v>2259</v>
      </c>
      <c r="S349" t="s">
        <v>79</v>
      </c>
      <c r="T349" t="s">
        <v>461</v>
      </c>
      <c r="U349" t="s">
        <v>407</v>
      </c>
      <c r="V349" t="s">
        <v>58</v>
      </c>
    </row>
    <row r="350" spans="1:22" x14ac:dyDescent="0.3">
      <c r="A350" t="s">
        <v>2260</v>
      </c>
      <c r="B350" t="s">
        <v>62</v>
      </c>
      <c r="C350" t="s">
        <v>63</v>
      </c>
      <c r="D350" t="s">
        <v>2111</v>
      </c>
      <c r="E350" t="s">
        <v>188</v>
      </c>
      <c r="F350" t="s">
        <v>188</v>
      </c>
      <c r="G350" t="s">
        <v>580</v>
      </c>
      <c r="H350" t="s">
        <v>68</v>
      </c>
      <c r="I350" t="s">
        <v>69</v>
      </c>
      <c r="J350" t="s">
        <v>70</v>
      </c>
      <c r="K350" t="s">
        <v>31</v>
      </c>
      <c r="L350" t="s">
        <v>466</v>
      </c>
      <c r="M350" t="s">
        <v>2261</v>
      </c>
      <c r="N350" t="s">
        <v>2262</v>
      </c>
      <c r="O350" t="s">
        <v>307</v>
      </c>
      <c r="P350" t="s">
        <v>2263</v>
      </c>
      <c r="Q350" t="s">
        <v>619</v>
      </c>
      <c r="R350" t="s">
        <v>2264</v>
      </c>
      <c r="S350" t="s">
        <v>126</v>
      </c>
      <c r="T350" t="s">
        <v>336</v>
      </c>
      <c r="U350" t="s">
        <v>128</v>
      </c>
      <c r="V350" t="s">
        <v>42</v>
      </c>
    </row>
    <row r="351" spans="1:22" x14ac:dyDescent="0.3">
      <c r="A351" t="s">
        <v>2265</v>
      </c>
      <c r="B351" t="s">
        <v>2266</v>
      </c>
      <c r="C351" t="s">
        <v>2267</v>
      </c>
      <c r="D351" t="s">
        <v>2137</v>
      </c>
      <c r="E351" t="s">
        <v>134</v>
      </c>
      <c r="F351" t="s">
        <v>134</v>
      </c>
      <c r="G351" t="s">
        <v>118</v>
      </c>
      <c r="H351" t="s">
        <v>214</v>
      </c>
      <c r="I351" t="s">
        <v>69</v>
      </c>
      <c r="J351" t="s">
        <v>70</v>
      </c>
      <c r="K351" t="s">
        <v>71</v>
      </c>
      <c r="L351" t="s">
        <v>258</v>
      </c>
      <c r="M351" t="s">
        <v>94</v>
      </c>
      <c r="N351" t="s">
        <v>92</v>
      </c>
      <c r="O351" t="s">
        <v>1302</v>
      </c>
      <c r="P351" t="s">
        <v>2262</v>
      </c>
      <c r="Q351" t="s">
        <v>489</v>
      </c>
      <c r="R351" t="s">
        <v>2268</v>
      </c>
      <c r="S351" t="s">
        <v>39</v>
      </c>
      <c r="T351" t="s">
        <v>165</v>
      </c>
      <c r="U351" t="s">
        <v>60</v>
      </c>
      <c r="V351" t="s">
        <v>82</v>
      </c>
    </row>
    <row r="352" spans="1:22" x14ac:dyDescent="0.3">
      <c r="A352" t="s">
        <v>2269</v>
      </c>
      <c r="B352" t="s">
        <v>2270</v>
      </c>
      <c r="C352" t="s">
        <v>2271</v>
      </c>
      <c r="D352" t="s">
        <v>2272</v>
      </c>
      <c r="E352" t="s">
        <v>134</v>
      </c>
      <c r="F352" t="s">
        <v>134</v>
      </c>
      <c r="G352" t="s">
        <v>147</v>
      </c>
      <c r="H352" t="s">
        <v>88</v>
      </c>
      <c r="I352" t="s">
        <v>29</v>
      </c>
      <c r="J352" t="s">
        <v>30</v>
      </c>
      <c r="K352" t="s">
        <v>89</v>
      </c>
      <c r="L352" t="s">
        <v>974</v>
      </c>
      <c r="M352" t="s">
        <v>2273</v>
      </c>
      <c r="N352" t="s">
        <v>276</v>
      </c>
      <c r="O352" t="s">
        <v>2274</v>
      </c>
      <c r="P352" t="s">
        <v>497</v>
      </c>
      <c r="Q352" t="s">
        <v>1403</v>
      </c>
      <c r="R352" t="s">
        <v>2275</v>
      </c>
      <c r="S352" t="s">
        <v>58</v>
      </c>
      <c r="T352" t="s">
        <v>74</v>
      </c>
      <c r="U352" t="s">
        <v>300</v>
      </c>
      <c r="V352" t="s">
        <v>79</v>
      </c>
    </row>
    <row r="353" spans="1:22" x14ac:dyDescent="0.3">
      <c r="A353" t="s">
        <v>2276</v>
      </c>
      <c r="B353" t="s">
        <v>2277</v>
      </c>
      <c r="C353" t="s">
        <v>2278</v>
      </c>
      <c r="D353" t="s">
        <v>1789</v>
      </c>
      <c r="E353" t="s">
        <v>161</v>
      </c>
      <c r="F353" t="s">
        <v>161</v>
      </c>
      <c r="G353" t="s">
        <v>48</v>
      </c>
      <c r="H353" t="s">
        <v>104</v>
      </c>
      <c r="I353" t="s">
        <v>29</v>
      </c>
      <c r="J353" t="s">
        <v>162</v>
      </c>
      <c r="K353" t="s">
        <v>245</v>
      </c>
      <c r="L353" t="s">
        <v>362</v>
      </c>
      <c r="M353" t="s">
        <v>1353</v>
      </c>
      <c r="N353" t="s">
        <v>179</v>
      </c>
      <c r="O353" t="s">
        <v>1353</v>
      </c>
      <c r="P353" t="s">
        <v>2108</v>
      </c>
      <c r="Q353" t="s">
        <v>2279</v>
      </c>
      <c r="R353" t="s">
        <v>2280</v>
      </c>
      <c r="S353" t="s">
        <v>58</v>
      </c>
      <c r="T353" t="s">
        <v>34</v>
      </c>
      <c r="U353" t="s">
        <v>171</v>
      </c>
      <c r="V353" t="s">
        <v>58</v>
      </c>
    </row>
    <row r="354" spans="1:22" x14ac:dyDescent="0.3">
      <c r="A354" t="s">
        <v>2281</v>
      </c>
      <c r="B354" t="s">
        <v>1587</v>
      </c>
      <c r="C354" t="s">
        <v>1588</v>
      </c>
      <c r="D354" t="s">
        <v>281</v>
      </c>
      <c r="E354" t="s">
        <v>134</v>
      </c>
      <c r="F354" t="s">
        <v>134</v>
      </c>
      <c r="G354" t="s">
        <v>67</v>
      </c>
      <c r="H354" t="s">
        <v>88</v>
      </c>
      <c r="I354" t="s">
        <v>29</v>
      </c>
      <c r="J354" t="s">
        <v>70</v>
      </c>
      <c r="K354" t="s">
        <v>89</v>
      </c>
      <c r="L354" t="s">
        <v>1022</v>
      </c>
      <c r="M354" t="s">
        <v>1498</v>
      </c>
      <c r="N354" t="s">
        <v>179</v>
      </c>
      <c r="O354" t="s">
        <v>1498</v>
      </c>
      <c r="P354" t="s">
        <v>94</v>
      </c>
      <c r="Q354" t="s">
        <v>774</v>
      </c>
      <c r="R354" t="s">
        <v>2282</v>
      </c>
      <c r="S354" t="s">
        <v>126</v>
      </c>
      <c r="T354" t="s">
        <v>440</v>
      </c>
      <c r="U354" t="s">
        <v>472</v>
      </c>
      <c r="V354" t="s">
        <v>82</v>
      </c>
    </row>
    <row r="355" spans="1:22" x14ac:dyDescent="0.3">
      <c r="A355" t="s">
        <v>2283</v>
      </c>
      <c r="B355" t="s">
        <v>1921</v>
      </c>
      <c r="C355" t="s">
        <v>1922</v>
      </c>
      <c r="D355" t="s">
        <v>2284</v>
      </c>
      <c r="E355" t="s">
        <v>47</v>
      </c>
      <c r="F355" t="s">
        <v>26</v>
      </c>
      <c r="G355" t="s">
        <v>27</v>
      </c>
      <c r="H355" t="s">
        <v>104</v>
      </c>
      <c r="I355" t="s">
        <v>29</v>
      </c>
      <c r="J355" t="s">
        <v>162</v>
      </c>
      <c r="K355" t="s">
        <v>71</v>
      </c>
      <c r="L355" t="s">
        <v>487</v>
      </c>
      <c r="M355" t="s">
        <v>2285</v>
      </c>
      <c r="N355" t="s">
        <v>168</v>
      </c>
      <c r="O355" t="s">
        <v>234</v>
      </c>
      <c r="P355" t="s">
        <v>480</v>
      </c>
      <c r="Q355" t="s">
        <v>1491</v>
      </c>
      <c r="R355" t="s">
        <v>2286</v>
      </c>
      <c r="S355" t="s">
        <v>126</v>
      </c>
      <c r="T355" t="s">
        <v>751</v>
      </c>
      <c r="U355" t="s">
        <v>385</v>
      </c>
      <c r="V355" t="s">
        <v>58</v>
      </c>
    </row>
    <row r="356" spans="1:22" x14ac:dyDescent="0.3">
      <c r="A356" t="s">
        <v>2287</v>
      </c>
      <c r="B356" t="s">
        <v>2288</v>
      </c>
      <c r="C356" t="s">
        <v>2289</v>
      </c>
      <c r="D356" t="s">
        <v>2290</v>
      </c>
      <c r="E356" t="s">
        <v>282</v>
      </c>
      <c r="F356" t="s">
        <v>282</v>
      </c>
      <c r="G356" t="s">
        <v>48</v>
      </c>
      <c r="H356" t="s">
        <v>68</v>
      </c>
      <c r="I356" t="s">
        <v>69</v>
      </c>
      <c r="J356" t="s">
        <v>162</v>
      </c>
      <c r="K356" t="s">
        <v>200</v>
      </c>
      <c r="L356" t="s">
        <v>32</v>
      </c>
      <c r="M356" t="s">
        <v>806</v>
      </c>
      <c r="N356" t="s">
        <v>179</v>
      </c>
      <c r="O356" t="s">
        <v>806</v>
      </c>
      <c r="P356" t="s">
        <v>921</v>
      </c>
      <c r="Q356" t="s">
        <v>452</v>
      </c>
      <c r="R356" t="s">
        <v>2291</v>
      </c>
      <c r="S356" t="s">
        <v>39</v>
      </c>
      <c r="T356" t="s">
        <v>770</v>
      </c>
      <c r="U356" t="s">
        <v>300</v>
      </c>
      <c r="V356" t="s">
        <v>42</v>
      </c>
    </row>
    <row r="357" spans="1:22" x14ac:dyDescent="0.3">
      <c r="A357" t="s">
        <v>2292</v>
      </c>
      <c r="B357" t="s">
        <v>2293</v>
      </c>
      <c r="C357" t="s">
        <v>2294</v>
      </c>
      <c r="D357" t="s">
        <v>366</v>
      </c>
      <c r="E357" t="s">
        <v>438</v>
      </c>
      <c r="F357" t="s">
        <v>188</v>
      </c>
      <c r="G357" t="s">
        <v>67</v>
      </c>
      <c r="H357" t="s">
        <v>268</v>
      </c>
      <c r="I357" t="s">
        <v>29</v>
      </c>
      <c r="J357" t="s">
        <v>70</v>
      </c>
      <c r="K357" t="s">
        <v>200</v>
      </c>
      <c r="L357" t="s">
        <v>551</v>
      </c>
      <c r="M357" t="s">
        <v>2295</v>
      </c>
      <c r="N357" t="s">
        <v>328</v>
      </c>
      <c r="O357" t="s">
        <v>654</v>
      </c>
      <c r="P357" t="s">
        <v>1163</v>
      </c>
      <c r="Q357" t="s">
        <v>391</v>
      </c>
      <c r="R357" t="s">
        <v>2296</v>
      </c>
      <c r="S357" t="s">
        <v>79</v>
      </c>
      <c r="T357" t="s">
        <v>440</v>
      </c>
      <c r="U357" t="s">
        <v>362</v>
      </c>
      <c r="V357" t="s">
        <v>42</v>
      </c>
    </row>
    <row r="358" spans="1:22" x14ac:dyDescent="0.3">
      <c r="A358" t="s">
        <v>2297</v>
      </c>
      <c r="B358" t="s">
        <v>669</v>
      </c>
      <c r="C358" t="s">
        <v>670</v>
      </c>
      <c r="D358" t="s">
        <v>2298</v>
      </c>
      <c r="E358" t="s">
        <v>342</v>
      </c>
      <c r="F358" t="s">
        <v>244</v>
      </c>
      <c r="G358" t="s">
        <v>147</v>
      </c>
      <c r="H358" t="s">
        <v>229</v>
      </c>
      <c r="I358" t="s">
        <v>69</v>
      </c>
      <c r="J358" t="s">
        <v>70</v>
      </c>
      <c r="K358" t="s">
        <v>50</v>
      </c>
      <c r="L358" t="s">
        <v>135</v>
      </c>
      <c r="M358" t="s">
        <v>2299</v>
      </c>
      <c r="N358" t="s">
        <v>179</v>
      </c>
      <c r="O358" t="s">
        <v>2299</v>
      </c>
      <c r="P358" t="s">
        <v>391</v>
      </c>
      <c r="Q358" t="s">
        <v>52</v>
      </c>
      <c r="R358" t="s">
        <v>2300</v>
      </c>
      <c r="S358" t="s">
        <v>39</v>
      </c>
      <c r="T358" t="s">
        <v>695</v>
      </c>
      <c r="U358" t="s">
        <v>171</v>
      </c>
      <c r="V358" t="s">
        <v>79</v>
      </c>
    </row>
    <row r="359" spans="1:22" x14ac:dyDescent="0.3">
      <c r="A359" t="s">
        <v>2301</v>
      </c>
      <c r="B359" t="s">
        <v>2302</v>
      </c>
      <c r="C359" t="s">
        <v>2303</v>
      </c>
      <c r="D359" t="s">
        <v>2304</v>
      </c>
      <c r="E359" t="s">
        <v>26</v>
      </c>
      <c r="F359" t="s">
        <v>26</v>
      </c>
      <c r="G359" t="s">
        <v>103</v>
      </c>
      <c r="H359" t="s">
        <v>68</v>
      </c>
      <c r="I359" t="s">
        <v>29</v>
      </c>
      <c r="J359" t="s">
        <v>30</v>
      </c>
      <c r="K359" t="s">
        <v>245</v>
      </c>
      <c r="L359" t="s">
        <v>362</v>
      </c>
      <c r="M359" t="s">
        <v>781</v>
      </c>
      <c r="N359" t="s">
        <v>499</v>
      </c>
      <c r="O359" t="s">
        <v>504</v>
      </c>
      <c r="P359" t="s">
        <v>620</v>
      </c>
      <c r="Q359" t="s">
        <v>1509</v>
      </c>
      <c r="R359" t="s">
        <v>2305</v>
      </c>
      <c r="S359" t="s">
        <v>97</v>
      </c>
      <c r="T359" t="s">
        <v>40</v>
      </c>
      <c r="U359" t="s">
        <v>238</v>
      </c>
      <c r="V359" t="s">
        <v>82</v>
      </c>
    </row>
    <row r="360" spans="1:22" x14ac:dyDescent="0.3">
      <c r="A360" t="s">
        <v>2306</v>
      </c>
      <c r="B360" t="s">
        <v>787</v>
      </c>
      <c r="C360" t="s">
        <v>788</v>
      </c>
      <c r="D360" t="s">
        <v>427</v>
      </c>
      <c r="E360" t="s">
        <v>730</v>
      </c>
      <c r="F360" t="s">
        <v>26</v>
      </c>
      <c r="G360" t="s">
        <v>580</v>
      </c>
      <c r="H360" t="s">
        <v>268</v>
      </c>
      <c r="I360" t="s">
        <v>69</v>
      </c>
      <c r="J360" t="s">
        <v>70</v>
      </c>
      <c r="K360" t="s">
        <v>230</v>
      </c>
      <c r="L360" t="s">
        <v>1156</v>
      </c>
      <c r="M360" t="s">
        <v>1997</v>
      </c>
      <c r="N360" t="s">
        <v>137</v>
      </c>
      <c r="O360" t="s">
        <v>732</v>
      </c>
      <c r="P360" t="s">
        <v>2307</v>
      </c>
      <c r="Q360" t="s">
        <v>440</v>
      </c>
      <c r="R360" t="s">
        <v>2308</v>
      </c>
      <c r="S360" t="s">
        <v>39</v>
      </c>
      <c r="T360" t="s">
        <v>567</v>
      </c>
      <c r="U360" t="s">
        <v>385</v>
      </c>
      <c r="V360" t="s">
        <v>58</v>
      </c>
    </row>
    <row r="361" spans="1:22" x14ac:dyDescent="0.3">
      <c r="A361" t="s">
        <v>2309</v>
      </c>
      <c r="B361" t="s">
        <v>1804</v>
      </c>
      <c r="C361" t="s">
        <v>1805</v>
      </c>
      <c r="D361" t="s">
        <v>2310</v>
      </c>
      <c r="E361" t="s">
        <v>161</v>
      </c>
      <c r="F361" t="s">
        <v>161</v>
      </c>
      <c r="G361" t="s">
        <v>147</v>
      </c>
      <c r="H361" t="s">
        <v>268</v>
      </c>
      <c r="I361" t="s">
        <v>29</v>
      </c>
      <c r="J361" t="s">
        <v>30</v>
      </c>
      <c r="K361" t="s">
        <v>200</v>
      </c>
      <c r="L361" t="s">
        <v>534</v>
      </c>
      <c r="M361" t="s">
        <v>609</v>
      </c>
      <c r="N361" t="s">
        <v>179</v>
      </c>
      <c r="O361" t="s">
        <v>609</v>
      </c>
      <c r="P361" t="s">
        <v>544</v>
      </c>
      <c r="Q361" t="s">
        <v>218</v>
      </c>
      <c r="R361" t="s">
        <v>412</v>
      </c>
      <c r="S361" t="s">
        <v>58</v>
      </c>
      <c r="T361" t="s">
        <v>448</v>
      </c>
      <c r="U361" t="s">
        <v>171</v>
      </c>
      <c r="V361" t="s">
        <v>79</v>
      </c>
    </row>
    <row r="362" spans="1:22" x14ac:dyDescent="0.3">
      <c r="A362" t="s">
        <v>2311</v>
      </c>
      <c r="B362" t="s">
        <v>2312</v>
      </c>
      <c r="C362" t="s">
        <v>2313</v>
      </c>
      <c r="D362" t="s">
        <v>2314</v>
      </c>
      <c r="E362" t="s">
        <v>267</v>
      </c>
      <c r="F362" t="s">
        <v>66</v>
      </c>
      <c r="G362" t="s">
        <v>27</v>
      </c>
      <c r="H362" t="s">
        <v>104</v>
      </c>
      <c r="I362" t="s">
        <v>29</v>
      </c>
      <c r="J362" t="s">
        <v>30</v>
      </c>
      <c r="K362" t="s">
        <v>293</v>
      </c>
      <c r="L362" t="s">
        <v>189</v>
      </c>
      <c r="M362" t="s">
        <v>1704</v>
      </c>
      <c r="N362" t="s">
        <v>237</v>
      </c>
      <c r="O362" t="s">
        <v>1465</v>
      </c>
      <c r="P362" t="s">
        <v>692</v>
      </c>
      <c r="Q362" t="s">
        <v>753</v>
      </c>
      <c r="R362" t="s">
        <v>2315</v>
      </c>
      <c r="S362" t="s">
        <v>97</v>
      </c>
      <c r="T362" t="s">
        <v>782</v>
      </c>
      <c r="U362" t="s">
        <v>98</v>
      </c>
      <c r="V362" t="s">
        <v>82</v>
      </c>
    </row>
    <row r="363" spans="1:22" x14ac:dyDescent="0.3">
      <c r="A363" t="s">
        <v>2316</v>
      </c>
      <c r="B363" t="s">
        <v>2317</v>
      </c>
      <c r="C363" t="s">
        <v>2318</v>
      </c>
      <c r="D363" t="s">
        <v>803</v>
      </c>
      <c r="E363" t="s">
        <v>161</v>
      </c>
      <c r="F363" t="s">
        <v>161</v>
      </c>
      <c r="G363" t="s">
        <v>48</v>
      </c>
      <c r="H363" t="s">
        <v>214</v>
      </c>
      <c r="I363" t="s">
        <v>69</v>
      </c>
      <c r="J363" t="s">
        <v>30</v>
      </c>
      <c r="K363" t="s">
        <v>31</v>
      </c>
      <c r="L363" t="s">
        <v>812</v>
      </c>
      <c r="M363" t="s">
        <v>469</v>
      </c>
      <c r="N363" t="s">
        <v>179</v>
      </c>
      <c r="O363" t="s">
        <v>469</v>
      </c>
      <c r="P363" t="s">
        <v>2319</v>
      </c>
      <c r="Q363" t="s">
        <v>1681</v>
      </c>
      <c r="R363" t="s">
        <v>2320</v>
      </c>
      <c r="S363" t="s">
        <v>182</v>
      </c>
      <c r="T363" t="s">
        <v>107</v>
      </c>
      <c r="U363" t="s">
        <v>373</v>
      </c>
      <c r="V363" t="s">
        <v>114</v>
      </c>
    </row>
    <row r="364" spans="1:22" x14ac:dyDescent="0.3">
      <c r="A364" t="s">
        <v>2321</v>
      </c>
      <c r="B364" t="s">
        <v>1899</v>
      </c>
      <c r="C364" t="s">
        <v>1900</v>
      </c>
      <c r="D364" t="s">
        <v>102</v>
      </c>
      <c r="E364" t="s">
        <v>378</v>
      </c>
      <c r="F364" t="s">
        <v>282</v>
      </c>
      <c r="G364" t="s">
        <v>147</v>
      </c>
      <c r="H364" t="s">
        <v>68</v>
      </c>
      <c r="I364" t="s">
        <v>29</v>
      </c>
      <c r="J364" t="s">
        <v>162</v>
      </c>
      <c r="K364" t="s">
        <v>200</v>
      </c>
      <c r="L364" t="s">
        <v>1394</v>
      </c>
      <c r="M364" t="s">
        <v>2322</v>
      </c>
      <c r="N364" t="s">
        <v>448</v>
      </c>
      <c r="O364" t="s">
        <v>1288</v>
      </c>
      <c r="P364" t="s">
        <v>1664</v>
      </c>
      <c r="Q364" t="s">
        <v>619</v>
      </c>
      <c r="R364" t="s">
        <v>2323</v>
      </c>
      <c r="S364" t="s">
        <v>39</v>
      </c>
      <c r="T364" t="s">
        <v>686</v>
      </c>
      <c r="U364" t="s">
        <v>128</v>
      </c>
      <c r="V364" t="s">
        <v>79</v>
      </c>
    </row>
    <row r="365" spans="1:22" x14ac:dyDescent="0.3">
      <c r="A365" t="s">
        <v>2324</v>
      </c>
      <c r="B365" t="s">
        <v>2277</v>
      </c>
      <c r="C365" t="s">
        <v>2278</v>
      </c>
      <c r="D365" t="s">
        <v>1776</v>
      </c>
      <c r="E365" t="s">
        <v>1321</v>
      </c>
      <c r="F365" t="s">
        <v>228</v>
      </c>
      <c r="G365" t="s">
        <v>27</v>
      </c>
      <c r="H365" t="s">
        <v>28</v>
      </c>
      <c r="I365" t="s">
        <v>1073</v>
      </c>
      <c r="J365" t="s">
        <v>30</v>
      </c>
      <c r="K365" t="s">
        <v>31</v>
      </c>
      <c r="L365" t="s">
        <v>682</v>
      </c>
      <c r="M365" t="s">
        <v>702</v>
      </c>
      <c r="N365" t="s">
        <v>233</v>
      </c>
      <c r="O365" t="s">
        <v>2325</v>
      </c>
      <c r="P365" t="s">
        <v>1744</v>
      </c>
      <c r="Q365" t="s">
        <v>721</v>
      </c>
      <c r="R365" t="s">
        <v>2326</v>
      </c>
      <c r="S365" t="s">
        <v>79</v>
      </c>
      <c r="T365" t="s">
        <v>321</v>
      </c>
      <c r="U365" t="s">
        <v>128</v>
      </c>
      <c r="V365" t="s">
        <v>114</v>
      </c>
    </row>
    <row r="366" spans="1:22" x14ac:dyDescent="0.3">
      <c r="A366" t="s">
        <v>2327</v>
      </c>
      <c r="B366" t="s">
        <v>1373</v>
      </c>
      <c r="C366" t="s">
        <v>1374</v>
      </c>
      <c r="D366" t="s">
        <v>1940</v>
      </c>
      <c r="E366" t="s">
        <v>65</v>
      </c>
      <c r="F366" t="s">
        <v>66</v>
      </c>
      <c r="G366" t="s">
        <v>118</v>
      </c>
      <c r="H366" t="s">
        <v>268</v>
      </c>
      <c r="I366" t="s">
        <v>29</v>
      </c>
      <c r="J366" t="s">
        <v>30</v>
      </c>
      <c r="K366" t="s">
        <v>89</v>
      </c>
      <c r="L366" t="s">
        <v>658</v>
      </c>
      <c r="M366" t="s">
        <v>106</v>
      </c>
      <c r="N366" t="s">
        <v>208</v>
      </c>
      <c r="O366" t="s">
        <v>636</v>
      </c>
      <c r="P366" t="s">
        <v>767</v>
      </c>
      <c r="Q366" t="s">
        <v>334</v>
      </c>
      <c r="R366" t="s">
        <v>2328</v>
      </c>
      <c r="S366" t="s">
        <v>182</v>
      </c>
      <c r="T366" t="s">
        <v>40</v>
      </c>
      <c r="U366" t="s">
        <v>277</v>
      </c>
      <c r="V366" t="s">
        <v>79</v>
      </c>
    </row>
    <row r="367" spans="1:22" x14ac:dyDescent="0.3">
      <c r="A367" t="s">
        <v>2329</v>
      </c>
      <c r="B367" t="s">
        <v>2330</v>
      </c>
      <c r="C367" t="s">
        <v>2331</v>
      </c>
      <c r="D367" t="s">
        <v>2332</v>
      </c>
      <c r="E367" t="s">
        <v>244</v>
      </c>
      <c r="F367" t="s">
        <v>244</v>
      </c>
      <c r="G367" t="s">
        <v>48</v>
      </c>
      <c r="H367" t="s">
        <v>68</v>
      </c>
      <c r="I367" t="s">
        <v>69</v>
      </c>
      <c r="J367" t="s">
        <v>70</v>
      </c>
      <c r="K367" t="s">
        <v>50</v>
      </c>
      <c r="L367" t="s">
        <v>258</v>
      </c>
      <c r="M367" t="s">
        <v>2333</v>
      </c>
      <c r="N367" t="s">
        <v>179</v>
      </c>
      <c r="O367" t="s">
        <v>2333</v>
      </c>
      <c r="P367" t="s">
        <v>848</v>
      </c>
      <c r="Q367" t="s">
        <v>334</v>
      </c>
      <c r="R367" t="s">
        <v>2334</v>
      </c>
      <c r="S367" t="s">
        <v>79</v>
      </c>
      <c r="T367" t="s">
        <v>167</v>
      </c>
      <c r="U367" t="s">
        <v>98</v>
      </c>
      <c r="V367" t="s">
        <v>58</v>
      </c>
    </row>
    <row r="368" spans="1:22" x14ac:dyDescent="0.3">
      <c r="A368" t="s">
        <v>2335</v>
      </c>
      <c r="B368" t="s">
        <v>2336</v>
      </c>
      <c r="C368" t="s">
        <v>2337</v>
      </c>
      <c r="D368" t="s">
        <v>2338</v>
      </c>
      <c r="E368" t="s">
        <v>87</v>
      </c>
      <c r="F368" t="s">
        <v>26</v>
      </c>
      <c r="G368" t="s">
        <v>48</v>
      </c>
      <c r="H368" t="s">
        <v>268</v>
      </c>
      <c r="I368" t="s">
        <v>29</v>
      </c>
      <c r="J368" t="s">
        <v>70</v>
      </c>
      <c r="K368" t="s">
        <v>89</v>
      </c>
      <c r="L368" t="s">
        <v>983</v>
      </c>
      <c r="M368" t="s">
        <v>2339</v>
      </c>
      <c r="N368" t="s">
        <v>179</v>
      </c>
      <c r="O368" t="s">
        <v>2339</v>
      </c>
      <c r="P368" t="s">
        <v>2340</v>
      </c>
      <c r="Q368" t="s">
        <v>792</v>
      </c>
      <c r="R368" t="s">
        <v>2341</v>
      </c>
      <c r="S368" t="s">
        <v>58</v>
      </c>
      <c r="T368" t="s">
        <v>237</v>
      </c>
      <c r="U368" t="s">
        <v>171</v>
      </c>
      <c r="V368" t="s">
        <v>79</v>
      </c>
    </row>
    <row r="369" spans="1:22" x14ac:dyDescent="0.3">
      <c r="A369" t="s">
        <v>2342</v>
      </c>
      <c r="B369" t="s">
        <v>494</v>
      </c>
      <c r="C369" t="s">
        <v>495</v>
      </c>
      <c r="D369" t="s">
        <v>2343</v>
      </c>
      <c r="E369" t="s">
        <v>378</v>
      </c>
      <c r="F369" t="s">
        <v>282</v>
      </c>
      <c r="G369" t="s">
        <v>48</v>
      </c>
      <c r="H369" t="s">
        <v>88</v>
      </c>
      <c r="I369" t="s">
        <v>29</v>
      </c>
      <c r="J369" t="s">
        <v>30</v>
      </c>
      <c r="K369" t="s">
        <v>230</v>
      </c>
      <c r="L369" t="s">
        <v>1049</v>
      </c>
      <c r="M369" t="s">
        <v>1315</v>
      </c>
      <c r="N369" t="s">
        <v>328</v>
      </c>
      <c r="O369" t="s">
        <v>1699</v>
      </c>
      <c r="P369" t="s">
        <v>693</v>
      </c>
      <c r="Q369" t="s">
        <v>1322</v>
      </c>
      <c r="R369" t="s">
        <v>2344</v>
      </c>
      <c r="S369" t="s">
        <v>58</v>
      </c>
      <c r="T369" t="s">
        <v>655</v>
      </c>
      <c r="U369" t="s">
        <v>238</v>
      </c>
      <c r="V369" t="s">
        <v>82</v>
      </c>
    </row>
    <row r="370" spans="1:22" x14ac:dyDescent="0.3">
      <c r="A370" t="s">
        <v>2345</v>
      </c>
      <c r="B370" t="s">
        <v>2346</v>
      </c>
      <c r="C370" t="s">
        <v>2347</v>
      </c>
      <c r="D370" t="s">
        <v>2348</v>
      </c>
      <c r="E370" t="s">
        <v>134</v>
      </c>
      <c r="F370" t="s">
        <v>134</v>
      </c>
      <c r="G370" t="s">
        <v>118</v>
      </c>
      <c r="H370" t="s">
        <v>268</v>
      </c>
      <c r="I370" t="s">
        <v>29</v>
      </c>
      <c r="J370" t="s">
        <v>162</v>
      </c>
      <c r="K370" t="s">
        <v>230</v>
      </c>
      <c r="L370" t="s">
        <v>1156</v>
      </c>
      <c r="M370" t="s">
        <v>450</v>
      </c>
      <c r="N370" t="s">
        <v>165</v>
      </c>
      <c r="O370" t="s">
        <v>1068</v>
      </c>
      <c r="P370" t="s">
        <v>193</v>
      </c>
      <c r="Q370" t="s">
        <v>842</v>
      </c>
      <c r="R370" t="s">
        <v>2349</v>
      </c>
      <c r="S370" t="s">
        <v>126</v>
      </c>
      <c r="T370" t="s">
        <v>677</v>
      </c>
      <c r="U370" t="s">
        <v>155</v>
      </c>
      <c r="V370" t="s">
        <v>82</v>
      </c>
    </row>
    <row r="371" spans="1:22" x14ac:dyDescent="0.3">
      <c r="A371" t="s">
        <v>2350</v>
      </c>
      <c r="B371" t="s">
        <v>2351</v>
      </c>
      <c r="C371" t="s">
        <v>2352</v>
      </c>
      <c r="D371" t="s">
        <v>1532</v>
      </c>
      <c r="E371" t="s">
        <v>282</v>
      </c>
      <c r="F371" t="s">
        <v>282</v>
      </c>
      <c r="G371" t="s">
        <v>213</v>
      </c>
      <c r="H371" t="s">
        <v>268</v>
      </c>
      <c r="I371" t="s">
        <v>69</v>
      </c>
      <c r="J371" t="s">
        <v>257</v>
      </c>
      <c r="K371" t="s">
        <v>89</v>
      </c>
      <c r="L371" t="s">
        <v>1211</v>
      </c>
      <c r="M371" t="s">
        <v>2353</v>
      </c>
      <c r="N371" t="s">
        <v>553</v>
      </c>
      <c r="O371" t="s">
        <v>1236</v>
      </c>
      <c r="P371" t="s">
        <v>1069</v>
      </c>
      <c r="Q371" t="s">
        <v>1396</v>
      </c>
      <c r="R371" t="s">
        <v>2354</v>
      </c>
      <c r="S371" t="s">
        <v>97</v>
      </c>
      <c r="T371" t="s">
        <v>107</v>
      </c>
      <c r="U371" t="s">
        <v>238</v>
      </c>
      <c r="V371" t="s">
        <v>79</v>
      </c>
    </row>
    <row r="372" spans="1:22" x14ac:dyDescent="0.3">
      <c r="A372" t="s">
        <v>2355</v>
      </c>
      <c r="B372" t="s">
        <v>157</v>
      </c>
      <c r="C372" t="s">
        <v>158</v>
      </c>
      <c r="D372" t="s">
        <v>2356</v>
      </c>
      <c r="E372" t="s">
        <v>893</v>
      </c>
      <c r="F372" t="s">
        <v>188</v>
      </c>
      <c r="G372" t="s">
        <v>48</v>
      </c>
      <c r="H372" t="s">
        <v>214</v>
      </c>
      <c r="I372" t="s">
        <v>29</v>
      </c>
      <c r="J372" t="s">
        <v>30</v>
      </c>
      <c r="K372" t="s">
        <v>89</v>
      </c>
      <c r="L372" t="s">
        <v>812</v>
      </c>
      <c r="M372" t="s">
        <v>1517</v>
      </c>
      <c r="N372" t="s">
        <v>261</v>
      </c>
      <c r="O372" t="s">
        <v>664</v>
      </c>
      <c r="P372" t="s">
        <v>881</v>
      </c>
      <c r="Q372" t="s">
        <v>76</v>
      </c>
      <c r="R372" t="s">
        <v>2357</v>
      </c>
      <c r="S372" t="s">
        <v>182</v>
      </c>
      <c r="T372" t="s">
        <v>461</v>
      </c>
      <c r="U372" t="s">
        <v>394</v>
      </c>
      <c r="V372" t="s">
        <v>82</v>
      </c>
    </row>
    <row r="373" spans="1:22" x14ac:dyDescent="0.3">
      <c r="A373" t="s">
        <v>2358</v>
      </c>
      <c r="B373" t="s">
        <v>302</v>
      </c>
      <c r="C373" t="s">
        <v>303</v>
      </c>
      <c r="D373" t="s">
        <v>2359</v>
      </c>
      <c r="E373" t="s">
        <v>672</v>
      </c>
      <c r="F373" t="s">
        <v>244</v>
      </c>
      <c r="G373" t="s">
        <v>213</v>
      </c>
      <c r="H373" t="s">
        <v>88</v>
      </c>
      <c r="I373" t="s">
        <v>69</v>
      </c>
      <c r="J373" t="s">
        <v>30</v>
      </c>
      <c r="K373" t="s">
        <v>89</v>
      </c>
      <c r="L373" t="s">
        <v>773</v>
      </c>
      <c r="M373" t="s">
        <v>2360</v>
      </c>
      <c r="N373" t="s">
        <v>1456</v>
      </c>
      <c r="O373" t="s">
        <v>2361</v>
      </c>
      <c r="P373" t="s">
        <v>1543</v>
      </c>
      <c r="Q373" t="s">
        <v>180</v>
      </c>
      <c r="R373" t="s">
        <v>2362</v>
      </c>
      <c r="S373" t="s">
        <v>79</v>
      </c>
      <c r="T373" t="s">
        <v>55</v>
      </c>
      <c r="U373" t="s">
        <v>171</v>
      </c>
      <c r="V373" t="s">
        <v>114</v>
      </c>
    </row>
    <row r="374" spans="1:22" x14ac:dyDescent="0.3">
      <c r="A374" t="s">
        <v>2363</v>
      </c>
      <c r="B374" t="s">
        <v>2364</v>
      </c>
      <c r="C374" t="s">
        <v>2365</v>
      </c>
      <c r="D374" t="s">
        <v>2366</v>
      </c>
      <c r="E374" t="s">
        <v>417</v>
      </c>
      <c r="F374" t="s">
        <v>134</v>
      </c>
      <c r="G374" t="s">
        <v>103</v>
      </c>
      <c r="H374" t="s">
        <v>268</v>
      </c>
      <c r="I374" t="s">
        <v>29</v>
      </c>
      <c r="J374" t="s">
        <v>30</v>
      </c>
      <c r="K374" t="s">
        <v>293</v>
      </c>
      <c r="L374" t="s">
        <v>1049</v>
      </c>
      <c r="M374" t="s">
        <v>1353</v>
      </c>
      <c r="N374" t="s">
        <v>165</v>
      </c>
      <c r="O374" t="s">
        <v>1848</v>
      </c>
      <c r="P374" t="s">
        <v>2112</v>
      </c>
      <c r="Q374" t="s">
        <v>959</v>
      </c>
      <c r="R374" t="s">
        <v>2367</v>
      </c>
      <c r="S374" t="s">
        <v>126</v>
      </c>
      <c r="T374" t="s">
        <v>583</v>
      </c>
      <c r="U374" t="s">
        <v>508</v>
      </c>
      <c r="V374" t="s">
        <v>79</v>
      </c>
    </row>
    <row r="375" spans="1:22" x14ac:dyDescent="0.3">
      <c r="A375" t="s">
        <v>2368</v>
      </c>
      <c r="B375" t="s">
        <v>1512</v>
      </c>
      <c r="C375" t="s">
        <v>1513</v>
      </c>
      <c r="D375" t="s">
        <v>2369</v>
      </c>
      <c r="E375" t="s">
        <v>161</v>
      </c>
      <c r="F375" t="s">
        <v>161</v>
      </c>
      <c r="G375" t="s">
        <v>580</v>
      </c>
      <c r="H375" t="s">
        <v>68</v>
      </c>
      <c r="I375" t="s">
        <v>69</v>
      </c>
      <c r="J375" t="s">
        <v>30</v>
      </c>
      <c r="K375" t="s">
        <v>293</v>
      </c>
      <c r="L375" t="s">
        <v>2370</v>
      </c>
      <c r="M375" t="s">
        <v>842</v>
      </c>
      <c r="N375" t="s">
        <v>179</v>
      </c>
      <c r="O375" t="s">
        <v>842</v>
      </c>
      <c r="P375" t="s">
        <v>391</v>
      </c>
      <c r="Q375" t="s">
        <v>127</v>
      </c>
      <c r="R375" t="s">
        <v>2371</v>
      </c>
      <c r="S375" t="s">
        <v>58</v>
      </c>
      <c r="T375" t="s">
        <v>648</v>
      </c>
      <c r="U375" t="s">
        <v>60</v>
      </c>
      <c r="V375" t="s">
        <v>58</v>
      </c>
    </row>
    <row r="376" spans="1:22" x14ac:dyDescent="0.3">
      <c r="A376" t="s">
        <v>2372</v>
      </c>
      <c r="B376" t="s">
        <v>951</v>
      </c>
      <c r="C376" t="s">
        <v>952</v>
      </c>
      <c r="D376" t="s">
        <v>2373</v>
      </c>
      <c r="E376" t="s">
        <v>188</v>
      </c>
      <c r="F376" t="s">
        <v>188</v>
      </c>
      <c r="G376" t="s">
        <v>67</v>
      </c>
      <c r="H376" t="s">
        <v>88</v>
      </c>
      <c r="I376" t="s">
        <v>69</v>
      </c>
      <c r="J376" t="s">
        <v>70</v>
      </c>
      <c r="K376" t="s">
        <v>230</v>
      </c>
      <c r="L376" t="s">
        <v>201</v>
      </c>
      <c r="M376" t="s">
        <v>1272</v>
      </c>
      <c r="N376" t="s">
        <v>751</v>
      </c>
      <c r="O376" t="s">
        <v>73</v>
      </c>
      <c r="P376" t="s">
        <v>1931</v>
      </c>
      <c r="Q376" t="s">
        <v>110</v>
      </c>
      <c r="R376" t="s">
        <v>2374</v>
      </c>
      <c r="S376" t="s">
        <v>58</v>
      </c>
      <c r="T376" t="s">
        <v>92</v>
      </c>
      <c r="U376" t="s">
        <v>171</v>
      </c>
      <c r="V376" t="s">
        <v>42</v>
      </c>
    </row>
    <row r="377" spans="1:22" x14ac:dyDescent="0.3">
      <c r="A377" t="s">
        <v>2375</v>
      </c>
      <c r="B377" t="s">
        <v>1881</v>
      </c>
      <c r="C377" t="s">
        <v>1882</v>
      </c>
      <c r="D377" t="s">
        <v>633</v>
      </c>
      <c r="E377" t="s">
        <v>227</v>
      </c>
      <c r="F377" t="s">
        <v>228</v>
      </c>
      <c r="G377" t="s">
        <v>67</v>
      </c>
      <c r="H377" t="s">
        <v>28</v>
      </c>
      <c r="I377" t="s">
        <v>69</v>
      </c>
      <c r="J377" t="s">
        <v>70</v>
      </c>
      <c r="K377" t="s">
        <v>31</v>
      </c>
      <c r="L377" t="s">
        <v>1049</v>
      </c>
      <c r="M377" t="s">
        <v>781</v>
      </c>
      <c r="N377" t="s">
        <v>677</v>
      </c>
      <c r="O377" t="s">
        <v>1844</v>
      </c>
      <c r="P377" t="s">
        <v>798</v>
      </c>
      <c r="Q377" t="s">
        <v>637</v>
      </c>
      <c r="R377" t="s">
        <v>536</v>
      </c>
      <c r="S377" t="s">
        <v>182</v>
      </c>
      <c r="T377" t="s">
        <v>604</v>
      </c>
      <c r="U377" t="s">
        <v>394</v>
      </c>
      <c r="V377" t="s">
        <v>42</v>
      </c>
    </row>
    <row r="378" spans="1:22" x14ac:dyDescent="0.3">
      <c r="A378" t="s">
        <v>2376</v>
      </c>
      <c r="B378" t="s">
        <v>787</v>
      </c>
      <c r="C378" t="s">
        <v>788</v>
      </c>
      <c r="D378" t="s">
        <v>2041</v>
      </c>
      <c r="E378" t="s">
        <v>244</v>
      </c>
      <c r="F378" t="s">
        <v>244</v>
      </c>
      <c r="G378" t="s">
        <v>103</v>
      </c>
      <c r="H378" t="s">
        <v>268</v>
      </c>
      <c r="I378" t="s">
        <v>69</v>
      </c>
      <c r="J378" t="s">
        <v>30</v>
      </c>
      <c r="K378" t="s">
        <v>71</v>
      </c>
      <c r="L378" t="s">
        <v>598</v>
      </c>
      <c r="M378" t="s">
        <v>1952</v>
      </c>
      <c r="N378" t="s">
        <v>344</v>
      </c>
      <c r="O378" t="s">
        <v>2377</v>
      </c>
      <c r="P378" t="s">
        <v>106</v>
      </c>
      <c r="Q378" t="s">
        <v>2378</v>
      </c>
      <c r="R378" t="s">
        <v>2379</v>
      </c>
      <c r="S378" t="s">
        <v>182</v>
      </c>
      <c r="T378" t="s">
        <v>655</v>
      </c>
      <c r="U378" t="s">
        <v>98</v>
      </c>
      <c r="V378" t="s">
        <v>82</v>
      </c>
    </row>
    <row r="379" spans="1:22" x14ac:dyDescent="0.3">
      <c r="A379" t="s">
        <v>2380</v>
      </c>
      <c r="B379" t="s">
        <v>2057</v>
      </c>
      <c r="C379" t="s">
        <v>2058</v>
      </c>
      <c r="D379" t="s">
        <v>1906</v>
      </c>
      <c r="E379" t="s">
        <v>66</v>
      </c>
      <c r="F379" t="s">
        <v>66</v>
      </c>
      <c r="G379" t="s">
        <v>580</v>
      </c>
      <c r="H379" t="s">
        <v>2381</v>
      </c>
      <c r="I379" t="s">
        <v>69</v>
      </c>
      <c r="J379" t="s">
        <v>30</v>
      </c>
      <c r="K379" t="s">
        <v>215</v>
      </c>
      <c r="L379" t="s">
        <v>1139</v>
      </c>
      <c r="M379" t="s">
        <v>52</v>
      </c>
      <c r="N379" t="s">
        <v>499</v>
      </c>
      <c r="O379" t="s">
        <v>180</v>
      </c>
      <c r="P379" t="s">
        <v>167</v>
      </c>
      <c r="Q379" t="s">
        <v>1230</v>
      </c>
      <c r="R379" t="s">
        <v>2382</v>
      </c>
      <c r="S379" t="s">
        <v>97</v>
      </c>
      <c r="T379" t="s">
        <v>142</v>
      </c>
      <c r="U379" t="s">
        <v>472</v>
      </c>
      <c r="V379" t="s">
        <v>58</v>
      </c>
    </row>
    <row r="380" spans="1:22" x14ac:dyDescent="0.3">
      <c r="A380" t="s">
        <v>2383</v>
      </c>
      <c r="B380" t="s">
        <v>2384</v>
      </c>
      <c r="C380" t="s">
        <v>2385</v>
      </c>
      <c r="D380" t="s">
        <v>2002</v>
      </c>
      <c r="E380" t="s">
        <v>160</v>
      </c>
      <c r="F380" t="s">
        <v>161</v>
      </c>
      <c r="G380" t="s">
        <v>118</v>
      </c>
      <c r="H380" t="s">
        <v>268</v>
      </c>
      <c r="I380" t="s">
        <v>69</v>
      </c>
      <c r="J380" t="s">
        <v>30</v>
      </c>
      <c r="K380" t="s">
        <v>293</v>
      </c>
      <c r="L380" t="s">
        <v>598</v>
      </c>
      <c r="M380" t="s">
        <v>2386</v>
      </c>
      <c r="N380" t="s">
        <v>179</v>
      </c>
      <c r="O380" t="s">
        <v>2386</v>
      </c>
      <c r="P380" t="s">
        <v>2387</v>
      </c>
      <c r="Q380" t="s">
        <v>355</v>
      </c>
      <c r="R380" t="s">
        <v>2388</v>
      </c>
      <c r="S380" t="s">
        <v>126</v>
      </c>
      <c r="T380" t="s">
        <v>733</v>
      </c>
      <c r="U380" t="s">
        <v>128</v>
      </c>
      <c r="V380" t="s">
        <v>42</v>
      </c>
    </row>
    <row r="381" spans="1:22" x14ac:dyDescent="0.3">
      <c r="A381" t="s">
        <v>2389</v>
      </c>
      <c r="B381" t="s">
        <v>1391</v>
      </c>
      <c r="C381" t="s">
        <v>1392</v>
      </c>
      <c r="D381" t="s">
        <v>1339</v>
      </c>
      <c r="E381" t="s">
        <v>780</v>
      </c>
      <c r="F381" t="s">
        <v>282</v>
      </c>
      <c r="G381" t="s">
        <v>67</v>
      </c>
      <c r="H381" t="s">
        <v>268</v>
      </c>
      <c r="I381" t="s">
        <v>29</v>
      </c>
      <c r="J381" t="s">
        <v>70</v>
      </c>
      <c r="K381" t="s">
        <v>230</v>
      </c>
      <c r="L381" t="s">
        <v>691</v>
      </c>
      <c r="M381" t="s">
        <v>108</v>
      </c>
      <c r="N381" t="s">
        <v>150</v>
      </c>
      <c r="O381" t="s">
        <v>915</v>
      </c>
      <c r="P381" t="s">
        <v>1402</v>
      </c>
      <c r="Q381" t="s">
        <v>392</v>
      </c>
      <c r="R381" t="s">
        <v>743</v>
      </c>
      <c r="S381" t="s">
        <v>79</v>
      </c>
      <c r="T381" t="s">
        <v>299</v>
      </c>
      <c r="U381" t="s">
        <v>362</v>
      </c>
      <c r="V381" t="s">
        <v>114</v>
      </c>
    </row>
    <row r="382" spans="1:22" x14ac:dyDescent="0.3">
      <c r="A382" t="s">
        <v>2390</v>
      </c>
      <c r="B382" t="s">
        <v>2364</v>
      </c>
      <c r="C382" t="s">
        <v>2365</v>
      </c>
      <c r="D382" t="s">
        <v>1188</v>
      </c>
      <c r="E382" t="s">
        <v>133</v>
      </c>
      <c r="F382" t="s">
        <v>134</v>
      </c>
      <c r="G382" t="s">
        <v>147</v>
      </c>
      <c r="H382" t="s">
        <v>214</v>
      </c>
      <c r="I382" t="s">
        <v>29</v>
      </c>
      <c r="J382" t="s">
        <v>70</v>
      </c>
      <c r="K382" t="s">
        <v>200</v>
      </c>
      <c r="L382" t="s">
        <v>1295</v>
      </c>
      <c r="M382" t="s">
        <v>599</v>
      </c>
      <c r="N382" t="s">
        <v>328</v>
      </c>
      <c r="O382" t="s">
        <v>2391</v>
      </c>
      <c r="P382" t="s">
        <v>1931</v>
      </c>
      <c r="Q382" t="s">
        <v>1051</v>
      </c>
      <c r="R382" t="s">
        <v>2392</v>
      </c>
      <c r="S382" t="s">
        <v>126</v>
      </c>
      <c r="T382" t="s">
        <v>1303</v>
      </c>
      <c r="U382" t="s">
        <v>288</v>
      </c>
      <c r="V382" t="s">
        <v>82</v>
      </c>
    </row>
    <row r="383" spans="1:22" x14ac:dyDescent="0.3">
      <c r="A383" t="s">
        <v>2393</v>
      </c>
      <c r="B383" t="s">
        <v>1830</v>
      </c>
      <c r="C383" t="s">
        <v>1831</v>
      </c>
      <c r="D383" t="s">
        <v>1963</v>
      </c>
      <c r="E383" t="s">
        <v>160</v>
      </c>
      <c r="F383" t="s">
        <v>161</v>
      </c>
      <c r="G383" t="s">
        <v>103</v>
      </c>
      <c r="H383" t="s">
        <v>229</v>
      </c>
      <c r="I383" t="s">
        <v>69</v>
      </c>
      <c r="J383" t="s">
        <v>30</v>
      </c>
      <c r="K383" t="s">
        <v>293</v>
      </c>
      <c r="L383" t="s">
        <v>749</v>
      </c>
      <c r="M383" t="s">
        <v>1705</v>
      </c>
      <c r="N383" t="s">
        <v>567</v>
      </c>
      <c r="O383" t="s">
        <v>194</v>
      </c>
      <c r="P383" t="s">
        <v>2378</v>
      </c>
      <c r="Q383" t="s">
        <v>573</v>
      </c>
      <c r="R383" t="s">
        <v>2394</v>
      </c>
      <c r="S383" t="s">
        <v>97</v>
      </c>
      <c r="T383" t="s">
        <v>261</v>
      </c>
      <c r="U383" t="s">
        <v>288</v>
      </c>
      <c r="V383" t="s">
        <v>114</v>
      </c>
    </row>
    <row r="384" spans="1:22" x14ac:dyDescent="0.3">
      <c r="A384" t="s">
        <v>2395</v>
      </c>
      <c r="B384" t="s">
        <v>130</v>
      </c>
      <c r="C384" t="s">
        <v>131</v>
      </c>
      <c r="D384" t="s">
        <v>2215</v>
      </c>
      <c r="E384" t="s">
        <v>282</v>
      </c>
      <c r="F384" t="s">
        <v>282</v>
      </c>
      <c r="G384" t="s">
        <v>213</v>
      </c>
      <c r="H384" t="s">
        <v>268</v>
      </c>
      <c r="I384" t="s">
        <v>69</v>
      </c>
      <c r="J384" t="s">
        <v>30</v>
      </c>
      <c r="K384" t="s">
        <v>50</v>
      </c>
      <c r="L384" t="s">
        <v>682</v>
      </c>
      <c r="M384" t="s">
        <v>429</v>
      </c>
      <c r="N384" t="s">
        <v>710</v>
      </c>
      <c r="O384" t="s">
        <v>1412</v>
      </c>
      <c r="P384" t="s">
        <v>1872</v>
      </c>
      <c r="Q384" t="s">
        <v>1004</v>
      </c>
      <c r="R384" t="s">
        <v>2396</v>
      </c>
      <c r="S384" t="s">
        <v>39</v>
      </c>
      <c r="T384" t="s">
        <v>441</v>
      </c>
      <c r="U384" t="s">
        <v>568</v>
      </c>
      <c r="V384" t="s">
        <v>79</v>
      </c>
    </row>
    <row r="385" spans="1:22" x14ac:dyDescent="0.3">
      <c r="A385" t="s">
        <v>2397</v>
      </c>
      <c r="B385" t="s">
        <v>1945</v>
      </c>
      <c r="C385" t="s">
        <v>1946</v>
      </c>
      <c r="D385" t="s">
        <v>1930</v>
      </c>
      <c r="E385" t="s">
        <v>227</v>
      </c>
      <c r="F385" t="s">
        <v>228</v>
      </c>
      <c r="G385" t="s">
        <v>118</v>
      </c>
      <c r="H385" t="s">
        <v>104</v>
      </c>
      <c r="I385" t="s">
        <v>69</v>
      </c>
      <c r="J385" t="s">
        <v>70</v>
      </c>
      <c r="K385" t="s">
        <v>50</v>
      </c>
      <c r="L385" t="s">
        <v>1394</v>
      </c>
      <c r="M385" t="s">
        <v>880</v>
      </c>
      <c r="N385" t="s">
        <v>1013</v>
      </c>
      <c r="O385" t="s">
        <v>2086</v>
      </c>
      <c r="P385" t="s">
        <v>1383</v>
      </c>
      <c r="Q385" t="s">
        <v>168</v>
      </c>
      <c r="R385" t="s">
        <v>2382</v>
      </c>
      <c r="S385" t="s">
        <v>79</v>
      </c>
      <c r="T385" t="s">
        <v>461</v>
      </c>
      <c r="U385" t="s">
        <v>407</v>
      </c>
      <c r="V385" t="s">
        <v>82</v>
      </c>
    </row>
    <row r="386" spans="1:22" x14ac:dyDescent="0.3">
      <c r="A386" t="s">
        <v>2398</v>
      </c>
      <c r="B386" t="s">
        <v>1131</v>
      </c>
      <c r="C386" t="s">
        <v>1132</v>
      </c>
      <c r="D386" t="s">
        <v>2399</v>
      </c>
      <c r="E386" t="s">
        <v>417</v>
      </c>
      <c r="F386" t="s">
        <v>134</v>
      </c>
      <c r="G386" t="s">
        <v>118</v>
      </c>
      <c r="H386" t="s">
        <v>268</v>
      </c>
      <c r="I386" t="s">
        <v>69</v>
      </c>
      <c r="J386" t="s">
        <v>70</v>
      </c>
      <c r="K386" t="s">
        <v>200</v>
      </c>
      <c r="L386" t="s">
        <v>2400</v>
      </c>
      <c r="M386" t="s">
        <v>2401</v>
      </c>
      <c r="N386" t="s">
        <v>721</v>
      </c>
      <c r="O386" t="s">
        <v>1158</v>
      </c>
      <c r="P386" t="s">
        <v>36</v>
      </c>
      <c r="Q386" t="s">
        <v>142</v>
      </c>
      <c r="R386" t="s">
        <v>2402</v>
      </c>
      <c r="S386" t="s">
        <v>182</v>
      </c>
      <c r="T386" t="s">
        <v>308</v>
      </c>
      <c r="U386" t="s">
        <v>362</v>
      </c>
      <c r="V386" t="s">
        <v>82</v>
      </c>
    </row>
    <row r="387" spans="1:22" x14ac:dyDescent="0.3">
      <c r="A387" t="s">
        <v>2403</v>
      </c>
      <c r="B387" t="s">
        <v>2005</v>
      </c>
      <c r="C387" t="s">
        <v>2006</v>
      </c>
      <c r="D387" t="s">
        <v>496</v>
      </c>
      <c r="E387" t="s">
        <v>378</v>
      </c>
      <c r="F387" t="s">
        <v>282</v>
      </c>
      <c r="G387" t="s">
        <v>27</v>
      </c>
      <c r="H387" t="s">
        <v>214</v>
      </c>
      <c r="I387" t="s">
        <v>29</v>
      </c>
      <c r="J387" t="s">
        <v>162</v>
      </c>
      <c r="K387" t="s">
        <v>293</v>
      </c>
      <c r="L387" t="s">
        <v>691</v>
      </c>
      <c r="M387" t="s">
        <v>2404</v>
      </c>
      <c r="N387" t="s">
        <v>179</v>
      </c>
      <c r="O387" t="s">
        <v>2404</v>
      </c>
      <c r="P387" t="s">
        <v>2405</v>
      </c>
      <c r="Q387" t="s">
        <v>35</v>
      </c>
      <c r="R387" t="s">
        <v>2406</v>
      </c>
      <c r="S387" t="s">
        <v>79</v>
      </c>
      <c r="T387" t="s">
        <v>40</v>
      </c>
      <c r="U387" t="s">
        <v>288</v>
      </c>
      <c r="V387" t="s">
        <v>58</v>
      </c>
    </row>
    <row r="388" spans="1:22" x14ac:dyDescent="0.3">
      <c r="A388" t="s">
        <v>2407</v>
      </c>
      <c r="B388" t="s">
        <v>1269</v>
      </c>
      <c r="C388" t="s">
        <v>1270</v>
      </c>
      <c r="D388" t="s">
        <v>1027</v>
      </c>
      <c r="E388" t="s">
        <v>26</v>
      </c>
      <c r="F388" t="s">
        <v>26</v>
      </c>
      <c r="G388" t="s">
        <v>213</v>
      </c>
      <c r="H388" t="s">
        <v>68</v>
      </c>
      <c r="I388" t="s">
        <v>69</v>
      </c>
      <c r="J388" t="s">
        <v>30</v>
      </c>
      <c r="K388" t="s">
        <v>50</v>
      </c>
      <c r="L388" t="s">
        <v>163</v>
      </c>
      <c r="M388" t="s">
        <v>1554</v>
      </c>
      <c r="N388" t="s">
        <v>1013</v>
      </c>
      <c r="O388" t="s">
        <v>368</v>
      </c>
      <c r="P388" t="s">
        <v>985</v>
      </c>
      <c r="Q388" t="s">
        <v>286</v>
      </c>
      <c r="R388" t="s">
        <v>2408</v>
      </c>
      <c r="S388" t="s">
        <v>79</v>
      </c>
      <c r="T388" t="s">
        <v>165</v>
      </c>
      <c r="U388" t="s">
        <v>362</v>
      </c>
      <c r="V388" t="s">
        <v>82</v>
      </c>
    </row>
    <row r="389" spans="1:22" x14ac:dyDescent="0.3">
      <c r="A389" t="s">
        <v>2409</v>
      </c>
      <c r="B389" t="s">
        <v>2410</v>
      </c>
      <c r="C389" t="s">
        <v>2411</v>
      </c>
      <c r="D389" t="s">
        <v>2412</v>
      </c>
      <c r="E389" t="s">
        <v>160</v>
      </c>
      <c r="F389" t="s">
        <v>161</v>
      </c>
      <c r="G389" t="s">
        <v>213</v>
      </c>
      <c r="H389" t="s">
        <v>104</v>
      </c>
      <c r="I389" t="s">
        <v>69</v>
      </c>
      <c r="J389" t="s">
        <v>30</v>
      </c>
      <c r="K389" t="s">
        <v>71</v>
      </c>
      <c r="L389" t="s">
        <v>487</v>
      </c>
      <c r="M389" t="s">
        <v>2413</v>
      </c>
      <c r="N389" t="s">
        <v>984</v>
      </c>
      <c r="O389" t="s">
        <v>2414</v>
      </c>
      <c r="P389" t="s">
        <v>2415</v>
      </c>
      <c r="Q389" t="s">
        <v>1000</v>
      </c>
      <c r="R389" t="s">
        <v>2416</v>
      </c>
      <c r="S389" t="s">
        <v>58</v>
      </c>
      <c r="T389" t="s">
        <v>1000</v>
      </c>
      <c r="U389" t="s">
        <v>300</v>
      </c>
      <c r="V389" t="s">
        <v>82</v>
      </c>
    </row>
    <row r="390" spans="1:22" x14ac:dyDescent="0.3">
      <c r="A390" t="s">
        <v>2417</v>
      </c>
      <c r="B390" t="s">
        <v>1787</v>
      </c>
      <c r="C390" t="s">
        <v>1788</v>
      </c>
      <c r="D390" t="s">
        <v>2418</v>
      </c>
      <c r="E390" t="s">
        <v>634</v>
      </c>
      <c r="F390" t="s">
        <v>228</v>
      </c>
      <c r="G390" t="s">
        <v>103</v>
      </c>
      <c r="H390" t="s">
        <v>68</v>
      </c>
      <c r="I390" t="s">
        <v>29</v>
      </c>
      <c r="J390" t="s">
        <v>30</v>
      </c>
      <c r="K390" t="s">
        <v>293</v>
      </c>
      <c r="L390" t="s">
        <v>367</v>
      </c>
      <c r="M390" t="s">
        <v>929</v>
      </c>
      <c r="N390" t="s">
        <v>179</v>
      </c>
      <c r="O390" t="s">
        <v>929</v>
      </c>
      <c r="P390" t="s">
        <v>120</v>
      </c>
      <c r="Q390" t="s">
        <v>1689</v>
      </c>
      <c r="R390" t="s">
        <v>2419</v>
      </c>
      <c r="S390" t="s">
        <v>182</v>
      </c>
      <c r="T390" t="s">
        <v>55</v>
      </c>
      <c r="U390" t="s">
        <v>423</v>
      </c>
      <c r="V390" t="s">
        <v>114</v>
      </c>
    </row>
    <row r="391" spans="1:22" x14ac:dyDescent="0.3">
      <c r="A391" t="s">
        <v>2420</v>
      </c>
      <c r="B391" t="s">
        <v>2330</v>
      </c>
      <c r="C391" t="s">
        <v>2331</v>
      </c>
      <c r="D391" t="s">
        <v>2421</v>
      </c>
      <c r="E391" t="s">
        <v>378</v>
      </c>
      <c r="F391" t="s">
        <v>282</v>
      </c>
      <c r="G391" t="s">
        <v>48</v>
      </c>
      <c r="H391" t="s">
        <v>28</v>
      </c>
      <c r="I391" t="s">
        <v>69</v>
      </c>
      <c r="J391" t="s">
        <v>30</v>
      </c>
      <c r="K391" t="s">
        <v>71</v>
      </c>
      <c r="L391" t="s">
        <v>1295</v>
      </c>
      <c r="M391" t="s">
        <v>284</v>
      </c>
      <c r="N391" t="s">
        <v>686</v>
      </c>
      <c r="O391" t="s">
        <v>379</v>
      </c>
      <c r="P391" t="s">
        <v>1664</v>
      </c>
      <c r="Q391" t="s">
        <v>95</v>
      </c>
      <c r="R391" t="s">
        <v>2422</v>
      </c>
      <c r="S391" t="s">
        <v>58</v>
      </c>
      <c r="T391" t="s">
        <v>440</v>
      </c>
      <c r="U391" t="s">
        <v>394</v>
      </c>
      <c r="V391" t="s">
        <v>79</v>
      </c>
    </row>
    <row r="392" spans="1:22" x14ac:dyDescent="0.3">
      <c r="A392" t="s">
        <v>2423</v>
      </c>
      <c r="B392" t="s">
        <v>1869</v>
      </c>
      <c r="C392" t="s">
        <v>1870</v>
      </c>
      <c r="D392" t="s">
        <v>1654</v>
      </c>
      <c r="E392" t="s">
        <v>161</v>
      </c>
      <c r="F392" t="s">
        <v>161</v>
      </c>
      <c r="G392" t="s">
        <v>147</v>
      </c>
      <c r="H392" t="s">
        <v>229</v>
      </c>
      <c r="I392" t="s">
        <v>29</v>
      </c>
      <c r="J392" t="s">
        <v>30</v>
      </c>
      <c r="K392" t="s">
        <v>50</v>
      </c>
      <c r="L392" t="s">
        <v>487</v>
      </c>
      <c r="M392" t="s">
        <v>2424</v>
      </c>
      <c r="N392" t="s">
        <v>179</v>
      </c>
      <c r="O392" t="s">
        <v>2424</v>
      </c>
      <c r="P392" t="s">
        <v>1604</v>
      </c>
      <c r="Q392" t="s">
        <v>524</v>
      </c>
      <c r="R392" t="s">
        <v>719</v>
      </c>
      <c r="S392" t="s">
        <v>182</v>
      </c>
      <c r="T392" t="s">
        <v>1116</v>
      </c>
      <c r="U392" t="s">
        <v>423</v>
      </c>
      <c r="V392" t="s">
        <v>114</v>
      </c>
    </row>
    <row r="393" spans="1:22" x14ac:dyDescent="0.3">
      <c r="A393" t="s">
        <v>2425</v>
      </c>
      <c r="B393" t="s">
        <v>2426</v>
      </c>
      <c r="C393" t="s">
        <v>2427</v>
      </c>
      <c r="D393" t="s">
        <v>2428</v>
      </c>
      <c r="E393" t="s">
        <v>243</v>
      </c>
      <c r="F393" t="s">
        <v>244</v>
      </c>
      <c r="G393" t="s">
        <v>67</v>
      </c>
      <c r="H393" t="s">
        <v>68</v>
      </c>
      <c r="I393" t="s">
        <v>69</v>
      </c>
      <c r="J393" t="s">
        <v>30</v>
      </c>
      <c r="K393" t="s">
        <v>31</v>
      </c>
      <c r="L393" t="s">
        <v>2429</v>
      </c>
      <c r="M393" t="s">
        <v>2430</v>
      </c>
      <c r="N393" t="s">
        <v>179</v>
      </c>
      <c r="O393" t="s">
        <v>2430</v>
      </c>
      <c r="P393" t="s">
        <v>2431</v>
      </c>
      <c r="Q393" t="s">
        <v>1498</v>
      </c>
      <c r="R393" t="s">
        <v>2432</v>
      </c>
      <c r="S393" t="s">
        <v>39</v>
      </c>
      <c r="T393" t="s">
        <v>140</v>
      </c>
      <c r="U393" t="s">
        <v>472</v>
      </c>
      <c r="V393" t="s">
        <v>79</v>
      </c>
    </row>
    <row r="394" spans="1:22" x14ac:dyDescent="0.3">
      <c r="A394" t="s">
        <v>2433</v>
      </c>
      <c r="B394" t="s">
        <v>2277</v>
      </c>
      <c r="C394" t="s">
        <v>2278</v>
      </c>
      <c r="D394" t="s">
        <v>827</v>
      </c>
      <c r="E394" t="s">
        <v>65</v>
      </c>
      <c r="F394" t="s">
        <v>66</v>
      </c>
      <c r="G394" t="s">
        <v>580</v>
      </c>
      <c r="H394" t="s">
        <v>229</v>
      </c>
      <c r="I394" t="s">
        <v>29</v>
      </c>
      <c r="J394" t="s">
        <v>30</v>
      </c>
      <c r="K394" t="s">
        <v>293</v>
      </c>
      <c r="L394" t="s">
        <v>189</v>
      </c>
      <c r="M394" t="s">
        <v>2434</v>
      </c>
      <c r="N394" t="s">
        <v>735</v>
      </c>
      <c r="O394" t="s">
        <v>457</v>
      </c>
      <c r="P394" t="s">
        <v>2435</v>
      </c>
      <c r="Q394" t="s">
        <v>600</v>
      </c>
      <c r="R394" t="s">
        <v>2436</v>
      </c>
      <c r="S394" t="s">
        <v>58</v>
      </c>
      <c r="T394" t="s">
        <v>276</v>
      </c>
      <c r="U394" t="s">
        <v>385</v>
      </c>
      <c r="V394" t="s">
        <v>114</v>
      </c>
    </row>
    <row r="395" spans="1:22" x14ac:dyDescent="0.3">
      <c r="A395" t="s">
        <v>2437</v>
      </c>
      <c r="B395" t="s">
        <v>2438</v>
      </c>
      <c r="C395" t="s">
        <v>2439</v>
      </c>
      <c r="D395" t="s">
        <v>2215</v>
      </c>
      <c r="E395" t="s">
        <v>399</v>
      </c>
      <c r="F395" t="s">
        <v>188</v>
      </c>
      <c r="G395" t="s">
        <v>147</v>
      </c>
      <c r="H395" t="s">
        <v>49</v>
      </c>
      <c r="I395" t="s">
        <v>2154</v>
      </c>
      <c r="J395" t="s">
        <v>30</v>
      </c>
      <c r="K395" t="s">
        <v>31</v>
      </c>
      <c r="L395" t="s">
        <v>551</v>
      </c>
      <c r="M395" t="s">
        <v>2440</v>
      </c>
      <c r="N395" t="s">
        <v>140</v>
      </c>
      <c r="O395" t="s">
        <v>152</v>
      </c>
      <c r="P395" t="s">
        <v>581</v>
      </c>
      <c r="Q395" t="s">
        <v>1162</v>
      </c>
      <c r="R395" t="s">
        <v>2441</v>
      </c>
      <c r="S395" t="s">
        <v>79</v>
      </c>
      <c r="T395" t="s">
        <v>1013</v>
      </c>
      <c r="U395" t="s">
        <v>41</v>
      </c>
      <c r="V395" t="s">
        <v>114</v>
      </c>
    </row>
    <row r="396" spans="1:22" x14ac:dyDescent="0.3">
      <c r="A396" t="s">
        <v>2442</v>
      </c>
      <c r="B396" t="s">
        <v>2443</v>
      </c>
      <c r="C396" t="s">
        <v>2444</v>
      </c>
      <c r="D396" t="s">
        <v>2445</v>
      </c>
      <c r="E396" t="s">
        <v>417</v>
      </c>
      <c r="F396" t="s">
        <v>134</v>
      </c>
      <c r="G396" t="s">
        <v>147</v>
      </c>
      <c r="H396" t="s">
        <v>28</v>
      </c>
      <c r="I396" t="s">
        <v>69</v>
      </c>
      <c r="J396" t="s">
        <v>30</v>
      </c>
      <c r="K396" t="s">
        <v>50</v>
      </c>
      <c r="L396" t="s">
        <v>119</v>
      </c>
      <c r="M396" t="s">
        <v>1029</v>
      </c>
      <c r="N396" t="s">
        <v>468</v>
      </c>
      <c r="O396" t="s">
        <v>431</v>
      </c>
      <c r="P396" t="s">
        <v>1163</v>
      </c>
      <c r="Q396" t="s">
        <v>326</v>
      </c>
      <c r="R396" t="s">
        <v>2446</v>
      </c>
      <c r="S396" t="s">
        <v>97</v>
      </c>
      <c r="T396" t="s">
        <v>252</v>
      </c>
      <c r="U396" t="s">
        <v>508</v>
      </c>
      <c r="V396" t="s">
        <v>82</v>
      </c>
    </row>
    <row r="397" spans="1:22" x14ac:dyDescent="0.3">
      <c r="A397" t="s">
        <v>2447</v>
      </c>
      <c r="B397" t="s">
        <v>1318</v>
      </c>
      <c r="C397" t="s">
        <v>1319</v>
      </c>
      <c r="D397" t="s">
        <v>2448</v>
      </c>
      <c r="E397" t="s">
        <v>244</v>
      </c>
      <c r="F397" t="s">
        <v>244</v>
      </c>
      <c r="G397" t="s">
        <v>147</v>
      </c>
      <c r="H397" t="s">
        <v>104</v>
      </c>
      <c r="I397" t="s">
        <v>69</v>
      </c>
      <c r="J397" t="s">
        <v>70</v>
      </c>
      <c r="K397" t="s">
        <v>89</v>
      </c>
      <c r="L397" t="s">
        <v>400</v>
      </c>
      <c r="M397" t="s">
        <v>828</v>
      </c>
      <c r="N397" t="s">
        <v>604</v>
      </c>
      <c r="O397" t="s">
        <v>1523</v>
      </c>
      <c r="P397" t="s">
        <v>2449</v>
      </c>
      <c r="Q397" t="s">
        <v>2450</v>
      </c>
      <c r="R397" t="s">
        <v>2451</v>
      </c>
      <c r="S397" t="s">
        <v>58</v>
      </c>
      <c r="T397" t="s">
        <v>440</v>
      </c>
      <c r="U397" t="s">
        <v>288</v>
      </c>
      <c r="V397" t="s">
        <v>79</v>
      </c>
    </row>
    <row r="398" spans="1:22" x14ac:dyDescent="0.3">
      <c r="A398" t="s">
        <v>2452</v>
      </c>
      <c r="B398" t="s">
        <v>2453</v>
      </c>
      <c r="C398" t="s">
        <v>2454</v>
      </c>
      <c r="D398" t="s">
        <v>2455</v>
      </c>
      <c r="E398" t="s">
        <v>176</v>
      </c>
      <c r="F398" t="s">
        <v>161</v>
      </c>
      <c r="G398" t="s">
        <v>103</v>
      </c>
      <c r="H398" t="s">
        <v>88</v>
      </c>
      <c r="I398" t="s">
        <v>29</v>
      </c>
      <c r="J398" t="s">
        <v>30</v>
      </c>
      <c r="K398" t="s">
        <v>230</v>
      </c>
      <c r="L398" t="s">
        <v>487</v>
      </c>
      <c r="M398" t="s">
        <v>2456</v>
      </c>
      <c r="N398" t="s">
        <v>179</v>
      </c>
      <c r="O398" t="s">
        <v>2456</v>
      </c>
      <c r="P398" t="s">
        <v>1584</v>
      </c>
      <c r="Q398" t="s">
        <v>36</v>
      </c>
      <c r="R398" t="s">
        <v>2457</v>
      </c>
      <c r="S398" t="s">
        <v>126</v>
      </c>
      <c r="T398" t="s">
        <v>276</v>
      </c>
      <c r="U398" t="s">
        <v>472</v>
      </c>
      <c r="V398" t="s">
        <v>79</v>
      </c>
    </row>
    <row r="399" spans="1:22" x14ac:dyDescent="0.3">
      <c r="A399" t="s">
        <v>2458</v>
      </c>
      <c r="B399" t="s">
        <v>539</v>
      </c>
      <c r="C399" t="s">
        <v>540</v>
      </c>
      <c r="D399" t="s">
        <v>2459</v>
      </c>
      <c r="E399" t="s">
        <v>47</v>
      </c>
      <c r="F399" t="s">
        <v>26</v>
      </c>
      <c r="G399" t="s">
        <v>48</v>
      </c>
      <c r="H399" t="s">
        <v>1692</v>
      </c>
      <c r="I399" t="s">
        <v>69</v>
      </c>
      <c r="J399" t="s">
        <v>70</v>
      </c>
      <c r="K399" t="s">
        <v>230</v>
      </c>
      <c r="L399" t="s">
        <v>90</v>
      </c>
      <c r="M399" t="s">
        <v>2460</v>
      </c>
      <c r="N399" t="s">
        <v>721</v>
      </c>
      <c r="O399" t="s">
        <v>2461</v>
      </c>
      <c r="P399" t="s">
        <v>317</v>
      </c>
      <c r="Q399" t="s">
        <v>459</v>
      </c>
      <c r="R399" t="s">
        <v>2462</v>
      </c>
      <c r="S399" t="s">
        <v>182</v>
      </c>
      <c r="T399" t="s">
        <v>55</v>
      </c>
      <c r="U399" t="s">
        <v>362</v>
      </c>
      <c r="V399" t="s">
        <v>58</v>
      </c>
    </row>
    <row r="400" spans="1:22" x14ac:dyDescent="0.3">
      <c r="A400" t="s">
        <v>2463</v>
      </c>
      <c r="B400" t="s">
        <v>2464</v>
      </c>
      <c r="C400" t="s">
        <v>2465</v>
      </c>
      <c r="D400" t="s">
        <v>2466</v>
      </c>
      <c r="E400" t="s">
        <v>47</v>
      </c>
      <c r="F400" t="s">
        <v>26</v>
      </c>
      <c r="G400" t="s">
        <v>67</v>
      </c>
      <c r="H400" t="s">
        <v>49</v>
      </c>
      <c r="I400" t="s">
        <v>29</v>
      </c>
      <c r="J400" t="s">
        <v>30</v>
      </c>
      <c r="K400" t="s">
        <v>89</v>
      </c>
      <c r="L400" t="s">
        <v>189</v>
      </c>
      <c r="M400" t="s">
        <v>2467</v>
      </c>
      <c r="N400" t="s">
        <v>179</v>
      </c>
      <c r="O400" t="s">
        <v>2467</v>
      </c>
      <c r="P400" t="s">
        <v>2460</v>
      </c>
      <c r="Q400" t="s">
        <v>562</v>
      </c>
      <c r="R400" t="s">
        <v>2468</v>
      </c>
      <c r="S400" t="s">
        <v>126</v>
      </c>
      <c r="T400" t="s">
        <v>583</v>
      </c>
      <c r="U400" t="s">
        <v>60</v>
      </c>
      <c r="V400" t="s">
        <v>79</v>
      </c>
    </row>
    <row r="401" spans="1:22" x14ac:dyDescent="0.3">
      <c r="A401" t="s">
        <v>2469</v>
      </c>
      <c r="B401" t="s">
        <v>2470</v>
      </c>
      <c r="C401" t="s">
        <v>2471</v>
      </c>
      <c r="D401" t="s">
        <v>2472</v>
      </c>
      <c r="E401" t="s">
        <v>66</v>
      </c>
      <c r="F401" t="s">
        <v>66</v>
      </c>
      <c r="G401" t="s">
        <v>580</v>
      </c>
      <c r="H401" t="s">
        <v>229</v>
      </c>
      <c r="I401" t="s">
        <v>29</v>
      </c>
      <c r="J401" t="s">
        <v>30</v>
      </c>
      <c r="K401" t="s">
        <v>50</v>
      </c>
      <c r="L401" t="s">
        <v>561</v>
      </c>
      <c r="M401" t="s">
        <v>479</v>
      </c>
      <c r="N401" t="s">
        <v>179</v>
      </c>
      <c r="O401" t="s">
        <v>479</v>
      </c>
      <c r="P401" t="s">
        <v>1000</v>
      </c>
      <c r="Q401" t="s">
        <v>76</v>
      </c>
      <c r="R401" t="s">
        <v>2473</v>
      </c>
      <c r="S401" t="s">
        <v>79</v>
      </c>
      <c r="T401" t="s">
        <v>448</v>
      </c>
      <c r="U401" t="s">
        <v>238</v>
      </c>
      <c r="V401" t="s">
        <v>42</v>
      </c>
    </row>
    <row r="402" spans="1:22" x14ac:dyDescent="0.3">
      <c r="A402" t="s">
        <v>2474</v>
      </c>
      <c r="B402" t="s">
        <v>130</v>
      </c>
      <c r="C402" t="s">
        <v>131</v>
      </c>
      <c r="D402" t="s">
        <v>2475</v>
      </c>
      <c r="E402" t="s">
        <v>672</v>
      </c>
      <c r="F402" t="s">
        <v>244</v>
      </c>
      <c r="G402" t="s">
        <v>213</v>
      </c>
      <c r="H402" t="s">
        <v>104</v>
      </c>
      <c r="I402" t="s">
        <v>69</v>
      </c>
      <c r="J402" t="s">
        <v>70</v>
      </c>
      <c r="K402" t="s">
        <v>89</v>
      </c>
      <c r="L402" t="s">
        <v>201</v>
      </c>
      <c r="M402" t="s">
        <v>863</v>
      </c>
      <c r="N402" t="s">
        <v>179</v>
      </c>
      <c r="O402" t="s">
        <v>863</v>
      </c>
      <c r="P402" t="s">
        <v>1424</v>
      </c>
      <c r="Q402" t="s">
        <v>505</v>
      </c>
      <c r="R402" t="s">
        <v>2476</v>
      </c>
      <c r="S402" t="s">
        <v>182</v>
      </c>
      <c r="T402" t="s">
        <v>459</v>
      </c>
      <c r="U402" t="s">
        <v>394</v>
      </c>
      <c r="V402" t="s">
        <v>42</v>
      </c>
    </row>
    <row r="403" spans="1:22" x14ac:dyDescent="0.3">
      <c r="A403" t="s">
        <v>2477</v>
      </c>
      <c r="B403" t="s">
        <v>2478</v>
      </c>
      <c r="C403" t="s">
        <v>2479</v>
      </c>
      <c r="D403" t="s">
        <v>2480</v>
      </c>
      <c r="E403" t="s">
        <v>87</v>
      </c>
      <c r="F403" t="s">
        <v>26</v>
      </c>
      <c r="G403" t="s">
        <v>67</v>
      </c>
      <c r="H403" t="s">
        <v>214</v>
      </c>
      <c r="I403" t="s">
        <v>29</v>
      </c>
      <c r="J403" t="s">
        <v>30</v>
      </c>
      <c r="K403" t="s">
        <v>31</v>
      </c>
      <c r="L403" t="s">
        <v>598</v>
      </c>
      <c r="M403" t="s">
        <v>2435</v>
      </c>
      <c r="N403" t="s">
        <v>179</v>
      </c>
      <c r="O403" t="s">
        <v>2435</v>
      </c>
      <c r="P403" t="s">
        <v>693</v>
      </c>
      <c r="Q403" t="s">
        <v>206</v>
      </c>
      <c r="R403" t="s">
        <v>2481</v>
      </c>
      <c r="S403" t="s">
        <v>39</v>
      </c>
      <c r="T403" t="s">
        <v>121</v>
      </c>
      <c r="U403" t="s">
        <v>171</v>
      </c>
      <c r="V403" t="s">
        <v>42</v>
      </c>
    </row>
    <row r="404" spans="1:22" x14ac:dyDescent="0.3">
      <c r="A404" t="s">
        <v>2482</v>
      </c>
      <c r="B404" t="s">
        <v>1298</v>
      </c>
      <c r="C404" t="s">
        <v>1299</v>
      </c>
      <c r="D404" t="s">
        <v>2483</v>
      </c>
      <c r="E404" t="s">
        <v>634</v>
      </c>
      <c r="F404" t="s">
        <v>228</v>
      </c>
      <c r="G404" t="s">
        <v>48</v>
      </c>
      <c r="H404" t="s">
        <v>104</v>
      </c>
      <c r="I404" t="s">
        <v>29</v>
      </c>
      <c r="J404" t="s">
        <v>70</v>
      </c>
      <c r="K404" t="s">
        <v>215</v>
      </c>
      <c r="L404" t="s">
        <v>766</v>
      </c>
      <c r="M404" t="s">
        <v>2484</v>
      </c>
      <c r="N404" t="s">
        <v>179</v>
      </c>
      <c r="O404" t="s">
        <v>2484</v>
      </c>
      <c r="P404" t="s">
        <v>36</v>
      </c>
      <c r="Q404" t="s">
        <v>767</v>
      </c>
      <c r="R404" t="s">
        <v>2485</v>
      </c>
      <c r="S404" t="s">
        <v>39</v>
      </c>
      <c r="T404" t="s">
        <v>648</v>
      </c>
      <c r="U404" t="s">
        <v>171</v>
      </c>
      <c r="V404" t="s">
        <v>42</v>
      </c>
    </row>
    <row r="405" spans="1:22" x14ac:dyDescent="0.3">
      <c r="A405" t="s">
        <v>2486</v>
      </c>
      <c r="B405" t="s">
        <v>2487</v>
      </c>
      <c r="C405" t="s">
        <v>2488</v>
      </c>
      <c r="D405" t="s">
        <v>2489</v>
      </c>
      <c r="E405" t="s">
        <v>672</v>
      </c>
      <c r="F405" t="s">
        <v>244</v>
      </c>
      <c r="G405" t="s">
        <v>67</v>
      </c>
      <c r="H405" t="s">
        <v>104</v>
      </c>
      <c r="I405" t="s">
        <v>29</v>
      </c>
      <c r="J405" t="s">
        <v>30</v>
      </c>
      <c r="K405" t="s">
        <v>71</v>
      </c>
      <c r="L405" t="s">
        <v>32</v>
      </c>
      <c r="M405" t="s">
        <v>2490</v>
      </c>
      <c r="N405" t="s">
        <v>179</v>
      </c>
      <c r="O405" t="s">
        <v>2490</v>
      </c>
      <c r="P405" t="s">
        <v>2460</v>
      </c>
      <c r="Q405" t="s">
        <v>565</v>
      </c>
      <c r="R405" t="s">
        <v>2491</v>
      </c>
      <c r="S405" t="s">
        <v>126</v>
      </c>
      <c r="T405" t="s">
        <v>150</v>
      </c>
      <c r="U405" t="s">
        <v>171</v>
      </c>
      <c r="V405" t="s">
        <v>82</v>
      </c>
    </row>
    <row r="406" spans="1:22" x14ac:dyDescent="0.3">
      <c r="A406" t="s">
        <v>2492</v>
      </c>
      <c r="B406" t="s">
        <v>825</v>
      </c>
      <c r="C406" t="s">
        <v>826</v>
      </c>
      <c r="D406" t="s">
        <v>901</v>
      </c>
      <c r="E406" t="s">
        <v>634</v>
      </c>
      <c r="F406" t="s">
        <v>228</v>
      </c>
      <c r="G406" t="s">
        <v>48</v>
      </c>
      <c r="H406" t="s">
        <v>214</v>
      </c>
      <c r="I406" t="s">
        <v>29</v>
      </c>
      <c r="J406" t="s">
        <v>257</v>
      </c>
      <c r="K406" t="s">
        <v>200</v>
      </c>
      <c r="L406" t="s">
        <v>1295</v>
      </c>
      <c r="M406" t="s">
        <v>1705</v>
      </c>
      <c r="N406" t="s">
        <v>567</v>
      </c>
      <c r="O406" t="s">
        <v>194</v>
      </c>
      <c r="P406" t="s">
        <v>306</v>
      </c>
      <c r="Q406" t="s">
        <v>768</v>
      </c>
      <c r="R406" t="s">
        <v>2493</v>
      </c>
      <c r="S406" t="s">
        <v>58</v>
      </c>
      <c r="T406" t="s">
        <v>170</v>
      </c>
      <c r="U406" t="s">
        <v>394</v>
      </c>
      <c r="V406" t="s">
        <v>114</v>
      </c>
    </row>
    <row r="407" spans="1:22" x14ac:dyDescent="0.3">
      <c r="A407" t="s">
        <v>2494</v>
      </c>
      <c r="B407" t="s">
        <v>2495</v>
      </c>
      <c r="C407" t="s">
        <v>2496</v>
      </c>
      <c r="D407" t="s">
        <v>2497</v>
      </c>
      <c r="E407" t="s">
        <v>47</v>
      </c>
      <c r="F407" t="s">
        <v>26</v>
      </c>
      <c r="G407" t="s">
        <v>27</v>
      </c>
      <c r="H407" t="s">
        <v>28</v>
      </c>
      <c r="I407" t="s">
        <v>29</v>
      </c>
      <c r="J407" t="s">
        <v>257</v>
      </c>
      <c r="K407" t="s">
        <v>293</v>
      </c>
      <c r="L407" t="s">
        <v>561</v>
      </c>
      <c r="M407" t="s">
        <v>2285</v>
      </c>
      <c r="N407" t="s">
        <v>168</v>
      </c>
      <c r="O407" t="s">
        <v>234</v>
      </c>
      <c r="P407" t="s">
        <v>880</v>
      </c>
      <c r="Q407" t="s">
        <v>107</v>
      </c>
      <c r="R407" t="s">
        <v>2498</v>
      </c>
      <c r="S407" t="s">
        <v>182</v>
      </c>
      <c r="T407" t="s">
        <v>613</v>
      </c>
      <c r="U407" t="s">
        <v>508</v>
      </c>
      <c r="V407" t="s">
        <v>79</v>
      </c>
    </row>
    <row r="408" spans="1:22" x14ac:dyDescent="0.3">
      <c r="A408" t="s">
        <v>2499</v>
      </c>
      <c r="B408" t="s">
        <v>1195</v>
      </c>
      <c r="C408" t="s">
        <v>1196</v>
      </c>
      <c r="D408" t="s">
        <v>2500</v>
      </c>
      <c r="E408" t="s">
        <v>378</v>
      </c>
      <c r="F408" t="s">
        <v>282</v>
      </c>
      <c r="G408" t="s">
        <v>147</v>
      </c>
      <c r="H408" t="s">
        <v>68</v>
      </c>
      <c r="I408" t="s">
        <v>29</v>
      </c>
      <c r="J408" t="s">
        <v>70</v>
      </c>
      <c r="K408" t="s">
        <v>200</v>
      </c>
      <c r="L408" t="s">
        <v>177</v>
      </c>
      <c r="M408" t="s">
        <v>431</v>
      </c>
      <c r="N408" t="s">
        <v>179</v>
      </c>
      <c r="O408" t="s">
        <v>431</v>
      </c>
      <c r="P408" t="s">
        <v>1403</v>
      </c>
      <c r="Q408" t="s">
        <v>2501</v>
      </c>
      <c r="R408" t="s">
        <v>2502</v>
      </c>
      <c r="S408" t="s">
        <v>58</v>
      </c>
      <c r="T408" t="s">
        <v>782</v>
      </c>
      <c r="U408" t="s">
        <v>288</v>
      </c>
      <c r="V408" t="s">
        <v>79</v>
      </c>
    </row>
    <row r="409" spans="1:22" x14ac:dyDescent="0.3">
      <c r="A409" t="s">
        <v>2503</v>
      </c>
      <c r="B409" t="s">
        <v>2504</v>
      </c>
      <c r="C409" t="s">
        <v>2505</v>
      </c>
      <c r="D409" t="s">
        <v>2506</v>
      </c>
      <c r="E409" t="s">
        <v>87</v>
      </c>
      <c r="F409" t="s">
        <v>26</v>
      </c>
      <c r="G409" t="s">
        <v>147</v>
      </c>
      <c r="H409" t="s">
        <v>49</v>
      </c>
      <c r="I409" t="s">
        <v>69</v>
      </c>
      <c r="J409" t="s">
        <v>30</v>
      </c>
      <c r="K409" t="s">
        <v>293</v>
      </c>
      <c r="L409" t="s">
        <v>111</v>
      </c>
      <c r="M409" t="s">
        <v>2507</v>
      </c>
      <c r="N409" t="s">
        <v>80</v>
      </c>
      <c r="O409" t="s">
        <v>234</v>
      </c>
      <c r="P409" t="s">
        <v>694</v>
      </c>
      <c r="Q409" t="s">
        <v>167</v>
      </c>
      <c r="R409" t="s">
        <v>2508</v>
      </c>
      <c r="S409" t="s">
        <v>97</v>
      </c>
      <c r="T409" t="s">
        <v>237</v>
      </c>
      <c r="U409" t="s">
        <v>288</v>
      </c>
      <c r="V409" t="s">
        <v>82</v>
      </c>
    </row>
    <row r="410" spans="1:22" x14ac:dyDescent="0.3">
      <c r="A410" t="s">
        <v>2509</v>
      </c>
      <c r="B410" t="s">
        <v>2510</v>
      </c>
      <c r="C410" t="s">
        <v>2511</v>
      </c>
      <c r="D410" t="s">
        <v>2304</v>
      </c>
      <c r="E410" t="s">
        <v>730</v>
      </c>
      <c r="F410" t="s">
        <v>26</v>
      </c>
      <c r="G410" t="s">
        <v>213</v>
      </c>
      <c r="H410" t="s">
        <v>88</v>
      </c>
      <c r="I410" t="s">
        <v>69</v>
      </c>
      <c r="J410" t="s">
        <v>30</v>
      </c>
      <c r="K410" t="s">
        <v>31</v>
      </c>
      <c r="L410" t="s">
        <v>513</v>
      </c>
      <c r="M410" t="s">
        <v>505</v>
      </c>
      <c r="N410" t="s">
        <v>183</v>
      </c>
      <c r="O410" t="s">
        <v>2279</v>
      </c>
      <c r="P410" t="s">
        <v>524</v>
      </c>
      <c r="Q410" t="s">
        <v>648</v>
      </c>
      <c r="R410" t="s">
        <v>2512</v>
      </c>
      <c r="S410" t="s">
        <v>39</v>
      </c>
      <c r="T410" t="s">
        <v>142</v>
      </c>
      <c r="U410" t="s">
        <v>423</v>
      </c>
      <c r="V410" t="s">
        <v>114</v>
      </c>
    </row>
    <row r="411" spans="1:22" x14ac:dyDescent="0.3">
      <c r="A411" t="s">
        <v>2513</v>
      </c>
      <c r="B411" t="s">
        <v>2514</v>
      </c>
      <c r="C411" t="s">
        <v>2515</v>
      </c>
      <c r="D411" t="s">
        <v>2516</v>
      </c>
      <c r="E411" t="s">
        <v>780</v>
      </c>
      <c r="F411" t="s">
        <v>282</v>
      </c>
      <c r="G411" t="s">
        <v>103</v>
      </c>
      <c r="H411" t="s">
        <v>229</v>
      </c>
      <c r="I411" t="s">
        <v>69</v>
      </c>
      <c r="J411" t="s">
        <v>70</v>
      </c>
      <c r="K411" t="s">
        <v>89</v>
      </c>
      <c r="L411" t="s">
        <v>1987</v>
      </c>
      <c r="M411" t="s">
        <v>1273</v>
      </c>
      <c r="N411" t="s">
        <v>179</v>
      </c>
      <c r="O411" t="s">
        <v>1273</v>
      </c>
      <c r="P411" t="s">
        <v>805</v>
      </c>
      <c r="Q411" t="s">
        <v>208</v>
      </c>
      <c r="R411" t="s">
        <v>2517</v>
      </c>
      <c r="S411" t="s">
        <v>126</v>
      </c>
      <c r="T411" t="s">
        <v>448</v>
      </c>
      <c r="U411" t="s">
        <v>60</v>
      </c>
      <c r="V411" t="s">
        <v>42</v>
      </c>
    </row>
    <row r="412" spans="1:22" x14ac:dyDescent="0.3">
      <c r="A412" t="s">
        <v>2518</v>
      </c>
      <c r="B412" t="s">
        <v>1993</v>
      </c>
      <c r="C412" t="s">
        <v>1994</v>
      </c>
      <c r="D412" t="s">
        <v>1419</v>
      </c>
      <c r="E412" t="s">
        <v>133</v>
      </c>
      <c r="F412" t="s">
        <v>134</v>
      </c>
      <c r="G412" t="s">
        <v>27</v>
      </c>
      <c r="H412" t="s">
        <v>214</v>
      </c>
      <c r="I412" t="s">
        <v>69</v>
      </c>
      <c r="J412" t="s">
        <v>30</v>
      </c>
      <c r="K412" t="s">
        <v>200</v>
      </c>
      <c r="L412" t="s">
        <v>294</v>
      </c>
      <c r="M412" t="s">
        <v>2519</v>
      </c>
      <c r="N412" t="s">
        <v>1133</v>
      </c>
      <c r="O412" t="s">
        <v>2520</v>
      </c>
      <c r="P412" t="s">
        <v>1443</v>
      </c>
      <c r="Q412" t="s">
        <v>1396</v>
      </c>
      <c r="R412" t="s">
        <v>2521</v>
      </c>
      <c r="S412" t="s">
        <v>58</v>
      </c>
      <c r="T412" t="s">
        <v>95</v>
      </c>
      <c r="U412" t="s">
        <v>407</v>
      </c>
      <c r="V412" t="s">
        <v>58</v>
      </c>
    </row>
    <row r="413" spans="1:22" x14ac:dyDescent="0.3">
      <c r="A413" t="s">
        <v>2522</v>
      </c>
      <c r="B413" t="s">
        <v>2523</v>
      </c>
      <c r="C413" t="s">
        <v>2524</v>
      </c>
      <c r="D413" t="s">
        <v>2525</v>
      </c>
      <c r="E413" t="s">
        <v>780</v>
      </c>
      <c r="F413" t="s">
        <v>282</v>
      </c>
      <c r="G413" t="s">
        <v>147</v>
      </c>
      <c r="H413" t="s">
        <v>104</v>
      </c>
      <c r="I413" t="s">
        <v>29</v>
      </c>
      <c r="J413" t="s">
        <v>30</v>
      </c>
      <c r="K413" t="s">
        <v>245</v>
      </c>
      <c r="L413" t="s">
        <v>51</v>
      </c>
      <c r="M413" t="s">
        <v>2526</v>
      </c>
      <c r="N413" t="s">
        <v>1116</v>
      </c>
      <c r="O413" t="s">
        <v>91</v>
      </c>
      <c r="P413" t="s">
        <v>2527</v>
      </c>
      <c r="Q413" t="s">
        <v>2528</v>
      </c>
      <c r="R413" t="s">
        <v>2529</v>
      </c>
      <c r="S413" t="s">
        <v>58</v>
      </c>
      <c r="T413" t="s">
        <v>735</v>
      </c>
      <c r="U413" t="s">
        <v>128</v>
      </c>
      <c r="V413" t="s">
        <v>79</v>
      </c>
    </row>
    <row r="414" spans="1:22" x14ac:dyDescent="0.3">
      <c r="A414" t="s">
        <v>2530</v>
      </c>
      <c r="B414" t="s">
        <v>1617</v>
      </c>
      <c r="C414" t="s">
        <v>1618</v>
      </c>
      <c r="D414" t="s">
        <v>2531</v>
      </c>
      <c r="E414" t="s">
        <v>243</v>
      </c>
      <c r="F414" t="s">
        <v>244</v>
      </c>
      <c r="G414" t="s">
        <v>103</v>
      </c>
      <c r="H414" t="s">
        <v>214</v>
      </c>
      <c r="I414" t="s">
        <v>69</v>
      </c>
      <c r="J414" t="s">
        <v>70</v>
      </c>
      <c r="K414" t="s">
        <v>293</v>
      </c>
      <c r="L414" t="s">
        <v>663</v>
      </c>
      <c r="M414" t="s">
        <v>2285</v>
      </c>
      <c r="N414" t="s">
        <v>179</v>
      </c>
      <c r="O414" t="s">
        <v>2285</v>
      </c>
      <c r="P414" t="s">
        <v>644</v>
      </c>
      <c r="Q414" t="s">
        <v>167</v>
      </c>
      <c r="R414" t="s">
        <v>1323</v>
      </c>
      <c r="S414" t="s">
        <v>126</v>
      </c>
      <c r="T414" t="s">
        <v>440</v>
      </c>
      <c r="U414" t="s">
        <v>98</v>
      </c>
      <c r="V414" t="s">
        <v>82</v>
      </c>
    </row>
    <row r="415" spans="1:22" x14ac:dyDescent="0.3">
      <c r="A415" t="s">
        <v>2532</v>
      </c>
      <c r="B415" t="s">
        <v>2533</v>
      </c>
      <c r="C415" t="s">
        <v>2534</v>
      </c>
      <c r="D415" t="s">
        <v>2535</v>
      </c>
      <c r="E415" t="s">
        <v>672</v>
      </c>
      <c r="F415" t="s">
        <v>244</v>
      </c>
      <c r="G415" t="s">
        <v>118</v>
      </c>
      <c r="H415" t="s">
        <v>214</v>
      </c>
      <c r="I415" t="s">
        <v>69</v>
      </c>
      <c r="J415" t="s">
        <v>30</v>
      </c>
      <c r="K415" t="s">
        <v>245</v>
      </c>
      <c r="L415" t="s">
        <v>362</v>
      </c>
      <c r="M415" t="s">
        <v>120</v>
      </c>
      <c r="N415" t="s">
        <v>1141</v>
      </c>
      <c r="O415" t="s">
        <v>2536</v>
      </c>
      <c r="P415" t="s">
        <v>2537</v>
      </c>
      <c r="Q415" t="s">
        <v>344</v>
      </c>
      <c r="R415" t="s">
        <v>2538</v>
      </c>
      <c r="S415" t="s">
        <v>39</v>
      </c>
      <c r="T415" t="s">
        <v>583</v>
      </c>
      <c r="U415" t="s">
        <v>81</v>
      </c>
      <c r="V415" t="s">
        <v>42</v>
      </c>
    </row>
    <row r="416" spans="1:22" x14ac:dyDescent="0.3">
      <c r="A416" t="s">
        <v>2539</v>
      </c>
      <c r="B416" t="s">
        <v>943</v>
      </c>
      <c r="C416" t="s">
        <v>944</v>
      </c>
      <c r="D416" t="s">
        <v>2540</v>
      </c>
      <c r="E416" t="s">
        <v>417</v>
      </c>
      <c r="F416" t="s">
        <v>134</v>
      </c>
      <c r="G416" t="s">
        <v>118</v>
      </c>
      <c r="H416" t="s">
        <v>104</v>
      </c>
      <c r="I416" t="s">
        <v>29</v>
      </c>
      <c r="J416" t="s">
        <v>70</v>
      </c>
      <c r="K416" t="s">
        <v>215</v>
      </c>
      <c r="L416" t="s">
        <v>682</v>
      </c>
      <c r="M416" t="s">
        <v>2541</v>
      </c>
      <c r="N416" t="s">
        <v>168</v>
      </c>
      <c r="O416" t="s">
        <v>562</v>
      </c>
      <c r="P416" t="s">
        <v>431</v>
      </c>
      <c r="Q416" t="s">
        <v>2542</v>
      </c>
      <c r="R416" t="s">
        <v>2543</v>
      </c>
      <c r="S416" t="s">
        <v>39</v>
      </c>
      <c r="T416" t="s">
        <v>37</v>
      </c>
      <c r="U416" t="s">
        <v>41</v>
      </c>
      <c r="V416" t="s">
        <v>114</v>
      </c>
    </row>
    <row r="417" spans="1:22" x14ac:dyDescent="0.3">
      <c r="A417" t="s">
        <v>2544</v>
      </c>
      <c r="B417" t="s">
        <v>330</v>
      </c>
      <c r="C417" t="s">
        <v>331</v>
      </c>
      <c r="D417" t="s">
        <v>1497</v>
      </c>
      <c r="E417" t="s">
        <v>282</v>
      </c>
      <c r="F417" t="s">
        <v>282</v>
      </c>
      <c r="G417" t="s">
        <v>103</v>
      </c>
      <c r="H417" t="s">
        <v>104</v>
      </c>
      <c r="I417" t="s">
        <v>29</v>
      </c>
      <c r="J417" t="s">
        <v>30</v>
      </c>
      <c r="K417" t="s">
        <v>89</v>
      </c>
      <c r="L417" t="s">
        <v>189</v>
      </c>
      <c r="M417" t="s">
        <v>250</v>
      </c>
      <c r="N417" t="s">
        <v>179</v>
      </c>
      <c r="O417" t="s">
        <v>250</v>
      </c>
      <c r="P417" t="s">
        <v>886</v>
      </c>
      <c r="Q417" t="s">
        <v>2542</v>
      </c>
      <c r="R417" t="s">
        <v>2545</v>
      </c>
      <c r="S417" t="s">
        <v>58</v>
      </c>
      <c r="T417" t="s">
        <v>1162</v>
      </c>
      <c r="U417" t="s">
        <v>171</v>
      </c>
      <c r="V417" t="s">
        <v>114</v>
      </c>
    </row>
    <row r="418" spans="1:22" x14ac:dyDescent="0.3">
      <c r="A418" t="s">
        <v>2546</v>
      </c>
      <c r="B418" t="s">
        <v>2547</v>
      </c>
      <c r="C418" t="s">
        <v>2548</v>
      </c>
      <c r="D418" t="s">
        <v>772</v>
      </c>
      <c r="E418" t="s">
        <v>780</v>
      </c>
      <c r="F418" t="s">
        <v>282</v>
      </c>
      <c r="G418" t="s">
        <v>147</v>
      </c>
      <c r="H418" t="s">
        <v>104</v>
      </c>
      <c r="I418" t="s">
        <v>69</v>
      </c>
      <c r="J418" t="s">
        <v>30</v>
      </c>
      <c r="K418" t="s">
        <v>215</v>
      </c>
      <c r="L418" t="s">
        <v>983</v>
      </c>
      <c r="M418" t="s">
        <v>1273</v>
      </c>
      <c r="N418" t="s">
        <v>1230</v>
      </c>
      <c r="O418" t="s">
        <v>2549</v>
      </c>
      <c r="P418" t="s">
        <v>1064</v>
      </c>
      <c r="Q418" t="s">
        <v>310</v>
      </c>
      <c r="R418" t="s">
        <v>2550</v>
      </c>
      <c r="S418" t="s">
        <v>58</v>
      </c>
      <c r="T418" t="s">
        <v>121</v>
      </c>
      <c r="U418" t="s">
        <v>362</v>
      </c>
      <c r="V418" t="s">
        <v>79</v>
      </c>
    </row>
    <row r="419" spans="1:22" x14ac:dyDescent="0.3">
      <c r="A419" t="s">
        <v>2551</v>
      </c>
      <c r="B419" t="s">
        <v>2552</v>
      </c>
      <c r="C419" t="s">
        <v>2553</v>
      </c>
      <c r="D419" t="s">
        <v>2428</v>
      </c>
      <c r="E419" t="s">
        <v>1321</v>
      </c>
      <c r="F419" t="s">
        <v>228</v>
      </c>
      <c r="G419" t="s">
        <v>580</v>
      </c>
      <c r="H419" t="s">
        <v>68</v>
      </c>
      <c r="I419" t="s">
        <v>69</v>
      </c>
      <c r="J419" t="s">
        <v>70</v>
      </c>
      <c r="K419" t="s">
        <v>50</v>
      </c>
      <c r="L419" t="s">
        <v>1503</v>
      </c>
      <c r="M419" t="s">
        <v>2554</v>
      </c>
      <c r="N419" t="s">
        <v>191</v>
      </c>
      <c r="O419" t="s">
        <v>2555</v>
      </c>
      <c r="P419" t="s">
        <v>1688</v>
      </c>
      <c r="Q419" t="s">
        <v>1509</v>
      </c>
      <c r="R419" t="s">
        <v>2556</v>
      </c>
      <c r="S419" t="s">
        <v>97</v>
      </c>
      <c r="T419" t="s">
        <v>770</v>
      </c>
      <c r="U419" t="s">
        <v>362</v>
      </c>
      <c r="V419" t="s">
        <v>58</v>
      </c>
    </row>
    <row r="420" spans="1:22" x14ac:dyDescent="0.3">
      <c r="A420" t="s">
        <v>2557</v>
      </c>
      <c r="B420" t="s">
        <v>1046</v>
      </c>
      <c r="C420" t="s">
        <v>1047</v>
      </c>
      <c r="D420" t="s">
        <v>2558</v>
      </c>
      <c r="E420" t="s">
        <v>634</v>
      </c>
      <c r="F420" t="s">
        <v>228</v>
      </c>
      <c r="G420" t="s">
        <v>48</v>
      </c>
      <c r="H420" t="s">
        <v>28</v>
      </c>
      <c r="I420" t="s">
        <v>69</v>
      </c>
      <c r="J420" t="s">
        <v>30</v>
      </c>
      <c r="K420" t="s">
        <v>89</v>
      </c>
      <c r="L420" t="s">
        <v>487</v>
      </c>
      <c r="M420" t="s">
        <v>791</v>
      </c>
      <c r="N420" t="s">
        <v>721</v>
      </c>
      <c r="O420" t="s">
        <v>1198</v>
      </c>
      <c r="P420" t="s">
        <v>712</v>
      </c>
      <c r="Q420" t="s">
        <v>168</v>
      </c>
      <c r="R420" t="s">
        <v>2559</v>
      </c>
      <c r="S420" t="s">
        <v>182</v>
      </c>
      <c r="T420" t="s">
        <v>112</v>
      </c>
      <c r="U420" t="s">
        <v>60</v>
      </c>
      <c r="V420" t="s">
        <v>114</v>
      </c>
    </row>
    <row r="421" spans="1:22" x14ac:dyDescent="0.3">
      <c r="A421" t="s">
        <v>2560</v>
      </c>
      <c r="B421" t="s">
        <v>1468</v>
      </c>
      <c r="C421" t="s">
        <v>1469</v>
      </c>
      <c r="D421" t="s">
        <v>1936</v>
      </c>
      <c r="E421" t="s">
        <v>66</v>
      </c>
      <c r="F421" t="s">
        <v>66</v>
      </c>
      <c r="G421" t="s">
        <v>213</v>
      </c>
      <c r="H421" t="s">
        <v>28</v>
      </c>
      <c r="I421" t="s">
        <v>69</v>
      </c>
      <c r="J421" t="s">
        <v>30</v>
      </c>
      <c r="K421" t="s">
        <v>230</v>
      </c>
      <c r="L421" t="s">
        <v>598</v>
      </c>
      <c r="M421" t="s">
        <v>1273</v>
      </c>
      <c r="N421" t="s">
        <v>1230</v>
      </c>
      <c r="O421" t="s">
        <v>2549</v>
      </c>
      <c r="P421" t="s">
        <v>1222</v>
      </c>
      <c r="Q421" t="s">
        <v>518</v>
      </c>
      <c r="R421" t="s">
        <v>2561</v>
      </c>
      <c r="S421" t="s">
        <v>182</v>
      </c>
      <c r="T421" t="s">
        <v>165</v>
      </c>
      <c r="U421" t="s">
        <v>277</v>
      </c>
      <c r="V421" t="s">
        <v>58</v>
      </c>
    </row>
    <row r="422" spans="1:22" x14ac:dyDescent="0.3">
      <c r="A422" t="s">
        <v>2562</v>
      </c>
      <c r="B422" t="s">
        <v>2563</v>
      </c>
      <c r="C422" t="s">
        <v>2564</v>
      </c>
      <c r="D422" t="s">
        <v>2455</v>
      </c>
      <c r="E422" t="s">
        <v>267</v>
      </c>
      <c r="F422" t="s">
        <v>66</v>
      </c>
      <c r="G422" t="s">
        <v>103</v>
      </c>
      <c r="H422" t="s">
        <v>49</v>
      </c>
      <c r="I422" t="s">
        <v>69</v>
      </c>
      <c r="J422" t="s">
        <v>70</v>
      </c>
      <c r="K422" t="s">
        <v>215</v>
      </c>
      <c r="L422" t="s">
        <v>682</v>
      </c>
      <c r="M422" t="s">
        <v>2565</v>
      </c>
      <c r="N422" t="s">
        <v>655</v>
      </c>
      <c r="O422" t="s">
        <v>2526</v>
      </c>
      <c r="P422" t="s">
        <v>1089</v>
      </c>
      <c r="Q422" t="s">
        <v>896</v>
      </c>
      <c r="R422" t="s">
        <v>2566</v>
      </c>
      <c r="S422" t="s">
        <v>79</v>
      </c>
      <c r="T422" t="s">
        <v>1116</v>
      </c>
      <c r="U422" t="s">
        <v>867</v>
      </c>
      <c r="V422" t="s">
        <v>58</v>
      </c>
    </row>
    <row r="423" spans="1:22" x14ac:dyDescent="0.3">
      <c r="A423" t="s">
        <v>2567</v>
      </c>
      <c r="B423" t="s">
        <v>853</v>
      </c>
      <c r="C423" t="s">
        <v>854</v>
      </c>
      <c r="D423" t="s">
        <v>1626</v>
      </c>
      <c r="E423" t="s">
        <v>267</v>
      </c>
      <c r="F423" t="s">
        <v>66</v>
      </c>
      <c r="G423" t="s">
        <v>213</v>
      </c>
      <c r="H423" t="s">
        <v>229</v>
      </c>
      <c r="I423" t="s">
        <v>69</v>
      </c>
      <c r="J423" t="s">
        <v>257</v>
      </c>
      <c r="K423" t="s">
        <v>71</v>
      </c>
      <c r="L423" t="s">
        <v>111</v>
      </c>
      <c r="M423" t="s">
        <v>2568</v>
      </c>
      <c r="N423" t="s">
        <v>261</v>
      </c>
      <c r="O423" t="s">
        <v>2490</v>
      </c>
      <c r="P423" t="s">
        <v>1848</v>
      </c>
      <c r="Q423" t="s">
        <v>356</v>
      </c>
      <c r="R423" t="s">
        <v>2569</v>
      </c>
      <c r="S423" t="s">
        <v>97</v>
      </c>
      <c r="T423" t="s">
        <v>336</v>
      </c>
      <c r="U423" t="s">
        <v>288</v>
      </c>
      <c r="V423" t="s">
        <v>42</v>
      </c>
    </row>
    <row r="424" spans="1:22" x14ac:dyDescent="0.3">
      <c r="A424" t="s">
        <v>2570</v>
      </c>
      <c r="B424" t="s">
        <v>454</v>
      </c>
      <c r="C424" t="s">
        <v>455</v>
      </c>
      <c r="D424" t="s">
        <v>2571</v>
      </c>
      <c r="E424" t="s">
        <v>438</v>
      </c>
      <c r="F424" t="s">
        <v>188</v>
      </c>
      <c r="G424" t="s">
        <v>48</v>
      </c>
      <c r="H424" t="s">
        <v>88</v>
      </c>
      <c r="I424" t="s">
        <v>69</v>
      </c>
      <c r="J424" t="s">
        <v>70</v>
      </c>
      <c r="K424" t="s">
        <v>200</v>
      </c>
      <c r="L424" t="s">
        <v>663</v>
      </c>
      <c r="M424" t="s">
        <v>220</v>
      </c>
      <c r="N424" t="s">
        <v>567</v>
      </c>
      <c r="O424" t="s">
        <v>1745</v>
      </c>
      <c r="P424" t="s">
        <v>1931</v>
      </c>
      <c r="Q424" t="s">
        <v>1303</v>
      </c>
      <c r="R424" t="s">
        <v>2572</v>
      </c>
      <c r="S424" t="s">
        <v>182</v>
      </c>
      <c r="T424" t="s">
        <v>448</v>
      </c>
      <c r="U424" t="s">
        <v>155</v>
      </c>
      <c r="V424" t="s">
        <v>42</v>
      </c>
    </row>
    <row r="425" spans="1:22" x14ac:dyDescent="0.3">
      <c r="A425" t="s">
        <v>2573</v>
      </c>
      <c r="B425" t="s">
        <v>2213</v>
      </c>
      <c r="C425" t="s">
        <v>2214</v>
      </c>
      <c r="D425" t="s">
        <v>2574</v>
      </c>
      <c r="E425" t="s">
        <v>342</v>
      </c>
      <c r="F425" t="s">
        <v>244</v>
      </c>
      <c r="G425" t="s">
        <v>67</v>
      </c>
      <c r="H425" t="s">
        <v>68</v>
      </c>
      <c r="I425" t="s">
        <v>69</v>
      </c>
      <c r="J425" t="s">
        <v>70</v>
      </c>
      <c r="K425" t="s">
        <v>293</v>
      </c>
      <c r="L425" t="s">
        <v>246</v>
      </c>
      <c r="M425" t="s">
        <v>998</v>
      </c>
      <c r="N425" t="s">
        <v>179</v>
      </c>
      <c r="O425" t="s">
        <v>998</v>
      </c>
      <c r="P425" t="s">
        <v>784</v>
      </c>
      <c r="Q425" t="s">
        <v>441</v>
      </c>
      <c r="R425" t="s">
        <v>2575</v>
      </c>
      <c r="S425" t="s">
        <v>126</v>
      </c>
      <c r="T425" t="s">
        <v>695</v>
      </c>
      <c r="U425" t="s">
        <v>373</v>
      </c>
      <c r="V425" t="s">
        <v>82</v>
      </c>
    </row>
    <row r="426" spans="1:22" x14ac:dyDescent="0.3">
      <c r="A426" t="s">
        <v>2576</v>
      </c>
      <c r="B426" t="s">
        <v>323</v>
      </c>
      <c r="C426" t="s">
        <v>324</v>
      </c>
      <c r="D426" t="s">
        <v>2577</v>
      </c>
      <c r="E426" t="s">
        <v>228</v>
      </c>
      <c r="F426" t="s">
        <v>228</v>
      </c>
      <c r="G426" t="s">
        <v>118</v>
      </c>
      <c r="H426" t="s">
        <v>214</v>
      </c>
      <c r="I426" t="s">
        <v>29</v>
      </c>
      <c r="J426" t="s">
        <v>30</v>
      </c>
      <c r="K426" t="s">
        <v>230</v>
      </c>
      <c r="L426" t="s">
        <v>871</v>
      </c>
      <c r="M426" t="s">
        <v>2107</v>
      </c>
      <c r="N426" t="s">
        <v>543</v>
      </c>
      <c r="O426" t="s">
        <v>975</v>
      </c>
      <c r="P426" t="s">
        <v>953</v>
      </c>
      <c r="Q426" t="s">
        <v>168</v>
      </c>
      <c r="R426" t="s">
        <v>2578</v>
      </c>
      <c r="S426" t="s">
        <v>39</v>
      </c>
      <c r="T426" t="s">
        <v>299</v>
      </c>
      <c r="U426" t="s">
        <v>394</v>
      </c>
      <c r="V426" t="s">
        <v>58</v>
      </c>
    </row>
    <row r="427" spans="1:22" x14ac:dyDescent="0.3">
      <c r="A427" t="s">
        <v>2579</v>
      </c>
      <c r="B427" t="s">
        <v>2580</v>
      </c>
      <c r="C427" t="s">
        <v>2581</v>
      </c>
      <c r="D427" t="s">
        <v>1768</v>
      </c>
      <c r="E427" t="s">
        <v>417</v>
      </c>
      <c r="F427" t="s">
        <v>134</v>
      </c>
      <c r="G427" t="s">
        <v>147</v>
      </c>
      <c r="H427" t="s">
        <v>28</v>
      </c>
      <c r="I427" t="s">
        <v>69</v>
      </c>
      <c r="J427" t="s">
        <v>30</v>
      </c>
      <c r="K427" t="s">
        <v>50</v>
      </c>
      <c r="L427" t="s">
        <v>51</v>
      </c>
      <c r="M427" t="s">
        <v>106</v>
      </c>
      <c r="N427" t="s">
        <v>208</v>
      </c>
      <c r="O427" t="s">
        <v>636</v>
      </c>
      <c r="P427" t="s">
        <v>1844</v>
      </c>
      <c r="Q427" t="s">
        <v>2582</v>
      </c>
      <c r="R427" t="s">
        <v>2583</v>
      </c>
      <c r="S427" t="s">
        <v>58</v>
      </c>
      <c r="T427" t="s">
        <v>92</v>
      </c>
      <c r="U427" t="s">
        <v>394</v>
      </c>
      <c r="V427" t="s">
        <v>79</v>
      </c>
    </row>
    <row r="428" spans="1:22" x14ac:dyDescent="0.3">
      <c r="A428" t="s">
        <v>2584</v>
      </c>
      <c r="B428" t="s">
        <v>2585</v>
      </c>
      <c r="C428" t="s">
        <v>2586</v>
      </c>
      <c r="D428" t="s">
        <v>2587</v>
      </c>
      <c r="E428" t="s">
        <v>893</v>
      </c>
      <c r="F428" t="s">
        <v>188</v>
      </c>
      <c r="G428" t="s">
        <v>580</v>
      </c>
      <c r="H428" t="s">
        <v>49</v>
      </c>
      <c r="I428" t="s">
        <v>69</v>
      </c>
      <c r="J428" t="s">
        <v>70</v>
      </c>
      <c r="K428" t="s">
        <v>293</v>
      </c>
      <c r="L428" t="s">
        <v>362</v>
      </c>
      <c r="M428" t="s">
        <v>2588</v>
      </c>
      <c r="N428" t="s">
        <v>371</v>
      </c>
      <c r="O428" t="s">
        <v>2589</v>
      </c>
      <c r="P428" t="s">
        <v>2590</v>
      </c>
      <c r="Q428" t="s">
        <v>750</v>
      </c>
      <c r="R428" t="s">
        <v>2591</v>
      </c>
      <c r="S428" t="s">
        <v>97</v>
      </c>
      <c r="T428" t="s">
        <v>1183</v>
      </c>
      <c r="U428" t="s">
        <v>423</v>
      </c>
      <c r="V428" t="s">
        <v>82</v>
      </c>
    </row>
    <row r="429" spans="1:22" x14ac:dyDescent="0.3">
      <c r="A429" t="s">
        <v>2592</v>
      </c>
      <c r="B429" t="s">
        <v>1257</v>
      </c>
      <c r="C429" t="s">
        <v>1258</v>
      </c>
      <c r="D429" t="s">
        <v>2593</v>
      </c>
      <c r="E429" t="s">
        <v>134</v>
      </c>
      <c r="F429" t="s">
        <v>134</v>
      </c>
      <c r="G429" t="s">
        <v>213</v>
      </c>
      <c r="H429" t="s">
        <v>68</v>
      </c>
      <c r="I429" t="s">
        <v>69</v>
      </c>
      <c r="J429" t="s">
        <v>30</v>
      </c>
      <c r="K429" t="s">
        <v>230</v>
      </c>
      <c r="L429" t="s">
        <v>333</v>
      </c>
      <c r="M429" t="s">
        <v>842</v>
      </c>
      <c r="N429" t="s">
        <v>179</v>
      </c>
      <c r="O429" t="s">
        <v>842</v>
      </c>
      <c r="P429" t="s">
        <v>733</v>
      </c>
      <c r="Q429" t="s">
        <v>610</v>
      </c>
      <c r="R429" t="s">
        <v>2594</v>
      </c>
      <c r="S429" t="s">
        <v>97</v>
      </c>
      <c r="T429" t="s">
        <v>137</v>
      </c>
      <c r="U429" t="s">
        <v>394</v>
      </c>
      <c r="V429" t="s">
        <v>58</v>
      </c>
    </row>
    <row r="430" spans="1:22" x14ac:dyDescent="0.3">
      <c r="A430" t="s">
        <v>2595</v>
      </c>
      <c r="B430" t="s">
        <v>100</v>
      </c>
      <c r="C430" t="s">
        <v>101</v>
      </c>
      <c r="D430" t="s">
        <v>2596</v>
      </c>
      <c r="E430" t="s">
        <v>87</v>
      </c>
      <c r="F430" t="s">
        <v>26</v>
      </c>
      <c r="G430" t="s">
        <v>213</v>
      </c>
      <c r="H430" t="s">
        <v>68</v>
      </c>
      <c r="I430" t="s">
        <v>69</v>
      </c>
      <c r="J430" t="s">
        <v>30</v>
      </c>
      <c r="K430" t="s">
        <v>200</v>
      </c>
      <c r="L430" t="s">
        <v>682</v>
      </c>
      <c r="M430" t="s">
        <v>1848</v>
      </c>
      <c r="N430" t="s">
        <v>179</v>
      </c>
      <c r="O430" t="s">
        <v>1848</v>
      </c>
      <c r="P430" t="s">
        <v>1672</v>
      </c>
      <c r="Q430" t="s">
        <v>555</v>
      </c>
      <c r="R430" t="s">
        <v>2597</v>
      </c>
      <c r="S430" t="s">
        <v>182</v>
      </c>
      <c r="T430" t="s">
        <v>1043</v>
      </c>
      <c r="U430" t="s">
        <v>60</v>
      </c>
      <c r="V430" t="s">
        <v>82</v>
      </c>
    </row>
    <row r="431" spans="1:22" x14ac:dyDescent="0.3">
      <c r="A431" t="s">
        <v>2598</v>
      </c>
      <c r="B431" t="s">
        <v>1766</v>
      </c>
      <c r="C431" t="s">
        <v>1767</v>
      </c>
      <c r="D431" t="s">
        <v>2599</v>
      </c>
      <c r="E431" t="s">
        <v>243</v>
      </c>
      <c r="F431" t="s">
        <v>244</v>
      </c>
      <c r="G431" t="s">
        <v>147</v>
      </c>
      <c r="H431" t="s">
        <v>268</v>
      </c>
      <c r="I431" t="s">
        <v>69</v>
      </c>
      <c r="J431" t="s">
        <v>30</v>
      </c>
      <c r="K431" t="s">
        <v>71</v>
      </c>
      <c r="L431" t="s">
        <v>72</v>
      </c>
      <c r="M431" t="s">
        <v>2600</v>
      </c>
      <c r="N431" t="s">
        <v>179</v>
      </c>
      <c r="O431" t="s">
        <v>2600</v>
      </c>
      <c r="P431" t="s">
        <v>1128</v>
      </c>
      <c r="Q431" t="s">
        <v>693</v>
      </c>
      <c r="R431" t="s">
        <v>2601</v>
      </c>
      <c r="S431" t="s">
        <v>58</v>
      </c>
      <c r="T431" t="s">
        <v>628</v>
      </c>
      <c r="U431" t="s">
        <v>472</v>
      </c>
      <c r="V431" t="s">
        <v>58</v>
      </c>
    </row>
    <row r="432" spans="1:22" x14ac:dyDescent="0.3">
      <c r="A432" t="s">
        <v>2602</v>
      </c>
      <c r="B432" t="s">
        <v>1921</v>
      </c>
      <c r="C432" t="s">
        <v>1922</v>
      </c>
      <c r="D432" t="s">
        <v>1811</v>
      </c>
      <c r="E432" t="s">
        <v>893</v>
      </c>
      <c r="F432" t="s">
        <v>188</v>
      </c>
      <c r="G432" t="s">
        <v>27</v>
      </c>
      <c r="H432" t="s">
        <v>68</v>
      </c>
      <c r="I432" t="s">
        <v>29</v>
      </c>
      <c r="J432" t="s">
        <v>30</v>
      </c>
      <c r="K432" t="s">
        <v>215</v>
      </c>
      <c r="L432" t="s">
        <v>177</v>
      </c>
      <c r="M432" t="s">
        <v>2537</v>
      </c>
      <c r="N432" t="s">
        <v>276</v>
      </c>
      <c r="O432" t="s">
        <v>470</v>
      </c>
      <c r="P432" t="s">
        <v>1150</v>
      </c>
      <c r="Q432" t="s">
        <v>299</v>
      </c>
      <c r="R432" t="s">
        <v>2603</v>
      </c>
      <c r="S432" t="s">
        <v>58</v>
      </c>
      <c r="T432" t="s">
        <v>583</v>
      </c>
      <c r="U432" t="s">
        <v>277</v>
      </c>
      <c r="V432" t="s">
        <v>58</v>
      </c>
    </row>
    <row r="433" spans="1:22" x14ac:dyDescent="0.3">
      <c r="A433" t="s">
        <v>2604</v>
      </c>
      <c r="B433" t="s">
        <v>84</v>
      </c>
      <c r="C433" t="s">
        <v>85</v>
      </c>
      <c r="D433" t="s">
        <v>1259</v>
      </c>
      <c r="E433" t="s">
        <v>160</v>
      </c>
      <c r="F433" t="s">
        <v>161</v>
      </c>
      <c r="G433" t="s">
        <v>118</v>
      </c>
      <c r="H433" t="s">
        <v>229</v>
      </c>
      <c r="I433" t="s">
        <v>29</v>
      </c>
      <c r="J433" t="s">
        <v>162</v>
      </c>
      <c r="K433" t="s">
        <v>31</v>
      </c>
      <c r="L433" t="s">
        <v>1382</v>
      </c>
      <c r="M433" t="s">
        <v>552</v>
      </c>
      <c r="N433" t="s">
        <v>92</v>
      </c>
      <c r="O433" t="s">
        <v>1517</v>
      </c>
      <c r="P433" t="s">
        <v>1402</v>
      </c>
      <c r="Q433" t="s">
        <v>203</v>
      </c>
      <c r="R433" t="s">
        <v>2605</v>
      </c>
      <c r="S433" t="s">
        <v>126</v>
      </c>
      <c r="T433" t="s">
        <v>448</v>
      </c>
      <c r="U433" t="s">
        <v>385</v>
      </c>
      <c r="V433" t="s">
        <v>82</v>
      </c>
    </row>
    <row r="434" spans="1:22" x14ac:dyDescent="0.3">
      <c r="A434" t="s">
        <v>2606</v>
      </c>
      <c r="B434" t="s">
        <v>650</v>
      </c>
      <c r="C434" t="s">
        <v>651</v>
      </c>
      <c r="D434" t="s">
        <v>2607</v>
      </c>
      <c r="E434" t="s">
        <v>134</v>
      </c>
      <c r="F434" t="s">
        <v>134</v>
      </c>
      <c r="G434" t="s">
        <v>27</v>
      </c>
      <c r="I434" t="s">
        <v>69</v>
      </c>
      <c r="J434" t="s">
        <v>30</v>
      </c>
      <c r="K434" t="s">
        <v>50</v>
      </c>
      <c r="L434" t="s">
        <v>333</v>
      </c>
      <c r="M434" t="s">
        <v>2608</v>
      </c>
      <c r="N434" t="s">
        <v>179</v>
      </c>
      <c r="O434" t="s">
        <v>2608</v>
      </c>
      <c r="P434" t="s">
        <v>491</v>
      </c>
      <c r="Q434" t="s">
        <v>2609</v>
      </c>
      <c r="R434" t="s">
        <v>2610</v>
      </c>
      <c r="S434" t="s">
        <v>58</v>
      </c>
      <c r="T434" t="s">
        <v>2501</v>
      </c>
      <c r="U434" t="s">
        <v>423</v>
      </c>
      <c r="V434" t="s">
        <v>114</v>
      </c>
    </row>
    <row r="435" spans="1:22" x14ac:dyDescent="0.3">
      <c r="A435" t="s">
        <v>2611</v>
      </c>
      <c r="B435" t="s">
        <v>1298</v>
      </c>
      <c r="C435" t="s">
        <v>1299</v>
      </c>
      <c r="D435" t="s">
        <v>2612</v>
      </c>
      <c r="E435" t="s">
        <v>134</v>
      </c>
      <c r="F435" t="s">
        <v>134</v>
      </c>
      <c r="G435" t="s">
        <v>48</v>
      </c>
      <c r="H435" t="s">
        <v>268</v>
      </c>
      <c r="I435" t="s">
        <v>29</v>
      </c>
      <c r="J435" t="s">
        <v>30</v>
      </c>
      <c r="K435" t="s">
        <v>215</v>
      </c>
      <c r="L435" t="s">
        <v>362</v>
      </c>
      <c r="M435" t="s">
        <v>992</v>
      </c>
      <c r="N435" t="s">
        <v>1162</v>
      </c>
      <c r="O435" t="s">
        <v>2299</v>
      </c>
      <c r="P435" t="s">
        <v>1725</v>
      </c>
      <c r="Q435" t="s">
        <v>1112</v>
      </c>
      <c r="R435" t="s">
        <v>2613</v>
      </c>
      <c r="S435" t="s">
        <v>182</v>
      </c>
      <c r="T435" t="s">
        <v>321</v>
      </c>
      <c r="U435" t="s">
        <v>394</v>
      </c>
      <c r="V435" t="s">
        <v>82</v>
      </c>
    </row>
    <row r="436" spans="1:22" x14ac:dyDescent="0.3">
      <c r="A436" t="s">
        <v>2614</v>
      </c>
      <c r="B436" t="s">
        <v>279</v>
      </c>
      <c r="C436" t="s">
        <v>280</v>
      </c>
      <c r="D436" t="s">
        <v>2615</v>
      </c>
      <c r="E436" t="s">
        <v>672</v>
      </c>
      <c r="F436" t="s">
        <v>244</v>
      </c>
      <c r="G436" t="s">
        <v>580</v>
      </c>
      <c r="H436" t="s">
        <v>88</v>
      </c>
      <c r="I436" t="s">
        <v>69</v>
      </c>
      <c r="J436" t="s">
        <v>70</v>
      </c>
      <c r="K436" t="s">
        <v>50</v>
      </c>
      <c r="L436" t="s">
        <v>72</v>
      </c>
      <c r="M436" t="s">
        <v>235</v>
      </c>
      <c r="N436" t="s">
        <v>1230</v>
      </c>
      <c r="O436" t="s">
        <v>816</v>
      </c>
      <c r="P436" t="s">
        <v>582</v>
      </c>
      <c r="Q436" t="s">
        <v>1013</v>
      </c>
      <c r="R436" t="s">
        <v>2616</v>
      </c>
      <c r="S436" t="s">
        <v>126</v>
      </c>
      <c r="T436" t="s">
        <v>59</v>
      </c>
      <c r="U436" t="s">
        <v>277</v>
      </c>
      <c r="V436" t="s">
        <v>114</v>
      </c>
    </row>
    <row r="437" spans="1:22" x14ac:dyDescent="0.3">
      <c r="A437" t="s">
        <v>2617</v>
      </c>
      <c r="B437" t="s">
        <v>302</v>
      </c>
      <c r="C437" t="s">
        <v>303</v>
      </c>
      <c r="D437" t="s">
        <v>2618</v>
      </c>
      <c r="E437" t="s">
        <v>188</v>
      </c>
      <c r="F437" t="s">
        <v>188</v>
      </c>
      <c r="G437" t="s">
        <v>27</v>
      </c>
      <c r="H437" t="s">
        <v>49</v>
      </c>
      <c r="I437" t="s">
        <v>69</v>
      </c>
      <c r="J437" t="s">
        <v>30</v>
      </c>
      <c r="K437" t="s">
        <v>89</v>
      </c>
      <c r="L437" t="s">
        <v>1562</v>
      </c>
      <c r="M437" t="s">
        <v>1725</v>
      </c>
      <c r="N437" t="s">
        <v>1224</v>
      </c>
      <c r="O437" t="s">
        <v>805</v>
      </c>
      <c r="P437" t="s">
        <v>439</v>
      </c>
      <c r="Q437" t="s">
        <v>896</v>
      </c>
      <c r="R437" t="s">
        <v>2619</v>
      </c>
      <c r="S437" t="s">
        <v>97</v>
      </c>
      <c r="T437" t="s">
        <v>59</v>
      </c>
      <c r="U437" t="s">
        <v>385</v>
      </c>
      <c r="V437" t="s">
        <v>114</v>
      </c>
    </row>
    <row r="438" spans="1:22" x14ac:dyDescent="0.3">
      <c r="A438" t="s">
        <v>2620</v>
      </c>
      <c r="B438" t="s">
        <v>2621</v>
      </c>
      <c r="C438" t="s">
        <v>2622</v>
      </c>
      <c r="D438" t="s">
        <v>2623</v>
      </c>
      <c r="E438" t="s">
        <v>160</v>
      </c>
      <c r="F438" t="s">
        <v>161</v>
      </c>
      <c r="G438" t="s">
        <v>48</v>
      </c>
      <c r="H438" t="s">
        <v>104</v>
      </c>
      <c r="I438" t="s">
        <v>29</v>
      </c>
      <c r="J438" t="s">
        <v>70</v>
      </c>
      <c r="K438" t="s">
        <v>50</v>
      </c>
      <c r="L438" t="s">
        <v>1328</v>
      </c>
      <c r="M438" t="s">
        <v>316</v>
      </c>
      <c r="N438" t="s">
        <v>735</v>
      </c>
      <c r="O438" t="s">
        <v>75</v>
      </c>
      <c r="P438" t="s">
        <v>527</v>
      </c>
      <c r="Q438" t="s">
        <v>710</v>
      </c>
      <c r="R438" t="s">
        <v>2624</v>
      </c>
      <c r="S438" t="s">
        <v>97</v>
      </c>
      <c r="T438" t="s">
        <v>499</v>
      </c>
      <c r="U438" t="s">
        <v>113</v>
      </c>
      <c r="V438" t="s">
        <v>114</v>
      </c>
    </row>
    <row r="439" spans="1:22" x14ac:dyDescent="0.3">
      <c r="A439" t="s">
        <v>2625</v>
      </c>
      <c r="B439" t="s">
        <v>1824</v>
      </c>
      <c r="C439" t="s">
        <v>1825</v>
      </c>
      <c r="D439" t="s">
        <v>1835</v>
      </c>
      <c r="E439" t="s">
        <v>244</v>
      </c>
      <c r="F439" t="s">
        <v>244</v>
      </c>
      <c r="G439" t="s">
        <v>213</v>
      </c>
      <c r="H439" t="s">
        <v>268</v>
      </c>
      <c r="I439" t="s">
        <v>69</v>
      </c>
      <c r="J439" t="s">
        <v>30</v>
      </c>
      <c r="K439" t="s">
        <v>293</v>
      </c>
      <c r="L439" t="s">
        <v>534</v>
      </c>
      <c r="M439" t="s">
        <v>849</v>
      </c>
      <c r="N439" t="s">
        <v>121</v>
      </c>
      <c r="O439" t="s">
        <v>1827</v>
      </c>
      <c r="P439" t="s">
        <v>593</v>
      </c>
      <c r="Q439" t="s">
        <v>336</v>
      </c>
      <c r="R439" t="s">
        <v>2254</v>
      </c>
      <c r="S439" t="s">
        <v>182</v>
      </c>
      <c r="T439" t="s">
        <v>121</v>
      </c>
      <c r="U439" t="s">
        <v>472</v>
      </c>
      <c r="V439" t="s">
        <v>42</v>
      </c>
    </row>
    <row r="440" spans="1:22" x14ac:dyDescent="0.3">
      <c r="A440" t="s">
        <v>2626</v>
      </c>
      <c r="B440" t="s">
        <v>2627</v>
      </c>
      <c r="C440" t="s">
        <v>2628</v>
      </c>
      <c r="D440" t="s">
        <v>1088</v>
      </c>
      <c r="E440" t="s">
        <v>354</v>
      </c>
      <c r="F440" t="s">
        <v>134</v>
      </c>
      <c r="G440" t="s">
        <v>48</v>
      </c>
      <c r="H440" t="s">
        <v>229</v>
      </c>
      <c r="I440" t="s">
        <v>29</v>
      </c>
      <c r="J440" t="s">
        <v>30</v>
      </c>
      <c r="K440" t="s">
        <v>200</v>
      </c>
      <c r="L440" t="s">
        <v>1049</v>
      </c>
      <c r="M440" t="s">
        <v>887</v>
      </c>
      <c r="N440" t="s">
        <v>356</v>
      </c>
      <c r="O440" t="s">
        <v>1889</v>
      </c>
      <c r="P440" t="s">
        <v>357</v>
      </c>
      <c r="Q440" t="s">
        <v>2629</v>
      </c>
      <c r="R440" t="s">
        <v>2630</v>
      </c>
      <c r="S440" t="s">
        <v>39</v>
      </c>
      <c r="T440" t="s">
        <v>602</v>
      </c>
      <c r="U440" t="s">
        <v>385</v>
      </c>
      <c r="V440" t="s">
        <v>79</v>
      </c>
    </row>
    <row r="441" spans="1:22" x14ac:dyDescent="0.3">
      <c r="A441" t="s">
        <v>2631</v>
      </c>
      <c r="B441" t="s">
        <v>1349</v>
      </c>
      <c r="C441" t="s">
        <v>1350</v>
      </c>
      <c r="D441" t="s">
        <v>64</v>
      </c>
      <c r="E441" t="s">
        <v>26</v>
      </c>
      <c r="F441" t="s">
        <v>26</v>
      </c>
      <c r="G441" t="s">
        <v>27</v>
      </c>
      <c r="H441" t="s">
        <v>229</v>
      </c>
      <c r="I441" t="s">
        <v>69</v>
      </c>
      <c r="J441" t="s">
        <v>70</v>
      </c>
      <c r="K441" t="s">
        <v>89</v>
      </c>
      <c r="L441" t="s">
        <v>1010</v>
      </c>
      <c r="M441" t="s">
        <v>2274</v>
      </c>
      <c r="N441" t="s">
        <v>1230</v>
      </c>
      <c r="O441" t="s">
        <v>450</v>
      </c>
      <c r="P441" t="s">
        <v>1990</v>
      </c>
      <c r="Q441" t="s">
        <v>836</v>
      </c>
      <c r="R441" t="s">
        <v>2632</v>
      </c>
      <c r="S441" t="s">
        <v>182</v>
      </c>
      <c r="T441" t="s">
        <v>121</v>
      </c>
      <c r="U441" t="s">
        <v>362</v>
      </c>
      <c r="V441" t="s">
        <v>42</v>
      </c>
    </row>
    <row r="442" spans="1:22" x14ac:dyDescent="0.3">
      <c r="A442" t="s">
        <v>2633</v>
      </c>
      <c r="B442" t="s">
        <v>2330</v>
      </c>
      <c r="C442" t="s">
        <v>2331</v>
      </c>
      <c r="D442" t="s">
        <v>1095</v>
      </c>
      <c r="E442" t="s">
        <v>65</v>
      </c>
      <c r="F442" t="s">
        <v>66</v>
      </c>
      <c r="G442" t="s">
        <v>580</v>
      </c>
      <c r="H442" t="s">
        <v>28</v>
      </c>
      <c r="I442" t="s">
        <v>69</v>
      </c>
      <c r="J442" t="s">
        <v>30</v>
      </c>
      <c r="K442" t="s">
        <v>230</v>
      </c>
      <c r="L442" t="s">
        <v>269</v>
      </c>
      <c r="M442" t="s">
        <v>1744</v>
      </c>
      <c r="N442" t="s">
        <v>583</v>
      </c>
      <c r="O442" t="s">
        <v>93</v>
      </c>
      <c r="P442" t="s">
        <v>381</v>
      </c>
      <c r="Q442" t="s">
        <v>80</v>
      </c>
      <c r="R442" t="s">
        <v>2634</v>
      </c>
      <c r="S442" t="s">
        <v>58</v>
      </c>
      <c r="T442" t="s">
        <v>121</v>
      </c>
      <c r="U442" t="s">
        <v>98</v>
      </c>
      <c r="V442" t="s">
        <v>42</v>
      </c>
    </row>
    <row r="443" spans="1:22" x14ac:dyDescent="0.3">
      <c r="A443" t="s">
        <v>2635</v>
      </c>
      <c r="B443" t="s">
        <v>1205</v>
      </c>
      <c r="C443" t="s">
        <v>1206</v>
      </c>
      <c r="D443" t="s">
        <v>2636</v>
      </c>
      <c r="E443" t="s">
        <v>780</v>
      </c>
      <c r="F443" t="s">
        <v>282</v>
      </c>
      <c r="G443" t="s">
        <v>67</v>
      </c>
      <c r="H443" t="s">
        <v>68</v>
      </c>
      <c r="I443" t="s">
        <v>29</v>
      </c>
      <c r="J443" t="s">
        <v>30</v>
      </c>
      <c r="K443" t="s">
        <v>31</v>
      </c>
      <c r="L443" t="s">
        <v>2637</v>
      </c>
      <c r="M443" t="s">
        <v>767</v>
      </c>
      <c r="N443" t="s">
        <v>179</v>
      </c>
      <c r="O443" t="s">
        <v>767</v>
      </c>
      <c r="P443" t="s">
        <v>344</v>
      </c>
      <c r="Q443" t="s">
        <v>966</v>
      </c>
      <c r="R443" t="s">
        <v>2638</v>
      </c>
      <c r="S443" t="s">
        <v>126</v>
      </c>
      <c r="T443" t="s">
        <v>613</v>
      </c>
      <c r="U443" t="s">
        <v>373</v>
      </c>
      <c r="V443" t="s">
        <v>82</v>
      </c>
    </row>
    <row r="444" spans="1:22" x14ac:dyDescent="0.3">
      <c r="A444" t="s">
        <v>2639</v>
      </c>
      <c r="B444" t="s">
        <v>2146</v>
      </c>
      <c r="C444" t="s">
        <v>2147</v>
      </c>
      <c r="D444" t="s">
        <v>2640</v>
      </c>
      <c r="E444" t="s">
        <v>244</v>
      </c>
      <c r="F444" t="s">
        <v>244</v>
      </c>
      <c r="G444" t="s">
        <v>48</v>
      </c>
      <c r="H444" t="s">
        <v>104</v>
      </c>
      <c r="I444" t="s">
        <v>69</v>
      </c>
      <c r="J444" t="s">
        <v>30</v>
      </c>
      <c r="K444" t="s">
        <v>71</v>
      </c>
      <c r="L444" t="s">
        <v>719</v>
      </c>
      <c r="M444" t="s">
        <v>2641</v>
      </c>
      <c r="N444" t="s">
        <v>440</v>
      </c>
      <c r="O444" t="s">
        <v>2642</v>
      </c>
      <c r="P444" t="s">
        <v>296</v>
      </c>
      <c r="Q444" t="s">
        <v>180</v>
      </c>
      <c r="R444" t="s">
        <v>2643</v>
      </c>
      <c r="S444" t="s">
        <v>126</v>
      </c>
      <c r="T444" t="s">
        <v>499</v>
      </c>
      <c r="U444" t="s">
        <v>373</v>
      </c>
      <c r="V444" t="s">
        <v>114</v>
      </c>
    </row>
    <row r="445" spans="1:22" x14ac:dyDescent="0.3">
      <c r="A445" t="s">
        <v>2644</v>
      </c>
      <c r="B445" t="s">
        <v>2645</v>
      </c>
      <c r="C445" t="s">
        <v>2646</v>
      </c>
      <c r="D445" t="s">
        <v>2647</v>
      </c>
      <c r="E445" t="s">
        <v>893</v>
      </c>
      <c r="F445" t="s">
        <v>188</v>
      </c>
      <c r="G445" t="s">
        <v>103</v>
      </c>
      <c r="H445" t="s">
        <v>268</v>
      </c>
      <c r="I445" t="s">
        <v>29</v>
      </c>
      <c r="J445" t="s">
        <v>30</v>
      </c>
      <c r="K445" t="s">
        <v>50</v>
      </c>
      <c r="L445" t="s">
        <v>201</v>
      </c>
      <c r="M445" t="s">
        <v>2648</v>
      </c>
      <c r="N445" t="s">
        <v>356</v>
      </c>
      <c r="O445" t="s">
        <v>1656</v>
      </c>
      <c r="P445" t="s">
        <v>355</v>
      </c>
      <c r="Q445" t="s">
        <v>233</v>
      </c>
      <c r="R445" t="s">
        <v>2649</v>
      </c>
      <c r="S445" t="s">
        <v>79</v>
      </c>
      <c r="T445" t="s">
        <v>1569</v>
      </c>
      <c r="U445" t="s">
        <v>300</v>
      </c>
      <c r="V445" t="s">
        <v>42</v>
      </c>
    </row>
    <row r="446" spans="1:22" x14ac:dyDescent="0.3">
      <c r="A446" t="s">
        <v>2650</v>
      </c>
      <c r="B446" t="s">
        <v>130</v>
      </c>
      <c r="C446" t="s">
        <v>131</v>
      </c>
      <c r="D446" t="s">
        <v>2651</v>
      </c>
      <c r="E446" t="s">
        <v>1321</v>
      </c>
      <c r="F446" t="s">
        <v>228</v>
      </c>
      <c r="G446" t="s">
        <v>27</v>
      </c>
      <c r="H446" t="s">
        <v>268</v>
      </c>
      <c r="I446" t="s">
        <v>69</v>
      </c>
      <c r="J446" t="s">
        <v>162</v>
      </c>
      <c r="K446" t="s">
        <v>293</v>
      </c>
      <c r="L446" t="s">
        <v>1022</v>
      </c>
      <c r="M446" t="s">
        <v>1595</v>
      </c>
      <c r="N446" t="s">
        <v>179</v>
      </c>
      <c r="O446" t="s">
        <v>1595</v>
      </c>
      <c r="P446" t="s">
        <v>248</v>
      </c>
      <c r="Q446" t="s">
        <v>581</v>
      </c>
      <c r="R446" t="s">
        <v>2652</v>
      </c>
      <c r="S446" t="s">
        <v>97</v>
      </c>
      <c r="T446" t="s">
        <v>666</v>
      </c>
      <c r="U446" t="s">
        <v>568</v>
      </c>
      <c r="V446" t="s">
        <v>42</v>
      </c>
    </row>
    <row r="447" spans="1:22" x14ac:dyDescent="0.3">
      <c r="A447" t="s">
        <v>2653</v>
      </c>
      <c r="B447" t="s">
        <v>1093</v>
      </c>
      <c r="C447" t="s">
        <v>1094</v>
      </c>
      <c r="D447" t="s">
        <v>2654</v>
      </c>
      <c r="E447" t="s">
        <v>65</v>
      </c>
      <c r="F447" t="s">
        <v>66</v>
      </c>
      <c r="G447" t="s">
        <v>213</v>
      </c>
      <c r="H447" t="s">
        <v>49</v>
      </c>
      <c r="I447" t="s">
        <v>29</v>
      </c>
      <c r="J447" t="s">
        <v>257</v>
      </c>
      <c r="K447" t="s">
        <v>245</v>
      </c>
      <c r="L447" t="s">
        <v>663</v>
      </c>
      <c r="M447" t="s">
        <v>1604</v>
      </c>
      <c r="N447" t="s">
        <v>276</v>
      </c>
      <c r="O447" t="s">
        <v>2378</v>
      </c>
      <c r="P447" t="s">
        <v>166</v>
      </c>
      <c r="Q447" t="s">
        <v>2125</v>
      </c>
      <c r="R447" t="s">
        <v>2655</v>
      </c>
      <c r="S447" t="s">
        <v>39</v>
      </c>
      <c r="T447" t="s">
        <v>191</v>
      </c>
      <c r="U447" t="s">
        <v>98</v>
      </c>
      <c r="V447" t="s">
        <v>82</v>
      </c>
    </row>
    <row r="448" spans="1:22" x14ac:dyDescent="0.3">
      <c r="A448" t="s">
        <v>2656</v>
      </c>
      <c r="B448" t="s">
        <v>2657</v>
      </c>
      <c r="C448" t="s">
        <v>2658</v>
      </c>
      <c r="D448" t="s">
        <v>2659</v>
      </c>
      <c r="E448" t="s">
        <v>87</v>
      </c>
      <c r="F448" t="s">
        <v>26</v>
      </c>
      <c r="G448" t="s">
        <v>213</v>
      </c>
      <c r="H448" t="s">
        <v>229</v>
      </c>
      <c r="I448" t="s">
        <v>29</v>
      </c>
      <c r="J448" t="s">
        <v>30</v>
      </c>
      <c r="K448" t="s">
        <v>245</v>
      </c>
      <c r="L448" t="s">
        <v>1022</v>
      </c>
      <c r="M448" t="s">
        <v>2660</v>
      </c>
      <c r="N448" t="s">
        <v>179</v>
      </c>
      <c r="O448" t="s">
        <v>2660</v>
      </c>
      <c r="P448" t="s">
        <v>2378</v>
      </c>
      <c r="Q448" t="s">
        <v>2073</v>
      </c>
      <c r="R448" t="s">
        <v>2661</v>
      </c>
      <c r="S448" t="s">
        <v>126</v>
      </c>
      <c r="T448" t="s">
        <v>518</v>
      </c>
      <c r="U448" t="s">
        <v>277</v>
      </c>
      <c r="V448" t="s">
        <v>79</v>
      </c>
    </row>
    <row r="449" spans="1:22" x14ac:dyDescent="0.3">
      <c r="A449" t="s">
        <v>2662</v>
      </c>
      <c r="B449" t="s">
        <v>1869</v>
      </c>
      <c r="C449" t="s">
        <v>1870</v>
      </c>
      <c r="D449" t="s">
        <v>2663</v>
      </c>
      <c r="E449" t="s">
        <v>1321</v>
      </c>
      <c r="F449" t="s">
        <v>228</v>
      </c>
      <c r="G449" t="s">
        <v>67</v>
      </c>
      <c r="H449" t="s">
        <v>229</v>
      </c>
      <c r="I449" t="s">
        <v>29</v>
      </c>
      <c r="J449" t="s">
        <v>70</v>
      </c>
      <c r="K449" t="s">
        <v>31</v>
      </c>
      <c r="L449" t="s">
        <v>163</v>
      </c>
      <c r="M449" t="s">
        <v>822</v>
      </c>
      <c r="N449" t="s">
        <v>770</v>
      </c>
      <c r="O449" t="s">
        <v>136</v>
      </c>
      <c r="P449" t="s">
        <v>742</v>
      </c>
      <c r="Q449" t="s">
        <v>1694</v>
      </c>
      <c r="R449" t="s">
        <v>2664</v>
      </c>
      <c r="S449" t="s">
        <v>79</v>
      </c>
      <c r="T449" t="s">
        <v>150</v>
      </c>
      <c r="U449" t="s">
        <v>277</v>
      </c>
      <c r="V449" t="s">
        <v>82</v>
      </c>
    </row>
    <row r="450" spans="1:22" x14ac:dyDescent="0.3">
      <c r="A450" t="s">
        <v>2665</v>
      </c>
      <c r="B450" t="s">
        <v>924</v>
      </c>
      <c r="C450" t="s">
        <v>925</v>
      </c>
      <c r="D450" t="s">
        <v>2666</v>
      </c>
      <c r="E450" t="s">
        <v>780</v>
      </c>
      <c r="F450" t="s">
        <v>282</v>
      </c>
      <c r="G450" t="s">
        <v>27</v>
      </c>
      <c r="H450" t="s">
        <v>68</v>
      </c>
      <c r="I450" t="s">
        <v>69</v>
      </c>
      <c r="J450" t="s">
        <v>70</v>
      </c>
      <c r="K450" t="s">
        <v>215</v>
      </c>
      <c r="L450" t="s">
        <v>201</v>
      </c>
      <c r="M450" t="s">
        <v>774</v>
      </c>
      <c r="N450" t="s">
        <v>261</v>
      </c>
      <c r="O450" t="s">
        <v>805</v>
      </c>
      <c r="P450" t="s">
        <v>816</v>
      </c>
      <c r="Q450" t="s">
        <v>308</v>
      </c>
      <c r="R450" t="s">
        <v>2667</v>
      </c>
      <c r="S450" t="s">
        <v>97</v>
      </c>
      <c r="T450" t="s">
        <v>461</v>
      </c>
      <c r="U450" t="s">
        <v>423</v>
      </c>
      <c r="V450" t="s">
        <v>58</v>
      </c>
    </row>
    <row r="451" spans="1:22" x14ac:dyDescent="0.3">
      <c r="A451" t="s">
        <v>2668</v>
      </c>
      <c r="B451" t="s">
        <v>2669</v>
      </c>
      <c r="C451" t="s">
        <v>2670</v>
      </c>
      <c r="D451" t="s">
        <v>1853</v>
      </c>
      <c r="E451" t="s">
        <v>26</v>
      </c>
      <c r="F451" t="s">
        <v>26</v>
      </c>
      <c r="G451" t="s">
        <v>27</v>
      </c>
      <c r="H451" t="s">
        <v>88</v>
      </c>
      <c r="I451" t="s">
        <v>29</v>
      </c>
      <c r="J451" t="s">
        <v>30</v>
      </c>
      <c r="K451" t="s">
        <v>50</v>
      </c>
      <c r="L451" t="s">
        <v>766</v>
      </c>
      <c r="M451" t="s">
        <v>1150</v>
      </c>
      <c r="N451" t="s">
        <v>179</v>
      </c>
      <c r="O451" t="s">
        <v>1150</v>
      </c>
      <c r="P451" t="s">
        <v>1177</v>
      </c>
      <c r="Q451" t="s">
        <v>439</v>
      </c>
      <c r="R451" t="s">
        <v>2671</v>
      </c>
      <c r="S451" t="s">
        <v>182</v>
      </c>
      <c r="T451" t="s">
        <v>1230</v>
      </c>
      <c r="U451" t="s">
        <v>472</v>
      </c>
      <c r="V451" t="s">
        <v>42</v>
      </c>
    </row>
    <row r="452" spans="1:22" x14ac:dyDescent="0.3">
      <c r="A452" t="s">
        <v>2672</v>
      </c>
      <c r="B452" t="s">
        <v>210</v>
      </c>
      <c r="C452" t="s">
        <v>211</v>
      </c>
      <c r="D452" t="s">
        <v>1966</v>
      </c>
      <c r="E452" t="s">
        <v>160</v>
      </c>
      <c r="F452" t="s">
        <v>161</v>
      </c>
      <c r="G452" t="s">
        <v>67</v>
      </c>
      <c r="H452" t="s">
        <v>214</v>
      </c>
      <c r="I452" t="s">
        <v>69</v>
      </c>
      <c r="J452" t="s">
        <v>162</v>
      </c>
      <c r="K452" t="s">
        <v>31</v>
      </c>
      <c r="L452" t="s">
        <v>1156</v>
      </c>
      <c r="M452" t="s">
        <v>391</v>
      </c>
      <c r="N452" t="s">
        <v>2673</v>
      </c>
      <c r="O452" t="s">
        <v>1430</v>
      </c>
      <c r="P452" t="s">
        <v>1000</v>
      </c>
      <c r="Q452" t="s">
        <v>137</v>
      </c>
      <c r="R452" t="s">
        <v>1746</v>
      </c>
      <c r="T452" t="s">
        <v>613</v>
      </c>
      <c r="U452" t="s">
        <v>171</v>
      </c>
      <c r="V452" t="s">
        <v>114</v>
      </c>
    </row>
    <row r="453" spans="1:22" x14ac:dyDescent="0.3">
      <c r="A453" t="s">
        <v>2674</v>
      </c>
      <c r="B453" t="s">
        <v>2675</v>
      </c>
      <c r="C453" t="s">
        <v>2676</v>
      </c>
      <c r="D453" t="s">
        <v>2535</v>
      </c>
      <c r="E453" t="s">
        <v>188</v>
      </c>
      <c r="F453" t="s">
        <v>188</v>
      </c>
      <c r="G453" t="s">
        <v>48</v>
      </c>
      <c r="H453" t="s">
        <v>229</v>
      </c>
      <c r="I453" t="s">
        <v>69</v>
      </c>
      <c r="J453" t="s">
        <v>30</v>
      </c>
      <c r="K453" t="s">
        <v>230</v>
      </c>
      <c r="L453" t="s">
        <v>927</v>
      </c>
      <c r="M453" t="s">
        <v>2677</v>
      </c>
      <c r="N453" t="s">
        <v>179</v>
      </c>
      <c r="O453" t="s">
        <v>2677</v>
      </c>
      <c r="P453" t="s">
        <v>1968</v>
      </c>
      <c r="Q453" t="s">
        <v>178</v>
      </c>
      <c r="R453" t="s">
        <v>2678</v>
      </c>
      <c r="S453" t="s">
        <v>182</v>
      </c>
      <c r="T453" t="s">
        <v>518</v>
      </c>
      <c r="U453" t="s">
        <v>349</v>
      </c>
      <c r="V453" t="s">
        <v>42</v>
      </c>
    </row>
    <row r="454" spans="1:22" x14ac:dyDescent="0.3">
      <c r="A454" t="s">
        <v>2679</v>
      </c>
      <c r="B454" t="s">
        <v>577</v>
      </c>
      <c r="C454" t="s">
        <v>578</v>
      </c>
      <c r="D454" t="s">
        <v>2680</v>
      </c>
      <c r="E454" t="s">
        <v>133</v>
      </c>
      <c r="F454" t="s">
        <v>134</v>
      </c>
      <c r="G454" t="s">
        <v>580</v>
      </c>
      <c r="H454" t="s">
        <v>68</v>
      </c>
      <c r="I454" t="s">
        <v>69</v>
      </c>
      <c r="J454" t="s">
        <v>70</v>
      </c>
      <c r="K454" t="s">
        <v>71</v>
      </c>
      <c r="L454" t="s">
        <v>1382</v>
      </c>
      <c r="M454" t="s">
        <v>2086</v>
      </c>
      <c r="O454" t="s">
        <v>1063</v>
      </c>
      <c r="P454" t="s">
        <v>1064</v>
      </c>
      <c r="Q454" t="s">
        <v>543</v>
      </c>
      <c r="R454" t="s">
        <v>2681</v>
      </c>
      <c r="S454" t="s">
        <v>79</v>
      </c>
      <c r="T454" t="s">
        <v>191</v>
      </c>
      <c r="U454" t="s">
        <v>41</v>
      </c>
      <c r="V454" t="s">
        <v>58</v>
      </c>
    </row>
    <row r="455" spans="1:22" x14ac:dyDescent="0.3">
      <c r="A455" t="s">
        <v>2682</v>
      </c>
      <c r="B455" t="s">
        <v>876</v>
      </c>
      <c r="C455" t="s">
        <v>877</v>
      </c>
      <c r="D455" t="s">
        <v>2683</v>
      </c>
      <c r="E455" t="s">
        <v>1321</v>
      </c>
      <c r="F455" t="s">
        <v>228</v>
      </c>
      <c r="G455" t="s">
        <v>103</v>
      </c>
      <c r="H455" t="s">
        <v>104</v>
      </c>
      <c r="I455" t="s">
        <v>69</v>
      </c>
      <c r="J455" t="s">
        <v>30</v>
      </c>
      <c r="K455" t="s">
        <v>215</v>
      </c>
      <c r="L455" t="s">
        <v>1295</v>
      </c>
      <c r="M455" t="s">
        <v>2684</v>
      </c>
      <c r="N455" t="s">
        <v>499</v>
      </c>
      <c r="O455" t="s">
        <v>872</v>
      </c>
      <c r="P455" t="s">
        <v>784</v>
      </c>
      <c r="Q455" t="s">
        <v>805</v>
      </c>
      <c r="R455" t="s">
        <v>2685</v>
      </c>
      <c r="S455" t="s">
        <v>126</v>
      </c>
      <c r="T455" t="s">
        <v>482</v>
      </c>
      <c r="U455" t="s">
        <v>394</v>
      </c>
      <c r="V455" t="s">
        <v>82</v>
      </c>
    </row>
    <row r="456" spans="1:22" x14ac:dyDescent="0.3">
      <c r="A456" t="s">
        <v>2686</v>
      </c>
      <c r="B456" t="s">
        <v>2687</v>
      </c>
      <c r="C456" t="s">
        <v>2688</v>
      </c>
      <c r="D456" t="s">
        <v>2689</v>
      </c>
      <c r="E456" t="s">
        <v>417</v>
      </c>
      <c r="F456" t="s">
        <v>134</v>
      </c>
      <c r="G456" t="s">
        <v>48</v>
      </c>
      <c r="H456" t="s">
        <v>214</v>
      </c>
      <c r="I456" t="s">
        <v>29</v>
      </c>
      <c r="J456" t="s">
        <v>30</v>
      </c>
      <c r="K456" t="s">
        <v>31</v>
      </c>
      <c r="L456" t="s">
        <v>719</v>
      </c>
      <c r="M456" t="s">
        <v>345</v>
      </c>
      <c r="N456" t="s">
        <v>179</v>
      </c>
      <c r="O456" t="s">
        <v>345</v>
      </c>
      <c r="P456" t="s">
        <v>2299</v>
      </c>
      <c r="Q456" t="s">
        <v>1996</v>
      </c>
      <c r="R456" t="s">
        <v>2690</v>
      </c>
      <c r="S456" t="s">
        <v>58</v>
      </c>
      <c r="T456" t="s">
        <v>655</v>
      </c>
      <c r="U456" t="s">
        <v>537</v>
      </c>
      <c r="V456" t="s">
        <v>42</v>
      </c>
    </row>
    <row r="457" spans="1:22" x14ac:dyDescent="0.3">
      <c r="A457" t="s">
        <v>2691</v>
      </c>
      <c r="B457" t="s">
        <v>980</v>
      </c>
      <c r="C457" t="s">
        <v>981</v>
      </c>
      <c r="D457" t="s">
        <v>242</v>
      </c>
      <c r="E457" t="s">
        <v>243</v>
      </c>
      <c r="F457" t="s">
        <v>244</v>
      </c>
      <c r="G457" t="s">
        <v>67</v>
      </c>
      <c r="H457" t="s">
        <v>68</v>
      </c>
      <c r="I457" t="s">
        <v>69</v>
      </c>
      <c r="J457" t="s">
        <v>70</v>
      </c>
      <c r="K457" t="s">
        <v>89</v>
      </c>
      <c r="L457" t="s">
        <v>691</v>
      </c>
      <c r="M457" t="s">
        <v>2692</v>
      </c>
      <c r="N457" t="s">
        <v>179</v>
      </c>
      <c r="O457" t="s">
        <v>2692</v>
      </c>
      <c r="P457" t="s">
        <v>1315</v>
      </c>
      <c r="Q457" t="s">
        <v>479</v>
      </c>
      <c r="R457" t="s">
        <v>2693</v>
      </c>
      <c r="S457" t="s">
        <v>58</v>
      </c>
      <c r="T457" t="s">
        <v>677</v>
      </c>
      <c r="U457" t="s">
        <v>423</v>
      </c>
      <c r="V457" t="s">
        <v>79</v>
      </c>
    </row>
    <row r="458" spans="1:22" x14ac:dyDescent="0.3">
      <c r="A458" t="s">
        <v>2694</v>
      </c>
      <c r="B458" t="s">
        <v>1019</v>
      </c>
      <c r="C458" t="s">
        <v>1020</v>
      </c>
      <c r="D458" t="s">
        <v>1561</v>
      </c>
      <c r="E458" t="s">
        <v>399</v>
      </c>
      <c r="F458" t="s">
        <v>188</v>
      </c>
      <c r="G458" t="s">
        <v>103</v>
      </c>
      <c r="H458" t="s">
        <v>28</v>
      </c>
      <c r="I458" t="s">
        <v>69</v>
      </c>
      <c r="J458" t="s">
        <v>30</v>
      </c>
      <c r="K458" t="s">
        <v>89</v>
      </c>
      <c r="L458" t="s">
        <v>773</v>
      </c>
      <c r="M458" t="s">
        <v>52</v>
      </c>
      <c r="N458" t="s">
        <v>621</v>
      </c>
      <c r="O458" t="s">
        <v>77</v>
      </c>
      <c r="P458" t="s">
        <v>602</v>
      </c>
      <c r="Q458" t="s">
        <v>361</v>
      </c>
      <c r="R458" t="s">
        <v>2695</v>
      </c>
      <c r="S458" t="s">
        <v>126</v>
      </c>
      <c r="T458" t="s">
        <v>142</v>
      </c>
      <c r="U458" t="s">
        <v>373</v>
      </c>
      <c r="V458" t="s">
        <v>82</v>
      </c>
    </row>
    <row r="459" spans="1:22" x14ac:dyDescent="0.3">
      <c r="A459" t="s">
        <v>2696</v>
      </c>
      <c r="B459" t="s">
        <v>2697</v>
      </c>
      <c r="C459" t="s">
        <v>2698</v>
      </c>
      <c r="D459" t="s">
        <v>2699</v>
      </c>
      <c r="E459" t="s">
        <v>282</v>
      </c>
      <c r="F459" t="s">
        <v>282</v>
      </c>
      <c r="G459" t="s">
        <v>580</v>
      </c>
      <c r="H459" t="s">
        <v>68</v>
      </c>
      <c r="I459" t="s">
        <v>69</v>
      </c>
      <c r="J459" t="s">
        <v>30</v>
      </c>
      <c r="K459" t="s">
        <v>293</v>
      </c>
      <c r="L459" t="s">
        <v>32</v>
      </c>
      <c r="M459" t="s">
        <v>2677</v>
      </c>
      <c r="N459" t="s">
        <v>179</v>
      </c>
      <c r="O459" t="s">
        <v>2677</v>
      </c>
      <c r="P459" t="s">
        <v>791</v>
      </c>
      <c r="Q459" t="s">
        <v>391</v>
      </c>
      <c r="R459" t="s">
        <v>2700</v>
      </c>
      <c r="S459" t="s">
        <v>79</v>
      </c>
      <c r="T459" t="s">
        <v>553</v>
      </c>
      <c r="U459" t="s">
        <v>128</v>
      </c>
      <c r="V459" t="s">
        <v>42</v>
      </c>
    </row>
    <row r="460" spans="1:22" x14ac:dyDescent="0.3">
      <c r="A460" t="s">
        <v>2701</v>
      </c>
      <c r="B460" t="s">
        <v>2645</v>
      </c>
      <c r="C460" t="s">
        <v>2646</v>
      </c>
      <c r="D460" t="s">
        <v>2702</v>
      </c>
      <c r="E460" t="s">
        <v>267</v>
      </c>
      <c r="F460" t="s">
        <v>66</v>
      </c>
      <c r="H460" t="s">
        <v>49</v>
      </c>
      <c r="I460" t="s">
        <v>29</v>
      </c>
      <c r="J460" t="s">
        <v>30</v>
      </c>
      <c r="K460" t="s">
        <v>71</v>
      </c>
      <c r="L460" t="s">
        <v>362</v>
      </c>
      <c r="M460" t="s">
        <v>1212</v>
      </c>
      <c r="N460" t="s">
        <v>164</v>
      </c>
      <c r="O460" t="s">
        <v>1213</v>
      </c>
      <c r="P460" t="s">
        <v>791</v>
      </c>
      <c r="Q460" t="s">
        <v>2527</v>
      </c>
      <c r="R460" t="s">
        <v>2703</v>
      </c>
      <c r="S460" t="s">
        <v>58</v>
      </c>
      <c r="T460" t="s">
        <v>448</v>
      </c>
      <c r="U460" t="s">
        <v>171</v>
      </c>
      <c r="V460" t="s">
        <v>82</v>
      </c>
    </row>
    <row r="461" spans="1:22" x14ac:dyDescent="0.3">
      <c r="A461" t="s">
        <v>2704</v>
      </c>
      <c r="B461" t="s">
        <v>2705</v>
      </c>
      <c r="C461" t="s">
        <v>2706</v>
      </c>
      <c r="D461" t="s">
        <v>2707</v>
      </c>
      <c r="E461" t="s">
        <v>47</v>
      </c>
      <c r="F461" t="s">
        <v>26</v>
      </c>
      <c r="G461" t="s">
        <v>48</v>
      </c>
      <c r="H461" t="s">
        <v>88</v>
      </c>
      <c r="I461" t="s">
        <v>69</v>
      </c>
      <c r="J461" t="s">
        <v>30</v>
      </c>
      <c r="K461" t="s">
        <v>245</v>
      </c>
      <c r="L461" t="s">
        <v>766</v>
      </c>
      <c r="M461" t="s">
        <v>1314</v>
      </c>
      <c r="N461" t="s">
        <v>166</v>
      </c>
      <c r="O461" t="s">
        <v>2708</v>
      </c>
      <c r="P461" t="s">
        <v>1075</v>
      </c>
      <c r="Q461" t="s">
        <v>805</v>
      </c>
      <c r="R461" t="s">
        <v>2561</v>
      </c>
      <c r="S461" t="s">
        <v>79</v>
      </c>
      <c r="T461" t="s">
        <v>233</v>
      </c>
      <c r="U461" t="s">
        <v>362</v>
      </c>
      <c r="V461" t="s">
        <v>42</v>
      </c>
    </row>
    <row r="462" spans="1:22" x14ac:dyDescent="0.3">
      <c r="A462" t="s">
        <v>2709</v>
      </c>
      <c r="B462" t="s">
        <v>1697</v>
      </c>
      <c r="C462" t="s">
        <v>1698</v>
      </c>
      <c r="D462" t="s">
        <v>671</v>
      </c>
      <c r="E462" t="s">
        <v>228</v>
      </c>
      <c r="F462" t="s">
        <v>228</v>
      </c>
      <c r="G462" t="s">
        <v>213</v>
      </c>
      <c r="H462" t="s">
        <v>88</v>
      </c>
      <c r="I462" t="s">
        <v>69</v>
      </c>
      <c r="J462" t="s">
        <v>30</v>
      </c>
      <c r="K462" t="s">
        <v>71</v>
      </c>
      <c r="L462" t="s">
        <v>1022</v>
      </c>
      <c r="M462" t="s">
        <v>1067</v>
      </c>
      <c r="N462" t="s">
        <v>121</v>
      </c>
      <c r="O462" t="s">
        <v>2710</v>
      </c>
      <c r="P462" t="s">
        <v>2526</v>
      </c>
      <c r="Q462" t="s">
        <v>2279</v>
      </c>
      <c r="R462" t="s">
        <v>2155</v>
      </c>
      <c r="S462" t="s">
        <v>79</v>
      </c>
      <c r="T462" t="s">
        <v>1141</v>
      </c>
      <c r="U462" t="s">
        <v>373</v>
      </c>
      <c r="V462" t="s">
        <v>82</v>
      </c>
    </row>
    <row r="463" spans="1:22" x14ac:dyDescent="0.3">
      <c r="A463" t="s">
        <v>2711</v>
      </c>
      <c r="B463" t="s">
        <v>279</v>
      </c>
      <c r="C463" t="s">
        <v>280</v>
      </c>
      <c r="D463" t="s">
        <v>2712</v>
      </c>
      <c r="E463" t="s">
        <v>634</v>
      </c>
      <c r="F463" t="s">
        <v>228</v>
      </c>
      <c r="G463" t="s">
        <v>27</v>
      </c>
      <c r="H463" t="s">
        <v>49</v>
      </c>
      <c r="I463" t="s">
        <v>69</v>
      </c>
      <c r="J463" t="s">
        <v>162</v>
      </c>
      <c r="K463" t="s">
        <v>293</v>
      </c>
      <c r="L463" t="s">
        <v>148</v>
      </c>
      <c r="M463" t="s">
        <v>620</v>
      </c>
      <c r="N463" t="s">
        <v>191</v>
      </c>
      <c r="O463" t="s">
        <v>828</v>
      </c>
      <c r="P463" t="s">
        <v>319</v>
      </c>
      <c r="Q463" t="s">
        <v>2542</v>
      </c>
      <c r="R463" t="s">
        <v>2713</v>
      </c>
      <c r="S463" t="s">
        <v>58</v>
      </c>
      <c r="T463" t="s">
        <v>499</v>
      </c>
      <c r="U463" t="s">
        <v>60</v>
      </c>
      <c r="V463" t="s">
        <v>58</v>
      </c>
    </row>
    <row r="464" spans="1:22" x14ac:dyDescent="0.3">
      <c r="A464" t="s">
        <v>2714</v>
      </c>
      <c r="B464" t="s">
        <v>2705</v>
      </c>
      <c r="C464" t="s">
        <v>2706</v>
      </c>
      <c r="D464" t="s">
        <v>2715</v>
      </c>
      <c r="E464" t="s">
        <v>378</v>
      </c>
      <c r="F464" t="s">
        <v>282</v>
      </c>
      <c r="G464" t="s">
        <v>213</v>
      </c>
      <c r="H464" t="s">
        <v>68</v>
      </c>
      <c r="I464" t="s">
        <v>69</v>
      </c>
      <c r="J464" t="s">
        <v>70</v>
      </c>
      <c r="K464" t="s">
        <v>31</v>
      </c>
      <c r="L464" t="s">
        <v>163</v>
      </c>
      <c r="M464" t="s">
        <v>2716</v>
      </c>
      <c r="N464" t="s">
        <v>179</v>
      </c>
      <c r="O464" t="s">
        <v>2716</v>
      </c>
      <c r="P464" t="s">
        <v>666</v>
      </c>
      <c r="Q464" t="s">
        <v>56</v>
      </c>
      <c r="R464" t="s">
        <v>2717</v>
      </c>
      <c r="S464" t="s">
        <v>182</v>
      </c>
      <c r="T464" t="s">
        <v>384</v>
      </c>
      <c r="U464" t="s">
        <v>288</v>
      </c>
      <c r="V464" t="s">
        <v>58</v>
      </c>
    </row>
    <row r="465" spans="1:22" x14ac:dyDescent="0.3">
      <c r="A465" t="s">
        <v>2718</v>
      </c>
      <c r="B465" t="s">
        <v>2277</v>
      </c>
      <c r="C465" t="s">
        <v>2278</v>
      </c>
      <c r="D465" t="s">
        <v>1095</v>
      </c>
      <c r="E465" t="s">
        <v>267</v>
      </c>
      <c r="F465" t="s">
        <v>66</v>
      </c>
      <c r="G465" t="s">
        <v>27</v>
      </c>
      <c r="H465" t="s">
        <v>49</v>
      </c>
      <c r="I465" t="s">
        <v>29</v>
      </c>
      <c r="J465" t="s">
        <v>162</v>
      </c>
      <c r="K465" t="s">
        <v>215</v>
      </c>
      <c r="L465" t="s">
        <v>983</v>
      </c>
      <c r="M465" t="s">
        <v>564</v>
      </c>
      <c r="N465" t="s">
        <v>179</v>
      </c>
      <c r="O465" t="s">
        <v>564</v>
      </c>
      <c r="P465" t="s">
        <v>77</v>
      </c>
      <c r="Q465" t="s">
        <v>218</v>
      </c>
      <c r="R465" t="s">
        <v>2719</v>
      </c>
      <c r="S465" t="s">
        <v>58</v>
      </c>
      <c r="T465" t="s">
        <v>150</v>
      </c>
      <c r="U465" t="s">
        <v>537</v>
      </c>
      <c r="V465" t="s">
        <v>79</v>
      </c>
    </row>
    <row r="466" spans="1:22" x14ac:dyDescent="0.3">
      <c r="A466" t="s">
        <v>2720</v>
      </c>
      <c r="B466" t="s">
        <v>520</v>
      </c>
      <c r="C466" t="s">
        <v>521</v>
      </c>
      <c r="D466" t="s">
        <v>2721</v>
      </c>
      <c r="E466" t="s">
        <v>1321</v>
      </c>
      <c r="F466" t="s">
        <v>228</v>
      </c>
      <c r="G466" t="s">
        <v>213</v>
      </c>
      <c r="H466" t="s">
        <v>104</v>
      </c>
      <c r="I466" t="s">
        <v>29</v>
      </c>
      <c r="J466" t="s">
        <v>30</v>
      </c>
      <c r="K466" t="s">
        <v>31</v>
      </c>
      <c r="L466" t="s">
        <v>719</v>
      </c>
      <c r="M466" t="s">
        <v>542</v>
      </c>
      <c r="N466" t="s">
        <v>150</v>
      </c>
      <c r="O466" t="s">
        <v>2167</v>
      </c>
      <c r="P466" t="s">
        <v>1492</v>
      </c>
      <c r="Q466" t="s">
        <v>356</v>
      </c>
      <c r="R466" t="s">
        <v>1895</v>
      </c>
      <c r="S466" t="s">
        <v>79</v>
      </c>
      <c r="T466" t="s">
        <v>203</v>
      </c>
      <c r="U466" t="s">
        <v>472</v>
      </c>
      <c r="V466" t="s">
        <v>79</v>
      </c>
    </row>
    <row r="467" spans="1:22" x14ac:dyDescent="0.3">
      <c r="A467" t="s">
        <v>2722</v>
      </c>
      <c r="B467" t="s">
        <v>2010</v>
      </c>
      <c r="C467" t="s">
        <v>2011</v>
      </c>
      <c r="D467" t="s">
        <v>2723</v>
      </c>
      <c r="E467" t="s">
        <v>244</v>
      </c>
      <c r="F467" t="s">
        <v>244</v>
      </c>
      <c r="G467" t="s">
        <v>580</v>
      </c>
      <c r="H467" t="s">
        <v>68</v>
      </c>
      <c r="I467" t="s">
        <v>69</v>
      </c>
      <c r="J467" t="s">
        <v>70</v>
      </c>
      <c r="K467" t="s">
        <v>50</v>
      </c>
      <c r="L467" t="s">
        <v>269</v>
      </c>
      <c r="M467" t="s">
        <v>1600</v>
      </c>
      <c r="N467" t="s">
        <v>600</v>
      </c>
      <c r="O467" t="s">
        <v>2120</v>
      </c>
      <c r="P467" t="s">
        <v>636</v>
      </c>
      <c r="Q467" t="s">
        <v>573</v>
      </c>
      <c r="R467" t="s">
        <v>2724</v>
      </c>
      <c r="S467" t="s">
        <v>182</v>
      </c>
      <c r="T467" t="s">
        <v>321</v>
      </c>
      <c r="U467" t="s">
        <v>300</v>
      </c>
      <c r="V467" t="s">
        <v>58</v>
      </c>
    </row>
    <row r="468" spans="1:22" x14ac:dyDescent="0.3">
      <c r="A468" t="s">
        <v>2725</v>
      </c>
      <c r="B468" t="s">
        <v>1306</v>
      </c>
      <c r="C468" t="s">
        <v>1307</v>
      </c>
      <c r="D468" t="s">
        <v>2726</v>
      </c>
      <c r="E468" t="s">
        <v>243</v>
      </c>
      <c r="F468" t="s">
        <v>244</v>
      </c>
      <c r="G468" t="s">
        <v>147</v>
      </c>
      <c r="H468" t="s">
        <v>28</v>
      </c>
      <c r="I468" t="s">
        <v>69</v>
      </c>
      <c r="J468" t="s">
        <v>30</v>
      </c>
      <c r="K468" t="s">
        <v>200</v>
      </c>
      <c r="L468" t="s">
        <v>812</v>
      </c>
      <c r="M468" t="s">
        <v>193</v>
      </c>
      <c r="N468" t="s">
        <v>179</v>
      </c>
      <c r="O468" t="s">
        <v>193</v>
      </c>
      <c r="P468" t="s">
        <v>582</v>
      </c>
      <c r="Q468" t="s">
        <v>1569</v>
      </c>
      <c r="R468" t="s">
        <v>2727</v>
      </c>
      <c r="S468" t="s">
        <v>79</v>
      </c>
      <c r="T468" t="s">
        <v>1224</v>
      </c>
      <c r="U468" t="s">
        <v>394</v>
      </c>
      <c r="V468" t="s">
        <v>79</v>
      </c>
    </row>
    <row r="469" spans="1:22" x14ac:dyDescent="0.3">
      <c r="A469" t="s">
        <v>2728</v>
      </c>
      <c r="B469" t="s">
        <v>2729</v>
      </c>
      <c r="C469" t="s">
        <v>2730</v>
      </c>
      <c r="D469" t="s">
        <v>803</v>
      </c>
      <c r="E469" t="s">
        <v>161</v>
      </c>
      <c r="F469" t="s">
        <v>161</v>
      </c>
      <c r="G469" t="s">
        <v>580</v>
      </c>
      <c r="H469" t="s">
        <v>1967</v>
      </c>
      <c r="I469" t="s">
        <v>69</v>
      </c>
      <c r="J469" t="s">
        <v>30</v>
      </c>
      <c r="K469" t="s">
        <v>89</v>
      </c>
      <c r="L469" t="s">
        <v>333</v>
      </c>
      <c r="M469" t="s">
        <v>1716</v>
      </c>
      <c r="N469" t="s">
        <v>179</v>
      </c>
      <c r="O469" t="s">
        <v>1716</v>
      </c>
      <c r="P469" t="s">
        <v>1634</v>
      </c>
      <c r="Q469" t="s">
        <v>95</v>
      </c>
      <c r="R469" t="s">
        <v>2731</v>
      </c>
      <c r="S469" t="s">
        <v>39</v>
      </c>
      <c r="T469" t="s">
        <v>1116</v>
      </c>
      <c r="U469" t="s">
        <v>41</v>
      </c>
      <c r="V469" t="s">
        <v>82</v>
      </c>
    </row>
    <row r="470" spans="1:22" x14ac:dyDescent="0.3">
      <c r="A470" t="s">
        <v>2732</v>
      </c>
      <c r="B470" t="s">
        <v>2478</v>
      </c>
      <c r="C470" t="s">
        <v>2479</v>
      </c>
      <c r="D470" t="s">
        <v>1735</v>
      </c>
      <c r="E470" t="s">
        <v>176</v>
      </c>
      <c r="F470" t="s">
        <v>161</v>
      </c>
      <c r="G470" t="s">
        <v>27</v>
      </c>
      <c r="H470" t="s">
        <v>88</v>
      </c>
      <c r="I470" t="s">
        <v>29</v>
      </c>
      <c r="J470" t="s">
        <v>70</v>
      </c>
      <c r="K470" t="s">
        <v>293</v>
      </c>
      <c r="L470" t="s">
        <v>1022</v>
      </c>
      <c r="M470" t="s">
        <v>2733</v>
      </c>
      <c r="N470" t="s">
        <v>593</v>
      </c>
      <c r="O470" t="s">
        <v>2734</v>
      </c>
      <c r="P470" t="s">
        <v>2735</v>
      </c>
      <c r="Q470" t="s">
        <v>91</v>
      </c>
      <c r="R470" t="s">
        <v>2502</v>
      </c>
      <c r="S470" t="s">
        <v>58</v>
      </c>
      <c r="T470" t="s">
        <v>610</v>
      </c>
      <c r="U470" t="s">
        <v>394</v>
      </c>
      <c r="V470" t="s">
        <v>114</v>
      </c>
    </row>
    <row r="471" spans="1:22" x14ac:dyDescent="0.3">
      <c r="A471" t="s">
        <v>2736</v>
      </c>
      <c r="B471" t="s">
        <v>890</v>
      </c>
      <c r="C471" t="s">
        <v>891</v>
      </c>
      <c r="D471" t="s">
        <v>1247</v>
      </c>
      <c r="E471" t="s">
        <v>438</v>
      </c>
      <c r="F471" t="s">
        <v>188</v>
      </c>
      <c r="G471" t="s">
        <v>67</v>
      </c>
      <c r="H471" t="s">
        <v>28</v>
      </c>
      <c r="I471" t="s">
        <v>69</v>
      </c>
      <c r="J471" t="s">
        <v>30</v>
      </c>
      <c r="K471" t="s">
        <v>89</v>
      </c>
      <c r="L471" t="s">
        <v>2737</v>
      </c>
      <c r="M471" t="s">
        <v>2273</v>
      </c>
      <c r="N471" t="s">
        <v>1183</v>
      </c>
      <c r="O471" t="s">
        <v>2434</v>
      </c>
      <c r="P471" t="s">
        <v>1455</v>
      </c>
      <c r="Q471" t="s">
        <v>1569</v>
      </c>
      <c r="R471" t="s">
        <v>2738</v>
      </c>
      <c r="S471" t="s">
        <v>182</v>
      </c>
      <c r="T471" t="s">
        <v>208</v>
      </c>
      <c r="U471" t="s">
        <v>362</v>
      </c>
      <c r="V471" t="s">
        <v>82</v>
      </c>
    </row>
    <row r="472" spans="1:22" x14ac:dyDescent="0.3">
      <c r="A472" t="s">
        <v>2739</v>
      </c>
      <c r="B472" t="s">
        <v>1269</v>
      </c>
      <c r="C472" t="s">
        <v>1270</v>
      </c>
      <c r="D472" t="s">
        <v>1234</v>
      </c>
      <c r="E472" t="s">
        <v>267</v>
      </c>
      <c r="F472" t="s">
        <v>66</v>
      </c>
      <c r="G472" t="s">
        <v>580</v>
      </c>
      <c r="H472" t="s">
        <v>68</v>
      </c>
      <c r="I472" t="s">
        <v>69</v>
      </c>
      <c r="J472" t="s">
        <v>30</v>
      </c>
      <c r="K472" t="s">
        <v>31</v>
      </c>
      <c r="L472" t="s">
        <v>189</v>
      </c>
      <c r="M472" t="s">
        <v>2391</v>
      </c>
      <c r="N472" t="s">
        <v>167</v>
      </c>
      <c r="O472" t="s">
        <v>2340</v>
      </c>
      <c r="P472" t="s">
        <v>2740</v>
      </c>
      <c r="Q472" t="s">
        <v>1177</v>
      </c>
      <c r="R472" t="s">
        <v>2741</v>
      </c>
      <c r="S472" t="s">
        <v>126</v>
      </c>
      <c r="T472" t="s">
        <v>170</v>
      </c>
      <c r="U472" t="s">
        <v>362</v>
      </c>
      <c r="V472" t="s">
        <v>58</v>
      </c>
    </row>
    <row r="473" spans="1:22" x14ac:dyDescent="0.3">
      <c r="A473" t="s">
        <v>2742</v>
      </c>
      <c r="B473" t="s">
        <v>2743</v>
      </c>
      <c r="C473" t="s">
        <v>2744</v>
      </c>
      <c r="D473" t="s">
        <v>2399</v>
      </c>
      <c r="E473" t="s">
        <v>780</v>
      </c>
      <c r="F473" t="s">
        <v>282</v>
      </c>
      <c r="G473" t="s">
        <v>213</v>
      </c>
      <c r="H473" t="s">
        <v>104</v>
      </c>
      <c r="I473" t="s">
        <v>1073</v>
      </c>
      <c r="J473" t="s">
        <v>70</v>
      </c>
      <c r="K473" t="s">
        <v>215</v>
      </c>
      <c r="L473" t="s">
        <v>1022</v>
      </c>
      <c r="M473" t="s">
        <v>1982</v>
      </c>
      <c r="N473" t="s">
        <v>112</v>
      </c>
      <c r="O473" t="s">
        <v>1492</v>
      </c>
      <c r="P473" t="s">
        <v>1456</v>
      </c>
      <c r="Q473" t="s">
        <v>299</v>
      </c>
      <c r="R473" t="s">
        <v>2745</v>
      </c>
      <c r="S473" t="s">
        <v>97</v>
      </c>
      <c r="T473" t="s">
        <v>59</v>
      </c>
      <c r="U473" t="s">
        <v>98</v>
      </c>
      <c r="V473" t="s">
        <v>114</v>
      </c>
    </row>
    <row r="474" spans="1:22" x14ac:dyDescent="0.3">
      <c r="A474" t="s">
        <v>2746</v>
      </c>
      <c r="B474" t="s">
        <v>2547</v>
      </c>
      <c r="C474" t="s">
        <v>2548</v>
      </c>
      <c r="D474" t="s">
        <v>708</v>
      </c>
      <c r="E474" t="s">
        <v>378</v>
      </c>
      <c r="F474" t="s">
        <v>282</v>
      </c>
      <c r="G474" t="s">
        <v>48</v>
      </c>
      <c r="H474" t="s">
        <v>229</v>
      </c>
      <c r="I474" t="s">
        <v>69</v>
      </c>
      <c r="J474" t="s">
        <v>30</v>
      </c>
      <c r="K474" t="s">
        <v>71</v>
      </c>
      <c r="L474" t="s">
        <v>400</v>
      </c>
      <c r="M474" t="s">
        <v>2747</v>
      </c>
      <c r="N474" t="s">
        <v>179</v>
      </c>
      <c r="O474" t="s">
        <v>2747</v>
      </c>
      <c r="P474" t="s">
        <v>599</v>
      </c>
      <c r="Q474" t="s">
        <v>984</v>
      </c>
      <c r="R474" t="s">
        <v>1764</v>
      </c>
      <c r="S474" t="s">
        <v>182</v>
      </c>
      <c r="T474" t="s">
        <v>110</v>
      </c>
      <c r="U474" t="s">
        <v>362</v>
      </c>
      <c r="V474" t="s">
        <v>58</v>
      </c>
    </row>
    <row r="475" spans="1:22" x14ac:dyDescent="0.3">
      <c r="A475" t="s">
        <v>2748</v>
      </c>
      <c r="B475" t="s">
        <v>2470</v>
      </c>
      <c r="C475" t="s">
        <v>2471</v>
      </c>
      <c r="D475" t="s">
        <v>2749</v>
      </c>
      <c r="E475" t="s">
        <v>342</v>
      </c>
      <c r="F475" t="s">
        <v>244</v>
      </c>
      <c r="G475" t="s">
        <v>580</v>
      </c>
      <c r="H475" t="s">
        <v>28</v>
      </c>
      <c r="I475" t="s">
        <v>29</v>
      </c>
      <c r="J475" t="s">
        <v>70</v>
      </c>
      <c r="K475" t="s">
        <v>293</v>
      </c>
      <c r="L475" t="s">
        <v>812</v>
      </c>
      <c r="M475" t="s">
        <v>767</v>
      </c>
      <c r="N475" t="s">
        <v>179</v>
      </c>
      <c r="O475" t="s">
        <v>767</v>
      </c>
      <c r="P475" t="s">
        <v>110</v>
      </c>
      <c r="Q475" t="s">
        <v>459</v>
      </c>
      <c r="R475" t="s">
        <v>1382</v>
      </c>
      <c r="S475" t="s">
        <v>39</v>
      </c>
      <c r="T475" t="s">
        <v>59</v>
      </c>
      <c r="U475" t="s">
        <v>362</v>
      </c>
      <c r="V475" t="s">
        <v>42</v>
      </c>
    </row>
    <row r="476" spans="1:22" x14ac:dyDescent="0.3">
      <c r="A476" t="s">
        <v>2750</v>
      </c>
      <c r="B476" t="s">
        <v>2751</v>
      </c>
      <c r="C476" t="s">
        <v>2752</v>
      </c>
      <c r="D476" t="s">
        <v>2310</v>
      </c>
      <c r="E476" t="s">
        <v>267</v>
      </c>
      <c r="F476" t="s">
        <v>66</v>
      </c>
      <c r="G476" t="s">
        <v>48</v>
      </c>
      <c r="H476" t="s">
        <v>28</v>
      </c>
      <c r="I476" t="s">
        <v>29</v>
      </c>
      <c r="J476" t="s">
        <v>30</v>
      </c>
      <c r="K476" t="s">
        <v>89</v>
      </c>
      <c r="L476" t="s">
        <v>216</v>
      </c>
      <c r="M476" t="s">
        <v>2753</v>
      </c>
      <c r="N476" t="s">
        <v>179</v>
      </c>
      <c r="O476" t="s">
        <v>2753</v>
      </c>
      <c r="P476" t="s">
        <v>1085</v>
      </c>
      <c r="Q476" t="s">
        <v>774</v>
      </c>
      <c r="R476" t="s">
        <v>2754</v>
      </c>
      <c r="S476" t="s">
        <v>182</v>
      </c>
      <c r="T476" t="s">
        <v>448</v>
      </c>
      <c r="U476" t="s">
        <v>472</v>
      </c>
      <c r="V476" t="s">
        <v>58</v>
      </c>
    </row>
    <row r="477" spans="1:22" x14ac:dyDescent="0.3">
      <c r="A477" t="s">
        <v>2755</v>
      </c>
      <c r="B477" t="s">
        <v>2756</v>
      </c>
      <c r="C477" t="s">
        <v>2757</v>
      </c>
      <c r="D477" t="s">
        <v>2758</v>
      </c>
      <c r="E477" t="s">
        <v>66</v>
      </c>
      <c r="F477" t="s">
        <v>66</v>
      </c>
      <c r="G477" t="s">
        <v>580</v>
      </c>
      <c r="H477" t="s">
        <v>214</v>
      </c>
      <c r="I477" t="s">
        <v>69</v>
      </c>
      <c r="J477" t="s">
        <v>162</v>
      </c>
      <c r="K477" t="s">
        <v>293</v>
      </c>
      <c r="L477" t="s">
        <v>1156</v>
      </c>
      <c r="M477" t="s">
        <v>1004</v>
      </c>
      <c r="N477" t="s">
        <v>179</v>
      </c>
      <c r="O477" t="s">
        <v>1004</v>
      </c>
      <c r="P477" t="s">
        <v>1539</v>
      </c>
      <c r="Q477" t="s">
        <v>110</v>
      </c>
      <c r="R477" t="s">
        <v>1357</v>
      </c>
      <c r="S477" t="s">
        <v>39</v>
      </c>
      <c r="T477" t="s">
        <v>1099</v>
      </c>
      <c r="U477" t="s">
        <v>472</v>
      </c>
      <c r="V477" t="s">
        <v>114</v>
      </c>
    </row>
    <row r="478" spans="1:22" x14ac:dyDescent="0.3">
      <c r="A478" t="s">
        <v>2759</v>
      </c>
      <c r="B478" t="s">
        <v>2657</v>
      </c>
      <c r="C478" t="s">
        <v>2658</v>
      </c>
      <c r="D478" t="s">
        <v>1738</v>
      </c>
      <c r="E478" t="s">
        <v>66</v>
      </c>
      <c r="F478" t="s">
        <v>66</v>
      </c>
      <c r="G478" t="s">
        <v>213</v>
      </c>
      <c r="H478" t="s">
        <v>88</v>
      </c>
      <c r="I478" t="s">
        <v>29</v>
      </c>
      <c r="J478" t="s">
        <v>30</v>
      </c>
      <c r="K478" t="s">
        <v>50</v>
      </c>
      <c r="L478" t="s">
        <v>111</v>
      </c>
      <c r="M478" t="s">
        <v>872</v>
      </c>
      <c r="N478" t="s">
        <v>179</v>
      </c>
      <c r="O478" t="s">
        <v>872</v>
      </c>
      <c r="P478" t="s">
        <v>1273</v>
      </c>
      <c r="Q478" t="s">
        <v>908</v>
      </c>
      <c r="R478" t="s">
        <v>2760</v>
      </c>
      <c r="S478" t="s">
        <v>126</v>
      </c>
      <c r="T478" t="s">
        <v>112</v>
      </c>
      <c r="U478" t="s">
        <v>60</v>
      </c>
      <c r="V478" t="s">
        <v>114</v>
      </c>
    </row>
    <row r="479" spans="1:22" x14ac:dyDescent="0.3">
      <c r="A479" t="s">
        <v>2761</v>
      </c>
      <c r="B479" t="s">
        <v>1205</v>
      </c>
      <c r="C479" t="s">
        <v>1206</v>
      </c>
      <c r="D479" t="s">
        <v>2762</v>
      </c>
      <c r="E479" t="s">
        <v>243</v>
      </c>
      <c r="F479" t="s">
        <v>244</v>
      </c>
      <c r="G479" t="s">
        <v>48</v>
      </c>
      <c r="H479" t="s">
        <v>28</v>
      </c>
      <c r="I479" t="s">
        <v>29</v>
      </c>
      <c r="J479" t="s">
        <v>70</v>
      </c>
      <c r="K479" t="s">
        <v>230</v>
      </c>
      <c r="L479" t="s">
        <v>1562</v>
      </c>
      <c r="M479" t="s">
        <v>2763</v>
      </c>
      <c r="N479" t="s">
        <v>179</v>
      </c>
      <c r="O479" t="s">
        <v>2763</v>
      </c>
      <c r="P479" t="s">
        <v>2764</v>
      </c>
      <c r="Q479" t="s">
        <v>636</v>
      </c>
      <c r="R479" t="s">
        <v>1736</v>
      </c>
      <c r="S479" t="s">
        <v>182</v>
      </c>
      <c r="T479" t="s">
        <v>2765</v>
      </c>
      <c r="U479" t="s">
        <v>362</v>
      </c>
      <c r="V479" t="s">
        <v>114</v>
      </c>
    </row>
    <row r="480" spans="1:22" x14ac:dyDescent="0.3">
      <c r="A480" t="s">
        <v>2766</v>
      </c>
      <c r="B480" t="s">
        <v>2767</v>
      </c>
      <c r="C480" t="s">
        <v>2768</v>
      </c>
      <c r="D480" t="s">
        <v>2769</v>
      </c>
      <c r="E480" t="s">
        <v>243</v>
      </c>
      <c r="F480" t="s">
        <v>244</v>
      </c>
      <c r="G480" t="s">
        <v>118</v>
      </c>
      <c r="H480" t="s">
        <v>229</v>
      </c>
      <c r="I480" t="s">
        <v>69</v>
      </c>
      <c r="J480" t="s">
        <v>162</v>
      </c>
      <c r="K480" t="s">
        <v>89</v>
      </c>
      <c r="L480" t="s">
        <v>90</v>
      </c>
      <c r="M480" t="s">
        <v>1864</v>
      </c>
      <c r="N480" t="s">
        <v>321</v>
      </c>
      <c r="O480" t="s">
        <v>1090</v>
      </c>
      <c r="P480" t="s">
        <v>544</v>
      </c>
      <c r="Q480" t="s">
        <v>567</v>
      </c>
      <c r="R480" t="s">
        <v>2770</v>
      </c>
      <c r="S480" t="s">
        <v>126</v>
      </c>
      <c r="T480" t="s">
        <v>59</v>
      </c>
      <c r="U480" t="s">
        <v>277</v>
      </c>
      <c r="V480" t="s">
        <v>114</v>
      </c>
    </row>
    <row r="481" spans="1:22" x14ac:dyDescent="0.3">
      <c r="A481" t="s">
        <v>2771</v>
      </c>
      <c r="B481" t="s">
        <v>1101</v>
      </c>
      <c r="C481" t="s">
        <v>1102</v>
      </c>
      <c r="D481" t="s">
        <v>2772</v>
      </c>
      <c r="E481" t="s">
        <v>354</v>
      </c>
      <c r="F481" t="s">
        <v>134</v>
      </c>
      <c r="G481" t="s">
        <v>27</v>
      </c>
      <c r="H481" t="s">
        <v>1692</v>
      </c>
      <c r="I481" t="s">
        <v>69</v>
      </c>
      <c r="J481" t="s">
        <v>30</v>
      </c>
      <c r="K481" t="s">
        <v>293</v>
      </c>
      <c r="L481" t="s">
        <v>189</v>
      </c>
      <c r="M481" t="s">
        <v>665</v>
      </c>
      <c r="N481" t="s">
        <v>150</v>
      </c>
      <c r="O481" t="s">
        <v>849</v>
      </c>
      <c r="P481" t="s">
        <v>921</v>
      </c>
      <c r="Q481" t="s">
        <v>1509</v>
      </c>
      <c r="R481" t="s">
        <v>2773</v>
      </c>
      <c r="S481" t="s">
        <v>182</v>
      </c>
      <c r="T481" t="s">
        <v>440</v>
      </c>
      <c r="U481" t="s">
        <v>277</v>
      </c>
      <c r="V481" t="s">
        <v>82</v>
      </c>
    </row>
    <row r="482" spans="1:22" x14ac:dyDescent="0.3">
      <c r="A482" t="s">
        <v>2774</v>
      </c>
      <c r="B482" t="s">
        <v>2775</v>
      </c>
      <c r="C482" t="s">
        <v>2776</v>
      </c>
      <c r="D482" t="s">
        <v>2777</v>
      </c>
      <c r="E482" t="s">
        <v>438</v>
      </c>
      <c r="F482" t="s">
        <v>188</v>
      </c>
      <c r="G482" t="s">
        <v>580</v>
      </c>
      <c r="H482" t="s">
        <v>28</v>
      </c>
      <c r="I482" t="s">
        <v>29</v>
      </c>
      <c r="J482" t="s">
        <v>162</v>
      </c>
      <c r="K482" t="s">
        <v>230</v>
      </c>
      <c r="L482" t="s">
        <v>32</v>
      </c>
      <c r="M482" t="s">
        <v>2716</v>
      </c>
      <c r="N482" t="s">
        <v>448</v>
      </c>
      <c r="O482" t="s">
        <v>816</v>
      </c>
      <c r="P482" t="s">
        <v>347</v>
      </c>
      <c r="Q482" t="s">
        <v>1230</v>
      </c>
      <c r="R482" t="s">
        <v>2778</v>
      </c>
      <c r="S482" t="s">
        <v>182</v>
      </c>
      <c r="T482" t="s">
        <v>461</v>
      </c>
      <c r="U482" t="s">
        <v>394</v>
      </c>
      <c r="V482" t="s">
        <v>79</v>
      </c>
    </row>
    <row r="483" spans="1:22" x14ac:dyDescent="0.3">
      <c r="A483" t="s">
        <v>2779</v>
      </c>
      <c r="B483" t="s">
        <v>2317</v>
      </c>
      <c r="C483" t="s">
        <v>2318</v>
      </c>
      <c r="D483" t="s">
        <v>1580</v>
      </c>
      <c r="E483" t="s">
        <v>134</v>
      </c>
      <c r="F483" t="s">
        <v>134</v>
      </c>
      <c r="G483" t="s">
        <v>580</v>
      </c>
      <c r="H483" t="s">
        <v>104</v>
      </c>
      <c r="I483" t="s">
        <v>69</v>
      </c>
      <c r="J483" t="s">
        <v>70</v>
      </c>
      <c r="K483" t="s">
        <v>245</v>
      </c>
      <c r="L483" t="s">
        <v>32</v>
      </c>
      <c r="M483" t="s">
        <v>1063</v>
      </c>
      <c r="N483" t="s">
        <v>179</v>
      </c>
      <c r="O483" t="s">
        <v>1063</v>
      </c>
      <c r="P483" t="s">
        <v>645</v>
      </c>
      <c r="Q483" t="s">
        <v>1116</v>
      </c>
      <c r="R483" t="s">
        <v>2780</v>
      </c>
      <c r="S483" t="s">
        <v>126</v>
      </c>
      <c r="T483" t="s">
        <v>621</v>
      </c>
      <c r="V483" t="s">
        <v>42</v>
      </c>
    </row>
    <row r="484" spans="1:22" x14ac:dyDescent="0.3">
      <c r="A484" t="s">
        <v>2781</v>
      </c>
      <c r="B484" t="s">
        <v>2782</v>
      </c>
      <c r="C484" t="s">
        <v>2783</v>
      </c>
      <c r="D484" t="s">
        <v>292</v>
      </c>
      <c r="E484" t="s">
        <v>161</v>
      </c>
      <c r="F484" t="s">
        <v>161</v>
      </c>
      <c r="G484" t="s">
        <v>118</v>
      </c>
      <c r="H484" t="s">
        <v>88</v>
      </c>
      <c r="I484" t="s">
        <v>69</v>
      </c>
      <c r="J484" t="s">
        <v>70</v>
      </c>
      <c r="K484" t="s">
        <v>31</v>
      </c>
      <c r="L484" t="s">
        <v>719</v>
      </c>
      <c r="M484" t="s">
        <v>2784</v>
      </c>
      <c r="N484" t="s">
        <v>655</v>
      </c>
      <c r="O484" t="s">
        <v>2785</v>
      </c>
      <c r="P484" t="s">
        <v>1169</v>
      </c>
      <c r="Q484" t="s">
        <v>491</v>
      </c>
      <c r="R484" t="s">
        <v>2786</v>
      </c>
      <c r="S484" t="s">
        <v>97</v>
      </c>
      <c r="T484" t="s">
        <v>1509</v>
      </c>
      <c r="U484" t="s">
        <v>277</v>
      </c>
      <c r="V484" t="s">
        <v>82</v>
      </c>
    </row>
    <row r="485" spans="1:22" x14ac:dyDescent="0.3">
      <c r="A485" t="s">
        <v>2787</v>
      </c>
      <c r="B485" t="s">
        <v>1186</v>
      </c>
      <c r="C485" t="s">
        <v>1187</v>
      </c>
      <c r="D485" t="s">
        <v>2788</v>
      </c>
      <c r="E485" t="s">
        <v>417</v>
      </c>
      <c r="F485" t="s">
        <v>134</v>
      </c>
      <c r="G485" t="s">
        <v>27</v>
      </c>
      <c r="H485" t="s">
        <v>68</v>
      </c>
      <c r="I485" t="s">
        <v>29</v>
      </c>
      <c r="J485" t="s">
        <v>70</v>
      </c>
      <c r="K485" t="s">
        <v>200</v>
      </c>
      <c r="L485" t="s">
        <v>2171</v>
      </c>
      <c r="M485" t="s">
        <v>1715</v>
      </c>
      <c r="N485" t="s">
        <v>406</v>
      </c>
      <c r="O485" t="s">
        <v>491</v>
      </c>
      <c r="P485" t="s">
        <v>458</v>
      </c>
      <c r="Q485" t="s">
        <v>168</v>
      </c>
      <c r="R485" t="s">
        <v>2789</v>
      </c>
      <c r="S485" t="s">
        <v>58</v>
      </c>
      <c r="T485" t="s">
        <v>40</v>
      </c>
      <c r="U485" t="s">
        <v>472</v>
      </c>
      <c r="V485" t="s">
        <v>82</v>
      </c>
    </row>
    <row r="486" spans="1:22" x14ac:dyDescent="0.3">
      <c r="A486" t="s">
        <v>2790</v>
      </c>
      <c r="B486" t="s">
        <v>44</v>
      </c>
      <c r="C486" t="s">
        <v>45</v>
      </c>
      <c r="D486" t="s">
        <v>2791</v>
      </c>
      <c r="E486" t="s">
        <v>893</v>
      </c>
      <c r="F486" t="s">
        <v>188</v>
      </c>
      <c r="G486" t="s">
        <v>580</v>
      </c>
      <c r="H486" t="s">
        <v>49</v>
      </c>
      <c r="I486" t="s">
        <v>29</v>
      </c>
      <c r="J486" t="s">
        <v>30</v>
      </c>
      <c r="K486" t="s">
        <v>230</v>
      </c>
      <c r="L486" t="s">
        <v>663</v>
      </c>
      <c r="M486" t="s">
        <v>2792</v>
      </c>
      <c r="N486" t="s">
        <v>55</v>
      </c>
      <c r="O486" t="s">
        <v>2793</v>
      </c>
      <c r="P486" t="s">
        <v>1614</v>
      </c>
      <c r="Q486" t="s">
        <v>1569</v>
      </c>
      <c r="R486" t="s">
        <v>2794</v>
      </c>
      <c r="S486" t="s">
        <v>79</v>
      </c>
      <c r="T486" t="s">
        <v>392</v>
      </c>
      <c r="U486" t="s">
        <v>288</v>
      </c>
      <c r="V486" t="s">
        <v>114</v>
      </c>
    </row>
    <row r="487" spans="1:22" x14ac:dyDescent="0.3">
      <c r="A487" t="s">
        <v>2795</v>
      </c>
      <c r="B487" t="s">
        <v>2293</v>
      </c>
      <c r="C487" t="s">
        <v>2294</v>
      </c>
      <c r="D487" t="s">
        <v>2796</v>
      </c>
      <c r="E487" t="s">
        <v>267</v>
      </c>
      <c r="F487" t="s">
        <v>66</v>
      </c>
      <c r="G487" t="s">
        <v>118</v>
      </c>
      <c r="H487" t="s">
        <v>68</v>
      </c>
      <c r="I487" t="s">
        <v>29</v>
      </c>
      <c r="J487" t="s">
        <v>70</v>
      </c>
      <c r="K487" t="s">
        <v>31</v>
      </c>
      <c r="L487" t="s">
        <v>1139</v>
      </c>
      <c r="M487" t="s">
        <v>635</v>
      </c>
      <c r="N487" t="s">
        <v>179</v>
      </c>
      <c r="O487" t="s">
        <v>635</v>
      </c>
      <c r="P487" t="s">
        <v>1745</v>
      </c>
      <c r="Q487" t="s">
        <v>1000</v>
      </c>
      <c r="R487" t="s">
        <v>2797</v>
      </c>
      <c r="S487" t="s">
        <v>39</v>
      </c>
      <c r="T487" t="s">
        <v>170</v>
      </c>
      <c r="U487" t="s">
        <v>2798</v>
      </c>
      <c r="V487" t="s">
        <v>42</v>
      </c>
    </row>
    <row r="488" spans="1:22" x14ac:dyDescent="0.3">
      <c r="A488" t="s">
        <v>2799</v>
      </c>
      <c r="B488" t="s">
        <v>2426</v>
      </c>
      <c r="C488" t="s">
        <v>2427</v>
      </c>
      <c r="D488" t="s">
        <v>2489</v>
      </c>
      <c r="E488" t="s">
        <v>26</v>
      </c>
      <c r="F488" t="s">
        <v>26</v>
      </c>
      <c r="G488" t="s">
        <v>580</v>
      </c>
      <c r="H488" t="s">
        <v>229</v>
      </c>
      <c r="I488" t="s">
        <v>69</v>
      </c>
      <c r="J488" t="s">
        <v>30</v>
      </c>
      <c r="K488" t="s">
        <v>245</v>
      </c>
      <c r="L488" t="s">
        <v>682</v>
      </c>
      <c r="M488" t="s">
        <v>2800</v>
      </c>
      <c r="N488" t="s">
        <v>191</v>
      </c>
      <c r="O488" t="s">
        <v>1642</v>
      </c>
      <c r="P488" t="s">
        <v>1116</v>
      </c>
      <c r="Q488" t="s">
        <v>604</v>
      </c>
      <c r="R488" t="s">
        <v>2801</v>
      </c>
      <c r="S488" t="s">
        <v>182</v>
      </c>
      <c r="T488" t="s">
        <v>59</v>
      </c>
      <c r="U488" t="s">
        <v>407</v>
      </c>
      <c r="V488" t="s">
        <v>82</v>
      </c>
    </row>
    <row r="489" spans="1:22" x14ac:dyDescent="0.3">
      <c r="A489" t="s">
        <v>2802</v>
      </c>
      <c r="B489" t="s">
        <v>2803</v>
      </c>
      <c r="C489" t="s">
        <v>2804</v>
      </c>
      <c r="D489" t="s">
        <v>25</v>
      </c>
      <c r="E489" t="s">
        <v>378</v>
      </c>
      <c r="F489" t="s">
        <v>282</v>
      </c>
      <c r="G489" t="s">
        <v>67</v>
      </c>
      <c r="H489" t="s">
        <v>28</v>
      </c>
      <c r="I489" t="s">
        <v>69</v>
      </c>
      <c r="J489" t="s">
        <v>30</v>
      </c>
      <c r="K489" t="s">
        <v>245</v>
      </c>
      <c r="L489" t="s">
        <v>246</v>
      </c>
      <c r="M489" t="s">
        <v>2805</v>
      </c>
      <c r="N489" t="s">
        <v>1491</v>
      </c>
      <c r="O489" t="s">
        <v>591</v>
      </c>
      <c r="P489" t="s">
        <v>381</v>
      </c>
      <c r="Q489" t="s">
        <v>2086</v>
      </c>
      <c r="R489" t="s">
        <v>2806</v>
      </c>
      <c r="S489" t="s">
        <v>79</v>
      </c>
      <c r="T489" t="s">
        <v>165</v>
      </c>
      <c r="U489" t="s">
        <v>98</v>
      </c>
      <c r="V489" t="s">
        <v>58</v>
      </c>
    </row>
    <row r="490" spans="1:22" x14ac:dyDescent="0.3">
      <c r="A490" t="s">
        <v>2807</v>
      </c>
      <c r="B490" t="s">
        <v>2808</v>
      </c>
      <c r="C490" t="s">
        <v>2809</v>
      </c>
      <c r="D490" t="s">
        <v>2810</v>
      </c>
      <c r="E490" t="s">
        <v>228</v>
      </c>
      <c r="F490" t="s">
        <v>228</v>
      </c>
      <c r="G490" t="s">
        <v>118</v>
      </c>
      <c r="H490" t="s">
        <v>28</v>
      </c>
      <c r="I490" t="s">
        <v>29</v>
      </c>
      <c r="J490" t="s">
        <v>30</v>
      </c>
      <c r="K490" t="s">
        <v>200</v>
      </c>
      <c r="L490" t="s">
        <v>1295</v>
      </c>
      <c r="M490" t="s">
        <v>1413</v>
      </c>
      <c r="N490" t="s">
        <v>80</v>
      </c>
      <c r="O490" t="s">
        <v>1725</v>
      </c>
      <c r="P490" t="s">
        <v>1539</v>
      </c>
      <c r="Q490" t="s">
        <v>170</v>
      </c>
      <c r="R490" t="s">
        <v>2811</v>
      </c>
      <c r="S490" t="s">
        <v>97</v>
      </c>
      <c r="T490" t="s">
        <v>74</v>
      </c>
      <c r="U490" t="s">
        <v>362</v>
      </c>
      <c r="V490" t="s">
        <v>114</v>
      </c>
    </row>
    <row r="491" spans="1:22" x14ac:dyDescent="0.3">
      <c r="A491" t="s">
        <v>2812</v>
      </c>
      <c r="B491" t="s">
        <v>1226</v>
      </c>
      <c r="C491" t="s">
        <v>1227</v>
      </c>
      <c r="D491" t="s">
        <v>2106</v>
      </c>
      <c r="E491" t="s">
        <v>378</v>
      </c>
      <c r="F491" t="s">
        <v>282</v>
      </c>
      <c r="G491" t="s">
        <v>147</v>
      </c>
      <c r="H491" t="s">
        <v>88</v>
      </c>
      <c r="I491" t="s">
        <v>29</v>
      </c>
      <c r="J491" t="s">
        <v>30</v>
      </c>
      <c r="K491" t="s">
        <v>50</v>
      </c>
      <c r="L491" t="s">
        <v>428</v>
      </c>
      <c r="M491" t="s">
        <v>2813</v>
      </c>
      <c r="N491" t="s">
        <v>164</v>
      </c>
      <c r="O491" t="s">
        <v>2814</v>
      </c>
      <c r="P491" t="s">
        <v>122</v>
      </c>
      <c r="Q491" t="s">
        <v>2107</v>
      </c>
      <c r="R491" t="s">
        <v>2815</v>
      </c>
      <c r="S491" t="s">
        <v>97</v>
      </c>
      <c r="T491" t="s">
        <v>208</v>
      </c>
      <c r="U491" t="s">
        <v>113</v>
      </c>
      <c r="V491" t="s">
        <v>114</v>
      </c>
    </row>
    <row r="492" spans="1:22" x14ac:dyDescent="0.3">
      <c r="A492" t="s">
        <v>2816</v>
      </c>
      <c r="B492" t="s">
        <v>2817</v>
      </c>
      <c r="C492" t="s">
        <v>2818</v>
      </c>
      <c r="D492" t="s">
        <v>2249</v>
      </c>
      <c r="E492" t="s">
        <v>161</v>
      </c>
      <c r="F492" t="s">
        <v>161</v>
      </c>
      <c r="G492" t="s">
        <v>213</v>
      </c>
      <c r="H492" t="s">
        <v>268</v>
      </c>
      <c r="I492" t="s">
        <v>69</v>
      </c>
      <c r="J492" t="s">
        <v>30</v>
      </c>
      <c r="K492" t="s">
        <v>215</v>
      </c>
      <c r="L492" t="s">
        <v>32</v>
      </c>
      <c r="M492" t="s">
        <v>2541</v>
      </c>
      <c r="N492" t="s">
        <v>1043</v>
      </c>
      <c r="O492" t="s">
        <v>741</v>
      </c>
      <c r="P492" t="s">
        <v>1522</v>
      </c>
      <c r="Q492" t="s">
        <v>2819</v>
      </c>
      <c r="R492" t="s">
        <v>2820</v>
      </c>
      <c r="S492" t="s">
        <v>79</v>
      </c>
      <c r="T492" t="s">
        <v>782</v>
      </c>
      <c r="U492" t="s">
        <v>171</v>
      </c>
      <c r="V492" t="s">
        <v>82</v>
      </c>
    </row>
    <row r="493" spans="1:22" x14ac:dyDescent="0.3">
      <c r="A493" t="s">
        <v>2821</v>
      </c>
      <c r="B493" t="s">
        <v>2822</v>
      </c>
      <c r="C493" t="s">
        <v>2823</v>
      </c>
      <c r="D493" t="s">
        <v>1936</v>
      </c>
      <c r="E493" t="s">
        <v>780</v>
      </c>
      <c r="F493" t="s">
        <v>282</v>
      </c>
      <c r="G493" t="s">
        <v>103</v>
      </c>
      <c r="H493" t="s">
        <v>28</v>
      </c>
      <c r="I493" t="s">
        <v>69</v>
      </c>
      <c r="J493" t="s">
        <v>30</v>
      </c>
      <c r="K493" t="s">
        <v>215</v>
      </c>
      <c r="L493" t="s">
        <v>362</v>
      </c>
      <c r="M493" t="s">
        <v>2340</v>
      </c>
      <c r="N493" t="s">
        <v>543</v>
      </c>
      <c r="O493" t="s">
        <v>712</v>
      </c>
      <c r="P493" t="s">
        <v>2824</v>
      </c>
      <c r="Q493" t="s">
        <v>2037</v>
      </c>
      <c r="R493" t="s">
        <v>2825</v>
      </c>
      <c r="S493" t="s">
        <v>97</v>
      </c>
      <c r="T493" t="s">
        <v>74</v>
      </c>
      <c r="U493" t="s">
        <v>41</v>
      </c>
      <c r="V493" t="s">
        <v>82</v>
      </c>
    </row>
    <row r="494" spans="1:22" x14ac:dyDescent="0.3">
      <c r="A494" t="s">
        <v>2826</v>
      </c>
      <c r="B494" t="s">
        <v>351</v>
      </c>
      <c r="C494" t="s">
        <v>352</v>
      </c>
      <c r="D494" t="s">
        <v>2827</v>
      </c>
      <c r="E494" t="s">
        <v>893</v>
      </c>
      <c r="F494" t="s">
        <v>188</v>
      </c>
      <c r="G494" t="s">
        <v>103</v>
      </c>
      <c r="H494" t="s">
        <v>104</v>
      </c>
      <c r="I494" t="s">
        <v>69</v>
      </c>
      <c r="J494" t="s">
        <v>30</v>
      </c>
      <c r="K494" t="s">
        <v>245</v>
      </c>
      <c r="L494" t="s">
        <v>1156</v>
      </c>
      <c r="M494" t="s">
        <v>1563</v>
      </c>
      <c r="N494" t="s">
        <v>183</v>
      </c>
      <c r="O494" t="s">
        <v>1996</v>
      </c>
      <c r="P494" t="s">
        <v>1705</v>
      </c>
      <c r="Q494" t="s">
        <v>573</v>
      </c>
      <c r="R494" t="s">
        <v>2828</v>
      </c>
      <c r="S494" t="s">
        <v>97</v>
      </c>
      <c r="T494" t="s">
        <v>1116</v>
      </c>
      <c r="U494" t="s">
        <v>60</v>
      </c>
      <c r="V494" t="s">
        <v>82</v>
      </c>
    </row>
    <row r="495" spans="1:22" x14ac:dyDescent="0.3">
      <c r="A495" t="s">
        <v>2829</v>
      </c>
      <c r="B495" t="s">
        <v>1180</v>
      </c>
      <c r="C495" t="s">
        <v>1181</v>
      </c>
      <c r="D495" t="s">
        <v>2830</v>
      </c>
      <c r="E495" t="s">
        <v>133</v>
      </c>
      <c r="F495" t="s">
        <v>134</v>
      </c>
      <c r="G495" t="s">
        <v>580</v>
      </c>
      <c r="H495" t="s">
        <v>88</v>
      </c>
      <c r="I495" t="s">
        <v>69</v>
      </c>
      <c r="J495" t="s">
        <v>30</v>
      </c>
      <c r="K495" t="s">
        <v>200</v>
      </c>
      <c r="L495" t="s">
        <v>1987</v>
      </c>
      <c r="M495" t="s">
        <v>1909</v>
      </c>
      <c r="N495" t="s">
        <v>567</v>
      </c>
      <c r="O495" t="s">
        <v>371</v>
      </c>
      <c r="P495" t="s">
        <v>886</v>
      </c>
      <c r="Q495" t="s">
        <v>92</v>
      </c>
      <c r="R495" t="s">
        <v>2831</v>
      </c>
      <c r="S495" t="s">
        <v>79</v>
      </c>
      <c r="T495" t="s">
        <v>461</v>
      </c>
      <c r="U495" t="s">
        <v>288</v>
      </c>
      <c r="V495" t="s">
        <v>79</v>
      </c>
    </row>
    <row r="496" spans="1:22" x14ac:dyDescent="0.3">
      <c r="A496" t="s">
        <v>2832</v>
      </c>
      <c r="B496" t="s">
        <v>1662</v>
      </c>
      <c r="C496" t="s">
        <v>1663</v>
      </c>
      <c r="D496" t="s">
        <v>920</v>
      </c>
      <c r="E496" t="s">
        <v>780</v>
      </c>
      <c r="F496" t="s">
        <v>282</v>
      </c>
      <c r="G496" t="s">
        <v>580</v>
      </c>
      <c r="H496" t="s">
        <v>268</v>
      </c>
      <c r="I496" t="s">
        <v>29</v>
      </c>
      <c r="J496" t="s">
        <v>30</v>
      </c>
      <c r="K496" t="s">
        <v>50</v>
      </c>
      <c r="L496" t="s">
        <v>598</v>
      </c>
      <c r="M496" t="s">
        <v>52</v>
      </c>
      <c r="N496" t="s">
        <v>499</v>
      </c>
      <c r="O496" t="s">
        <v>180</v>
      </c>
      <c r="P496" t="s">
        <v>95</v>
      </c>
      <c r="Q496" t="s">
        <v>92</v>
      </c>
      <c r="R496" t="s">
        <v>2833</v>
      </c>
      <c r="S496" t="s">
        <v>126</v>
      </c>
      <c r="T496" t="s">
        <v>695</v>
      </c>
      <c r="U496" t="s">
        <v>171</v>
      </c>
      <c r="V496" t="s">
        <v>58</v>
      </c>
    </row>
    <row r="497" spans="1:22" x14ac:dyDescent="0.3">
      <c r="A497" t="s">
        <v>2834</v>
      </c>
      <c r="B497" t="s">
        <v>1468</v>
      </c>
      <c r="C497" t="s">
        <v>1469</v>
      </c>
      <c r="D497" t="s">
        <v>1375</v>
      </c>
      <c r="E497" t="s">
        <v>243</v>
      </c>
      <c r="F497" t="s">
        <v>244</v>
      </c>
      <c r="G497" t="s">
        <v>580</v>
      </c>
      <c r="H497" t="s">
        <v>104</v>
      </c>
      <c r="I497" t="s">
        <v>69</v>
      </c>
      <c r="J497" t="s">
        <v>30</v>
      </c>
      <c r="K497" t="s">
        <v>71</v>
      </c>
      <c r="L497" t="s">
        <v>749</v>
      </c>
      <c r="M497" t="s">
        <v>618</v>
      </c>
      <c r="N497" t="s">
        <v>80</v>
      </c>
      <c r="O497" t="s">
        <v>526</v>
      </c>
      <c r="P497" t="s">
        <v>404</v>
      </c>
      <c r="Q497" t="s">
        <v>1028</v>
      </c>
      <c r="R497" t="s">
        <v>2835</v>
      </c>
      <c r="S497" t="s">
        <v>58</v>
      </c>
      <c r="T497" t="s">
        <v>448</v>
      </c>
      <c r="U497" t="s">
        <v>394</v>
      </c>
      <c r="V497" t="s">
        <v>82</v>
      </c>
    </row>
    <row r="498" spans="1:22" x14ac:dyDescent="0.3">
      <c r="A498" t="s">
        <v>2836</v>
      </c>
      <c r="B498" t="s">
        <v>2837</v>
      </c>
      <c r="C498" t="s">
        <v>2838</v>
      </c>
      <c r="D498" t="s">
        <v>1784</v>
      </c>
      <c r="E498" t="s">
        <v>65</v>
      </c>
      <c r="F498" t="s">
        <v>66</v>
      </c>
      <c r="G498" t="s">
        <v>118</v>
      </c>
      <c r="H498" t="s">
        <v>88</v>
      </c>
      <c r="I498" t="s">
        <v>69</v>
      </c>
      <c r="J498" t="s">
        <v>30</v>
      </c>
      <c r="K498" t="s">
        <v>50</v>
      </c>
      <c r="L498" t="s">
        <v>428</v>
      </c>
      <c r="M498" t="s">
        <v>976</v>
      </c>
      <c r="N498" t="s">
        <v>724</v>
      </c>
      <c r="O498" t="s">
        <v>1790</v>
      </c>
      <c r="P498" t="s">
        <v>767</v>
      </c>
      <c r="Q498" t="s">
        <v>208</v>
      </c>
      <c r="R498" t="s">
        <v>2839</v>
      </c>
      <c r="S498" t="s">
        <v>58</v>
      </c>
      <c r="T498" t="s">
        <v>440</v>
      </c>
      <c r="U498" t="s">
        <v>155</v>
      </c>
      <c r="V498" t="s">
        <v>42</v>
      </c>
    </row>
    <row r="499" spans="1:22" x14ac:dyDescent="0.3">
      <c r="A499" t="s">
        <v>2840</v>
      </c>
      <c r="B499" t="s">
        <v>510</v>
      </c>
      <c r="C499" t="s">
        <v>511</v>
      </c>
      <c r="D499" t="s">
        <v>2841</v>
      </c>
      <c r="E499" t="s">
        <v>893</v>
      </c>
      <c r="F499" t="s">
        <v>188</v>
      </c>
      <c r="G499" t="s">
        <v>67</v>
      </c>
      <c r="H499" t="s">
        <v>229</v>
      </c>
      <c r="I499" t="s">
        <v>69</v>
      </c>
      <c r="J499" t="s">
        <v>30</v>
      </c>
      <c r="K499" t="s">
        <v>31</v>
      </c>
      <c r="L499" t="s">
        <v>1049</v>
      </c>
      <c r="M499" t="s">
        <v>848</v>
      </c>
      <c r="N499" t="s">
        <v>179</v>
      </c>
      <c r="O499" t="s">
        <v>848</v>
      </c>
      <c r="P499" t="s">
        <v>75</v>
      </c>
      <c r="Q499" t="s">
        <v>1725</v>
      </c>
      <c r="R499" t="s">
        <v>2842</v>
      </c>
      <c r="S499" t="s">
        <v>126</v>
      </c>
      <c r="T499" t="s">
        <v>610</v>
      </c>
      <c r="U499" t="s">
        <v>373</v>
      </c>
      <c r="V499" t="s">
        <v>58</v>
      </c>
    </row>
    <row r="500" spans="1:22" x14ac:dyDescent="0.3">
      <c r="A500" t="s">
        <v>2843</v>
      </c>
      <c r="B500" t="s">
        <v>1306</v>
      </c>
      <c r="C500" t="s">
        <v>1307</v>
      </c>
      <c r="D500" t="s">
        <v>2844</v>
      </c>
      <c r="E500" t="s">
        <v>780</v>
      </c>
      <c r="F500" t="s">
        <v>282</v>
      </c>
      <c r="G500" t="s">
        <v>580</v>
      </c>
      <c r="H500" t="s">
        <v>68</v>
      </c>
      <c r="I500" t="s">
        <v>69</v>
      </c>
      <c r="J500" t="s">
        <v>30</v>
      </c>
      <c r="K500" t="s">
        <v>89</v>
      </c>
      <c r="L500" t="s">
        <v>1503</v>
      </c>
      <c r="M500" t="s">
        <v>1651</v>
      </c>
      <c r="N500" t="s">
        <v>179</v>
      </c>
      <c r="O500" t="s">
        <v>1651</v>
      </c>
      <c r="P500" t="s">
        <v>458</v>
      </c>
      <c r="Q500" t="s">
        <v>318</v>
      </c>
      <c r="R500" t="s">
        <v>719</v>
      </c>
      <c r="S500" t="s">
        <v>79</v>
      </c>
      <c r="T500" t="s">
        <v>80</v>
      </c>
      <c r="U500" t="s">
        <v>394</v>
      </c>
      <c r="V500" t="s">
        <v>82</v>
      </c>
    </row>
    <row r="501" spans="1:22" x14ac:dyDescent="0.3">
      <c r="A501" t="s">
        <v>2845</v>
      </c>
      <c r="B501" t="s">
        <v>2846</v>
      </c>
      <c r="C501" t="s">
        <v>2847</v>
      </c>
      <c r="D501" t="s">
        <v>2848</v>
      </c>
      <c r="E501" t="s">
        <v>176</v>
      </c>
      <c r="F501" t="s">
        <v>161</v>
      </c>
      <c r="G501" t="s">
        <v>27</v>
      </c>
      <c r="H501" t="s">
        <v>68</v>
      </c>
      <c r="I501" t="s">
        <v>69</v>
      </c>
      <c r="J501" t="s">
        <v>162</v>
      </c>
      <c r="K501" t="s">
        <v>200</v>
      </c>
      <c r="L501" t="s">
        <v>362</v>
      </c>
      <c r="M501" t="s">
        <v>1705</v>
      </c>
      <c r="N501" t="s">
        <v>179</v>
      </c>
      <c r="O501" t="s">
        <v>1705</v>
      </c>
      <c r="P501" t="s">
        <v>1872</v>
      </c>
      <c r="Q501" t="s">
        <v>724</v>
      </c>
      <c r="R501" t="s">
        <v>2849</v>
      </c>
      <c r="S501" t="s">
        <v>126</v>
      </c>
      <c r="T501" t="s">
        <v>150</v>
      </c>
      <c r="U501" t="s">
        <v>373</v>
      </c>
      <c r="V501" t="s">
        <v>114</v>
      </c>
    </row>
    <row r="502" spans="1:22" x14ac:dyDescent="0.3">
      <c r="A502" t="s">
        <v>2850</v>
      </c>
      <c r="B502" t="s">
        <v>2851</v>
      </c>
      <c r="C502" t="s">
        <v>2852</v>
      </c>
      <c r="D502" t="s">
        <v>2853</v>
      </c>
      <c r="E502" t="s">
        <v>399</v>
      </c>
      <c r="F502" t="s">
        <v>188</v>
      </c>
      <c r="G502" t="s">
        <v>67</v>
      </c>
      <c r="H502" t="s">
        <v>214</v>
      </c>
      <c r="I502" t="s">
        <v>29</v>
      </c>
      <c r="J502" t="s">
        <v>70</v>
      </c>
      <c r="K502" t="s">
        <v>230</v>
      </c>
      <c r="L502" t="s">
        <v>258</v>
      </c>
      <c r="M502" t="s">
        <v>284</v>
      </c>
      <c r="N502" t="s">
        <v>179</v>
      </c>
      <c r="O502" t="s">
        <v>284</v>
      </c>
      <c r="P502" t="s">
        <v>357</v>
      </c>
      <c r="Q502" t="s">
        <v>139</v>
      </c>
      <c r="R502" t="s">
        <v>2854</v>
      </c>
      <c r="S502" t="s">
        <v>126</v>
      </c>
      <c r="T502" t="s">
        <v>648</v>
      </c>
      <c r="U502" t="s">
        <v>423</v>
      </c>
      <c r="V502" t="s">
        <v>58</v>
      </c>
    </row>
    <row r="503" spans="1:22" x14ac:dyDescent="0.3">
      <c r="A503" t="s">
        <v>2855</v>
      </c>
      <c r="B503" t="s">
        <v>2856</v>
      </c>
      <c r="C503" t="s">
        <v>2857</v>
      </c>
      <c r="D503" t="s">
        <v>2858</v>
      </c>
      <c r="E503" t="s">
        <v>282</v>
      </c>
      <c r="F503" t="s">
        <v>282</v>
      </c>
      <c r="G503" t="s">
        <v>103</v>
      </c>
      <c r="H503" t="s">
        <v>268</v>
      </c>
      <c r="I503" t="s">
        <v>69</v>
      </c>
      <c r="J503" t="s">
        <v>162</v>
      </c>
      <c r="K503" t="s">
        <v>71</v>
      </c>
      <c r="L503" t="s">
        <v>428</v>
      </c>
      <c r="M503" t="s">
        <v>656</v>
      </c>
      <c r="O503" t="s">
        <v>656</v>
      </c>
      <c r="P503" t="s">
        <v>627</v>
      </c>
      <c r="Q503" t="s">
        <v>2319</v>
      </c>
      <c r="R503" t="s">
        <v>2859</v>
      </c>
      <c r="S503" t="s">
        <v>97</v>
      </c>
      <c r="T503" t="s">
        <v>299</v>
      </c>
      <c r="U503" t="s">
        <v>349</v>
      </c>
      <c r="V503" t="s">
        <v>42</v>
      </c>
    </row>
    <row r="504" spans="1:22" x14ac:dyDescent="0.3">
      <c r="A504" t="s">
        <v>2860</v>
      </c>
      <c r="B504" t="s">
        <v>2277</v>
      </c>
      <c r="C504" t="s">
        <v>2278</v>
      </c>
      <c r="D504" t="s">
        <v>1234</v>
      </c>
      <c r="E504" t="s">
        <v>354</v>
      </c>
      <c r="F504" t="s">
        <v>134</v>
      </c>
      <c r="G504" t="s">
        <v>147</v>
      </c>
      <c r="I504" t="s">
        <v>29</v>
      </c>
      <c r="J504" t="s">
        <v>30</v>
      </c>
      <c r="K504" t="s">
        <v>89</v>
      </c>
      <c r="L504" t="s">
        <v>177</v>
      </c>
      <c r="M504" t="s">
        <v>2861</v>
      </c>
      <c r="N504" t="s">
        <v>1569</v>
      </c>
      <c r="O504" t="s">
        <v>346</v>
      </c>
      <c r="P504" t="s">
        <v>1968</v>
      </c>
      <c r="Q504" t="s">
        <v>2279</v>
      </c>
      <c r="R504" t="s">
        <v>2862</v>
      </c>
      <c r="S504" t="s">
        <v>58</v>
      </c>
      <c r="T504" t="s">
        <v>553</v>
      </c>
      <c r="U504" t="s">
        <v>128</v>
      </c>
      <c r="V504" t="s">
        <v>58</v>
      </c>
    </row>
    <row r="505" spans="1:22" x14ac:dyDescent="0.3">
      <c r="A505" t="s">
        <v>2863</v>
      </c>
      <c r="B505" t="s">
        <v>2621</v>
      </c>
      <c r="C505" t="s">
        <v>2622</v>
      </c>
      <c r="D505" t="s">
        <v>2864</v>
      </c>
      <c r="E505" t="s">
        <v>730</v>
      </c>
      <c r="F505" t="s">
        <v>26</v>
      </c>
      <c r="G505" t="s">
        <v>67</v>
      </c>
      <c r="H505" t="s">
        <v>49</v>
      </c>
      <c r="I505" t="s">
        <v>29</v>
      </c>
      <c r="J505" t="s">
        <v>30</v>
      </c>
      <c r="K505" t="s">
        <v>71</v>
      </c>
      <c r="L505" t="s">
        <v>269</v>
      </c>
      <c r="M505" t="s">
        <v>2865</v>
      </c>
      <c r="N505" t="s">
        <v>179</v>
      </c>
      <c r="O505" t="s">
        <v>2865</v>
      </c>
      <c r="P505" t="s">
        <v>2866</v>
      </c>
      <c r="Q505" t="s">
        <v>1079</v>
      </c>
      <c r="R505" t="s">
        <v>2867</v>
      </c>
      <c r="S505" t="s">
        <v>79</v>
      </c>
      <c r="T505" t="s">
        <v>637</v>
      </c>
      <c r="U505" t="s">
        <v>171</v>
      </c>
      <c r="V505" t="s">
        <v>82</v>
      </c>
    </row>
    <row r="506" spans="1:22" x14ac:dyDescent="0.3">
      <c r="A506" t="s">
        <v>2868</v>
      </c>
      <c r="B506" t="s">
        <v>1754</v>
      </c>
      <c r="C506" t="s">
        <v>1755</v>
      </c>
      <c r="D506" t="s">
        <v>964</v>
      </c>
      <c r="E506" t="s">
        <v>282</v>
      </c>
      <c r="F506" t="s">
        <v>282</v>
      </c>
      <c r="G506" t="s">
        <v>147</v>
      </c>
      <c r="H506" t="s">
        <v>88</v>
      </c>
      <c r="I506" t="s">
        <v>69</v>
      </c>
      <c r="J506" t="s">
        <v>30</v>
      </c>
      <c r="K506" t="s">
        <v>71</v>
      </c>
      <c r="L506" t="s">
        <v>902</v>
      </c>
      <c r="M506" t="s">
        <v>296</v>
      </c>
      <c r="N506" t="s">
        <v>613</v>
      </c>
      <c r="O506" t="s">
        <v>1760</v>
      </c>
      <c r="P506" t="s">
        <v>949</v>
      </c>
      <c r="Q506" t="s">
        <v>1509</v>
      </c>
      <c r="R506" t="s">
        <v>2869</v>
      </c>
      <c r="S506" t="s">
        <v>97</v>
      </c>
      <c r="T506" t="s">
        <v>648</v>
      </c>
      <c r="U506" t="s">
        <v>60</v>
      </c>
      <c r="V506" t="s">
        <v>82</v>
      </c>
    </row>
    <row r="507" spans="1:22" x14ac:dyDescent="0.3">
      <c r="A507" t="s">
        <v>2870</v>
      </c>
      <c r="B507" t="s">
        <v>2871</v>
      </c>
      <c r="C507" t="s">
        <v>2872</v>
      </c>
      <c r="D507" t="s">
        <v>2873</v>
      </c>
      <c r="E507" t="s">
        <v>399</v>
      </c>
      <c r="F507" t="s">
        <v>188</v>
      </c>
      <c r="H507" t="s">
        <v>68</v>
      </c>
      <c r="I507" t="s">
        <v>69</v>
      </c>
      <c r="J507" t="s">
        <v>162</v>
      </c>
      <c r="K507" t="s">
        <v>50</v>
      </c>
      <c r="L507" t="s">
        <v>362</v>
      </c>
      <c r="M507" t="s">
        <v>2237</v>
      </c>
      <c r="N507" t="s">
        <v>179</v>
      </c>
      <c r="O507" t="s">
        <v>2237</v>
      </c>
      <c r="P507" t="s">
        <v>1273</v>
      </c>
      <c r="Q507" t="s">
        <v>1434</v>
      </c>
      <c r="R507" t="s">
        <v>2874</v>
      </c>
      <c r="S507" t="s">
        <v>182</v>
      </c>
      <c r="T507" t="s">
        <v>55</v>
      </c>
      <c r="U507" t="s">
        <v>98</v>
      </c>
      <c r="V507" t="s">
        <v>58</v>
      </c>
    </row>
    <row r="508" spans="1:22" x14ac:dyDescent="0.3">
      <c r="A508" t="s">
        <v>2875</v>
      </c>
      <c r="B508" t="s">
        <v>2846</v>
      </c>
      <c r="C508" t="s">
        <v>2847</v>
      </c>
      <c r="D508" t="s">
        <v>2876</v>
      </c>
      <c r="E508" t="s">
        <v>378</v>
      </c>
      <c r="F508" t="s">
        <v>282</v>
      </c>
      <c r="G508" t="s">
        <v>67</v>
      </c>
      <c r="H508" t="s">
        <v>229</v>
      </c>
      <c r="I508" t="s">
        <v>69</v>
      </c>
      <c r="J508" t="s">
        <v>30</v>
      </c>
      <c r="K508" t="s">
        <v>200</v>
      </c>
      <c r="L508" t="s">
        <v>428</v>
      </c>
      <c r="M508" t="s">
        <v>2877</v>
      </c>
      <c r="N508" t="s">
        <v>724</v>
      </c>
      <c r="O508" t="s">
        <v>295</v>
      </c>
      <c r="P508" t="s">
        <v>1688</v>
      </c>
      <c r="Q508" t="s">
        <v>1383</v>
      </c>
      <c r="R508" t="s">
        <v>2878</v>
      </c>
      <c r="S508" t="s">
        <v>58</v>
      </c>
      <c r="T508" t="s">
        <v>742</v>
      </c>
      <c r="U508" t="s">
        <v>288</v>
      </c>
      <c r="V508" t="s">
        <v>58</v>
      </c>
    </row>
    <row r="509" spans="1:22" x14ac:dyDescent="0.3">
      <c r="A509" t="s">
        <v>2879</v>
      </c>
      <c r="B509" t="s">
        <v>577</v>
      </c>
      <c r="C509" t="s">
        <v>578</v>
      </c>
      <c r="D509" t="s">
        <v>2475</v>
      </c>
      <c r="E509" t="s">
        <v>354</v>
      </c>
      <c r="F509" t="s">
        <v>134</v>
      </c>
      <c r="G509" t="s">
        <v>67</v>
      </c>
      <c r="H509" t="s">
        <v>68</v>
      </c>
      <c r="I509" t="s">
        <v>69</v>
      </c>
      <c r="J509" t="s">
        <v>30</v>
      </c>
      <c r="K509" t="s">
        <v>245</v>
      </c>
      <c r="L509" t="s">
        <v>682</v>
      </c>
      <c r="M509" t="s">
        <v>2880</v>
      </c>
      <c r="N509" t="s">
        <v>1116</v>
      </c>
      <c r="O509" t="s">
        <v>2881</v>
      </c>
      <c r="P509" t="s">
        <v>2882</v>
      </c>
      <c r="Q509" t="s">
        <v>140</v>
      </c>
      <c r="R509" t="s">
        <v>2883</v>
      </c>
      <c r="S509" t="s">
        <v>126</v>
      </c>
      <c r="T509" t="s">
        <v>2125</v>
      </c>
      <c r="U509" t="s">
        <v>1891</v>
      </c>
      <c r="V509" t="s">
        <v>42</v>
      </c>
    </row>
    <row r="510" spans="1:22" x14ac:dyDescent="0.3">
      <c r="A510" t="s">
        <v>2884</v>
      </c>
      <c r="B510" t="s">
        <v>2885</v>
      </c>
      <c r="C510" t="s">
        <v>2886</v>
      </c>
      <c r="D510" t="s">
        <v>2887</v>
      </c>
      <c r="E510" t="s">
        <v>244</v>
      </c>
      <c r="F510" t="s">
        <v>244</v>
      </c>
      <c r="G510" t="s">
        <v>580</v>
      </c>
      <c r="H510" t="s">
        <v>214</v>
      </c>
      <c r="I510" t="s">
        <v>69</v>
      </c>
      <c r="J510" t="s">
        <v>30</v>
      </c>
      <c r="K510" t="s">
        <v>215</v>
      </c>
      <c r="L510" t="s">
        <v>362</v>
      </c>
      <c r="M510" t="s">
        <v>1113</v>
      </c>
      <c r="N510" t="s">
        <v>2542</v>
      </c>
      <c r="O510" t="s">
        <v>1490</v>
      </c>
      <c r="P510" t="s">
        <v>317</v>
      </c>
      <c r="Q510" t="s">
        <v>138</v>
      </c>
      <c r="R510" t="s">
        <v>2888</v>
      </c>
      <c r="S510" t="s">
        <v>126</v>
      </c>
      <c r="T510" t="s">
        <v>107</v>
      </c>
      <c r="U510" t="s">
        <v>362</v>
      </c>
      <c r="V510" t="s">
        <v>42</v>
      </c>
    </row>
    <row r="511" spans="1:22" x14ac:dyDescent="0.3">
      <c r="A511" t="s">
        <v>2889</v>
      </c>
      <c r="B511" t="s">
        <v>2890</v>
      </c>
      <c r="C511" t="s">
        <v>2891</v>
      </c>
      <c r="D511" t="s">
        <v>2892</v>
      </c>
      <c r="E511" t="s">
        <v>160</v>
      </c>
      <c r="F511" t="s">
        <v>161</v>
      </c>
      <c r="G511" t="s">
        <v>118</v>
      </c>
      <c r="H511" t="s">
        <v>49</v>
      </c>
      <c r="I511" t="s">
        <v>69</v>
      </c>
      <c r="J511" t="s">
        <v>70</v>
      </c>
      <c r="K511" t="s">
        <v>31</v>
      </c>
      <c r="L511" t="s">
        <v>135</v>
      </c>
      <c r="M511" t="s">
        <v>235</v>
      </c>
      <c r="N511" t="s">
        <v>59</v>
      </c>
      <c r="O511" t="s">
        <v>949</v>
      </c>
      <c r="P511" t="s">
        <v>433</v>
      </c>
      <c r="Q511" t="s">
        <v>1141</v>
      </c>
      <c r="R511" t="s">
        <v>2893</v>
      </c>
      <c r="S511" t="s">
        <v>58</v>
      </c>
      <c r="T511" t="s">
        <v>308</v>
      </c>
      <c r="U511" t="s">
        <v>349</v>
      </c>
      <c r="V511" t="s">
        <v>58</v>
      </c>
    </row>
    <row r="512" spans="1:22" x14ac:dyDescent="0.3">
      <c r="A512" t="s">
        <v>2894</v>
      </c>
      <c r="B512" t="s">
        <v>1251</v>
      </c>
      <c r="C512" t="s">
        <v>1252</v>
      </c>
      <c r="D512" t="s">
        <v>2366</v>
      </c>
      <c r="E512" t="s">
        <v>160</v>
      </c>
      <c r="F512" t="s">
        <v>161</v>
      </c>
      <c r="G512" t="s">
        <v>48</v>
      </c>
      <c r="H512" t="s">
        <v>28</v>
      </c>
      <c r="I512" t="s">
        <v>69</v>
      </c>
      <c r="J512" t="s">
        <v>70</v>
      </c>
      <c r="K512" t="s">
        <v>71</v>
      </c>
      <c r="L512" t="s">
        <v>902</v>
      </c>
      <c r="M512" t="s">
        <v>2176</v>
      </c>
      <c r="N512" t="s">
        <v>179</v>
      </c>
      <c r="O512" t="s">
        <v>2176</v>
      </c>
      <c r="P512" t="s">
        <v>2378</v>
      </c>
      <c r="Q512" t="s">
        <v>602</v>
      </c>
      <c r="R512" t="s">
        <v>2895</v>
      </c>
      <c r="S512" t="s">
        <v>79</v>
      </c>
      <c r="T512" t="s">
        <v>1013</v>
      </c>
      <c r="U512" t="s">
        <v>867</v>
      </c>
      <c r="V512" t="s">
        <v>82</v>
      </c>
    </row>
    <row r="513" spans="1:22" x14ac:dyDescent="0.3">
      <c r="A513" t="s">
        <v>2896</v>
      </c>
      <c r="B513" t="s">
        <v>2057</v>
      </c>
      <c r="C513" t="s">
        <v>2058</v>
      </c>
      <c r="D513" t="s">
        <v>1893</v>
      </c>
      <c r="E513" t="s">
        <v>87</v>
      </c>
      <c r="F513" t="s">
        <v>26</v>
      </c>
      <c r="G513" t="s">
        <v>67</v>
      </c>
      <c r="H513" t="s">
        <v>268</v>
      </c>
      <c r="I513" t="s">
        <v>69</v>
      </c>
      <c r="J513" t="s">
        <v>30</v>
      </c>
      <c r="K513" t="s">
        <v>31</v>
      </c>
      <c r="L513" t="s">
        <v>201</v>
      </c>
      <c r="M513" t="s">
        <v>1485</v>
      </c>
      <c r="N513" t="s">
        <v>179</v>
      </c>
      <c r="O513" t="s">
        <v>1485</v>
      </c>
      <c r="P513" t="s">
        <v>2449</v>
      </c>
      <c r="Q513" t="s">
        <v>336</v>
      </c>
      <c r="R513" t="s">
        <v>2897</v>
      </c>
      <c r="S513" t="s">
        <v>58</v>
      </c>
      <c r="T513" t="s">
        <v>261</v>
      </c>
      <c r="U513" t="s">
        <v>171</v>
      </c>
      <c r="V513" t="s">
        <v>114</v>
      </c>
    </row>
    <row r="514" spans="1:22" x14ac:dyDescent="0.3">
      <c r="A514" t="s">
        <v>2898</v>
      </c>
      <c r="B514" t="s">
        <v>763</v>
      </c>
      <c r="C514" t="s">
        <v>764</v>
      </c>
      <c r="D514" t="s">
        <v>2887</v>
      </c>
      <c r="E514" t="s">
        <v>730</v>
      </c>
      <c r="F514" t="s">
        <v>26</v>
      </c>
      <c r="G514" t="s">
        <v>580</v>
      </c>
      <c r="H514" t="s">
        <v>268</v>
      </c>
      <c r="I514" t="s">
        <v>29</v>
      </c>
      <c r="J514" t="s">
        <v>30</v>
      </c>
      <c r="K514" t="s">
        <v>230</v>
      </c>
      <c r="L514" t="s">
        <v>362</v>
      </c>
      <c r="M514" t="s">
        <v>1715</v>
      </c>
      <c r="N514" t="s">
        <v>529</v>
      </c>
      <c r="O514" t="s">
        <v>1716</v>
      </c>
      <c r="P514" t="s">
        <v>220</v>
      </c>
      <c r="Q514" t="s">
        <v>1112</v>
      </c>
      <c r="R514" t="s">
        <v>2521</v>
      </c>
      <c r="S514" t="s">
        <v>97</v>
      </c>
      <c r="T514" t="s">
        <v>165</v>
      </c>
      <c r="U514" t="s">
        <v>238</v>
      </c>
      <c r="V514" t="s">
        <v>58</v>
      </c>
    </row>
    <row r="515" spans="1:22" x14ac:dyDescent="0.3">
      <c r="A515" t="s">
        <v>2899</v>
      </c>
      <c r="B515" t="s">
        <v>2900</v>
      </c>
      <c r="C515" t="s">
        <v>2901</v>
      </c>
      <c r="D515" t="s">
        <v>1901</v>
      </c>
      <c r="E515" t="s">
        <v>378</v>
      </c>
      <c r="F515" t="s">
        <v>282</v>
      </c>
      <c r="G515" t="s">
        <v>147</v>
      </c>
      <c r="H515" t="s">
        <v>68</v>
      </c>
      <c r="I515" t="s">
        <v>29</v>
      </c>
      <c r="J515" t="s">
        <v>30</v>
      </c>
      <c r="K515" t="s">
        <v>293</v>
      </c>
      <c r="L515" t="s">
        <v>2637</v>
      </c>
      <c r="M515" t="s">
        <v>1760</v>
      </c>
      <c r="N515" t="s">
        <v>1230</v>
      </c>
      <c r="O515" t="s">
        <v>665</v>
      </c>
      <c r="P515" t="s">
        <v>2902</v>
      </c>
      <c r="Q515" t="s">
        <v>2037</v>
      </c>
      <c r="R515" t="s">
        <v>2903</v>
      </c>
      <c r="S515" t="s">
        <v>39</v>
      </c>
      <c r="T515" t="s">
        <v>770</v>
      </c>
      <c r="U515" t="s">
        <v>394</v>
      </c>
      <c r="V515" t="s">
        <v>82</v>
      </c>
    </row>
    <row r="516" spans="1:22" x14ac:dyDescent="0.3">
      <c r="A516" t="s">
        <v>2904</v>
      </c>
      <c r="B516" t="s">
        <v>2905</v>
      </c>
      <c r="C516" t="s">
        <v>2906</v>
      </c>
      <c r="D516" t="s">
        <v>1345</v>
      </c>
      <c r="E516" t="s">
        <v>66</v>
      </c>
      <c r="F516" t="s">
        <v>66</v>
      </c>
      <c r="G516" t="s">
        <v>147</v>
      </c>
      <c r="H516" t="s">
        <v>214</v>
      </c>
      <c r="I516" t="s">
        <v>29</v>
      </c>
      <c r="J516" t="s">
        <v>30</v>
      </c>
      <c r="K516" t="s">
        <v>293</v>
      </c>
      <c r="L516" t="s">
        <v>1139</v>
      </c>
      <c r="M516" t="s">
        <v>1406</v>
      </c>
      <c r="N516" t="s">
        <v>648</v>
      </c>
      <c r="O516" t="s">
        <v>94</v>
      </c>
      <c r="P516" t="s">
        <v>805</v>
      </c>
      <c r="Q516" t="s">
        <v>299</v>
      </c>
      <c r="R516" t="s">
        <v>2907</v>
      </c>
      <c r="S516" t="s">
        <v>79</v>
      </c>
      <c r="T516" t="s">
        <v>121</v>
      </c>
      <c r="U516" t="s">
        <v>171</v>
      </c>
      <c r="V516" t="s">
        <v>82</v>
      </c>
    </row>
    <row r="517" spans="1:22" x14ac:dyDescent="0.3">
      <c r="A517" t="s">
        <v>2908</v>
      </c>
      <c r="B517" t="s">
        <v>716</v>
      </c>
      <c r="C517" t="s">
        <v>717</v>
      </c>
      <c r="D517" t="s">
        <v>2525</v>
      </c>
      <c r="E517" t="s">
        <v>176</v>
      </c>
      <c r="F517" t="s">
        <v>161</v>
      </c>
      <c r="G517" t="s">
        <v>118</v>
      </c>
      <c r="H517" t="s">
        <v>104</v>
      </c>
      <c r="I517" t="s">
        <v>29</v>
      </c>
      <c r="J517" t="s">
        <v>30</v>
      </c>
      <c r="K517" t="s">
        <v>215</v>
      </c>
      <c r="L517" t="s">
        <v>534</v>
      </c>
      <c r="M517" t="s">
        <v>2824</v>
      </c>
      <c r="N517" t="s">
        <v>80</v>
      </c>
      <c r="O517" t="s">
        <v>404</v>
      </c>
      <c r="P517" t="s">
        <v>439</v>
      </c>
      <c r="Q517" t="s">
        <v>168</v>
      </c>
      <c r="R517" t="s">
        <v>2909</v>
      </c>
      <c r="S517" t="s">
        <v>79</v>
      </c>
      <c r="T517" t="s">
        <v>1230</v>
      </c>
      <c r="U517" t="s">
        <v>394</v>
      </c>
      <c r="V517" t="s">
        <v>42</v>
      </c>
    </row>
    <row r="518" spans="1:22" x14ac:dyDescent="0.3">
      <c r="A518" t="s">
        <v>2910</v>
      </c>
      <c r="B518" t="s">
        <v>1257</v>
      </c>
      <c r="C518" t="s">
        <v>1258</v>
      </c>
      <c r="D518" t="s">
        <v>2082</v>
      </c>
      <c r="E518" t="s">
        <v>66</v>
      </c>
      <c r="F518" t="s">
        <v>66</v>
      </c>
      <c r="G518" t="s">
        <v>103</v>
      </c>
      <c r="H518" t="s">
        <v>268</v>
      </c>
      <c r="I518" t="s">
        <v>69</v>
      </c>
      <c r="J518" t="s">
        <v>30</v>
      </c>
      <c r="K518" t="s">
        <v>89</v>
      </c>
      <c r="L518" t="s">
        <v>231</v>
      </c>
      <c r="M518" t="s">
        <v>977</v>
      </c>
      <c r="N518" t="s">
        <v>770</v>
      </c>
      <c r="O518" t="s">
        <v>206</v>
      </c>
      <c r="P518" t="s">
        <v>326</v>
      </c>
      <c r="Q518" t="s">
        <v>168</v>
      </c>
      <c r="R518" t="s">
        <v>2911</v>
      </c>
      <c r="S518" t="s">
        <v>58</v>
      </c>
      <c r="T518" t="s">
        <v>59</v>
      </c>
      <c r="U518" t="s">
        <v>423</v>
      </c>
      <c r="V518" t="s">
        <v>42</v>
      </c>
    </row>
    <row r="519" spans="1:22" x14ac:dyDescent="0.3">
      <c r="A519" t="s">
        <v>2912</v>
      </c>
      <c r="B519" t="s">
        <v>210</v>
      </c>
      <c r="C519" t="s">
        <v>211</v>
      </c>
      <c r="D519" t="s">
        <v>831</v>
      </c>
      <c r="E519" t="s">
        <v>730</v>
      </c>
      <c r="F519" t="s">
        <v>26</v>
      </c>
      <c r="G519" t="s">
        <v>103</v>
      </c>
      <c r="H519" t="s">
        <v>88</v>
      </c>
      <c r="I519" t="s">
        <v>69</v>
      </c>
      <c r="J519" t="s">
        <v>70</v>
      </c>
      <c r="K519" t="s">
        <v>200</v>
      </c>
      <c r="L519" t="s">
        <v>51</v>
      </c>
      <c r="M519" t="s">
        <v>784</v>
      </c>
      <c r="N519" t="s">
        <v>179</v>
      </c>
      <c r="O519" t="s">
        <v>784</v>
      </c>
      <c r="P519" t="s">
        <v>208</v>
      </c>
      <c r="Q519" t="s">
        <v>908</v>
      </c>
      <c r="R519" t="s">
        <v>2913</v>
      </c>
      <c r="S519" t="s">
        <v>79</v>
      </c>
      <c r="T519" t="s">
        <v>1099</v>
      </c>
      <c r="U519" t="s">
        <v>373</v>
      </c>
      <c r="V519" t="s">
        <v>79</v>
      </c>
    </row>
    <row r="520" spans="1:22" x14ac:dyDescent="0.3">
      <c r="A520" t="s">
        <v>2914</v>
      </c>
      <c r="B520" t="s">
        <v>2915</v>
      </c>
      <c r="C520" t="s">
        <v>2916</v>
      </c>
      <c r="D520" t="s">
        <v>2917</v>
      </c>
      <c r="E520" t="s">
        <v>87</v>
      </c>
      <c r="F520" t="s">
        <v>26</v>
      </c>
      <c r="G520" t="s">
        <v>118</v>
      </c>
      <c r="H520" t="s">
        <v>68</v>
      </c>
      <c r="I520" t="s">
        <v>69</v>
      </c>
      <c r="J520" t="s">
        <v>30</v>
      </c>
      <c r="K520" t="s">
        <v>31</v>
      </c>
      <c r="L520" t="s">
        <v>362</v>
      </c>
      <c r="M520" t="s">
        <v>52</v>
      </c>
      <c r="N520" t="s">
        <v>179</v>
      </c>
      <c r="O520" t="s">
        <v>52</v>
      </c>
      <c r="P520" t="s">
        <v>1694</v>
      </c>
      <c r="Q520" t="s">
        <v>461</v>
      </c>
      <c r="R520" t="s">
        <v>2918</v>
      </c>
      <c r="S520" t="s">
        <v>97</v>
      </c>
      <c r="T520" t="s">
        <v>1099</v>
      </c>
      <c r="U520" t="s">
        <v>128</v>
      </c>
      <c r="V520" t="s">
        <v>42</v>
      </c>
    </row>
    <row r="521" spans="1:22" x14ac:dyDescent="0.3">
      <c r="A521" t="s">
        <v>2919</v>
      </c>
      <c r="B521" t="s">
        <v>2743</v>
      </c>
      <c r="C521" t="s">
        <v>2744</v>
      </c>
      <c r="D521" t="s">
        <v>2920</v>
      </c>
      <c r="E521" t="s">
        <v>26</v>
      </c>
      <c r="F521" t="s">
        <v>26</v>
      </c>
      <c r="G521" t="s">
        <v>103</v>
      </c>
      <c r="H521" t="s">
        <v>104</v>
      </c>
      <c r="I521" t="s">
        <v>29</v>
      </c>
      <c r="J521" t="s">
        <v>30</v>
      </c>
      <c r="K521" t="s">
        <v>230</v>
      </c>
      <c r="L521" t="s">
        <v>534</v>
      </c>
      <c r="M521" t="s">
        <v>2921</v>
      </c>
      <c r="N521" t="s">
        <v>252</v>
      </c>
      <c r="O521" t="s">
        <v>1558</v>
      </c>
      <c r="P521" t="s">
        <v>665</v>
      </c>
      <c r="Q521" t="s">
        <v>2528</v>
      </c>
      <c r="R521" t="s">
        <v>2922</v>
      </c>
      <c r="S521" t="s">
        <v>79</v>
      </c>
      <c r="T521" t="s">
        <v>203</v>
      </c>
      <c r="U521" t="s">
        <v>867</v>
      </c>
      <c r="V521" t="s">
        <v>79</v>
      </c>
    </row>
    <row r="522" spans="1:22" x14ac:dyDescent="0.3">
      <c r="A522" t="s">
        <v>2923</v>
      </c>
      <c r="B522" t="s">
        <v>971</v>
      </c>
      <c r="C522" t="s">
        <v>972</v>
      </c>
      <c r="D522" t="s">
        <v>2858</v>
      </c>
      <c r="E522" t="s">
        <v>399</v>
      </c>
      <c r="F522" t="s">
        <v>188</v>
      </c>
      <c r="G522" t="s">
        <v>103</v>
      </c>
      <c r="H522" t="s">
        <v>88</v>
      </c>
      <c r="I522" t="s">
        <v>29</v>
      </c>
      <c r="J522" t="s">
        <v>30</v>
      </c>
      <c r="K522" t="s">
        <v>230</v>
      </c>
      <c r="L522" t="s">
        <v>927</v>
      </c>
      <c r="M522" t="s">
        <v>636</v>
      </c>
      <c r="N522" t="s">
        <v>392</v>
      </c>
      <c r="O522" t="s">
        <v>1635</v>
      </c>
      <c r="P522" t="s">
        <v>1403</v>
      </c>
      <c r="Q522" t="s">
        <v>137</v>
      </c>
      <c r="R522" t="s">
        <v>2924</v>
      </c>
      <c r="S522" t="s">
        <v>39</v>
      </c>
      <c r="T522" t="s">
        <v>621</v>
      </c>
      <c r="V522" t="s">
        <v>58</v>
      </c>
    </row>
    <row r="523" spans="1:22" x14ac:dyDescent="0.3">
      <c r="A523" t="s">
        <v>2925</v>
      </c>
      <c r="B523" t="s">
        <v>845</v>
      </c>
      <c r="C523" t="s">
        <v>846</v>
      </c>
      <c r="D523" t="s">
        <v>522</v>
      </c>
      <c r="E523" t="s">
        <v>282</v>
      </c>
      <c r="F523" t="s">
        <v>282</v>
      </c>
      <c r="G523" t="s">
        <v>103</v>
      </c>
      <c r="H523" t="s">
        <v>68</v>
      </c>
      <c r="I523" t="s">
        <v>69</v>
      </c>
      <c r="J523" t="s">
        <v>1514</v>
      </c>
      <c r="K523" t="s">
        <v>71</v>
      </c>
      <c r="L523" t="s">
        <v>1295</v>
      </c>
      <c r="M523" t="s">
        <v>2926</v>
      </c>
      <c r="N523" t="s">
        <v>179</v>
      </c>
      <c r="O523" t="s">
        <v>2926</v>
      </c>
      <c r="P523" t="s">
        <v>783</v>
      </c>
      <c r="Q523" t="s">
        <v>206</v>
      </c>
      <c r="R523" t="s">
        <v>2797</v>
      </c>
      <c r="S523" t="s">
        <v>58</v>
      </c>
      <c r="T523" t="s">
        <v>724</v>
      </c>
      <c r="U523" t="s">
        <v>373</v>
      </c>
      <c r="V523" t="s">
        <v>42</v>
      </c>
    </row>
    <row r="524" spans="1:22" x14ac:dyDescent="0.3">
      <c r="A524" t="s">
        <v>2927</v>
      </c>
      <c r="B524" t="s">
        <v>2928</v>
      </c>
      <c r="C524" t="s">
        <v>2929</v>
      </c>
      <c r="D524" t="s">
        <v>1893</v>
      </c>
      <c r="E524" t="s">
        <v>893</v>
      </c>
      <c r="F524" t="s">
        <v>188</v>
      </c>
      <c r="G524" t="s">
        <v>27</v>
      </c>
      <c r="H524" t="s">
        <v>68</v>
      </c>
      <c r="I524" t="s">
        <v>69</v>
      </c>
      <c r="J524" t="s">
        <v>30</v>
      </c>
      <c r="K524" t="s">
        <v>293</v>
      </c>
      <c r="L524" t="s">
        <v>163</v>
      </c>
      <c r="M524" t="s">
        <v>881</v>
      </c>
      <c r="N524" t="s">
        <v>1230</v>
      </c>
      <c r="O524" t="s">
        <v>1694</v>
      </c>
      <c r="P524" t="s">
        <v>203</v>
      </c>
      <c r="Q524" t="s">
        <v>37</v>
      </c>
      <c r="R524" t="s">
        <v>2930</v>
      </c>
      <c r="S524" t="s">
        <v>58</v>
      </c>
      <c r="T524" t="s">
        <v>59</v>
      </c>
      <c r="U524" t="s">
        <v>300</v>
      </c>
      <c r="V524" t="s">
        <v>114</v>
      </c>
    </row>
    <row r="525" spans="1:22" x14ac:dyDescent="0.3">
      <c r="A525" t="s">
        <v>2931</v>
      </c>
      <c r="B525" t="s">
        <v>1617</v>
      </c>
      <c r="C525" t="s">
        <v>1618</v>
      </c>
      <c r="D525" t="s">
        <v>2076</v>
      </c>
      <c r="E525" t="s">
        <v>399</v>
      </c>
      <c r="F525" t="s">
        <v>188</v>
      </c>
      <c r="G525" t="s">
        <v>103</v>
      </c>
      <c r="H525" t="s">
        <v>88</v>
      </c>
      <c r="I525" t="s">
        <v>69</v>
      </c>
      <c r="J525" t="s">
        <v>70</v>
      </c>
      <c r="K525" t="s">
        <v>215</v>
      </c>
      <c r="L525" t="s">
        <v>32</v>
      </c>
      <c r="M525" t="s">
        <v>1283</v>
      </c>
      <c r="N525" t="s">
        <v>677</v>
      </c>
      <c r="O525" t="s">
        <v>2932</v>
      </c>
      <c r="P525" t="s">
        <v>136</v>
      </c>
      <c r="Q525" t="s">
        <v>751</v>
      </c>
      <c r="R525" t="s">
        <v>2933</v>
      </c>
      <c r="S525" t="s">
        <v>97</v>
      </c>
      <c r="T525" t="s">
        <v>328</v>
      </c>
      <c r="U525" t="s">
        <v>373</v>
      </c>
      <c r="V525" t="s">
        <v>79</v>
      </c>
    </row>
    <row r="526" spans="1:22" x14ac:dyDescent="0.3">
      <c r="A526" t="s">
        <v>2934</v>
      </c>
      <c r="B526" t="s">
        <v>801</v>
      </c>
      <c r="C526" t="s">
        <v>802</v>
      </c>
      <c r="D526" t="s">
        <v>2935</v>
      </c>
      <c r="E526" t="s">
        <v>399</v>
      </c>
      <c r="F526" t="s">
        <v>188</v>
      </c>
      <c r="G526" t="s">
        <v>580</v>
      </c>
      <c r="H526" t="s">
        <v>268</v>
      </c>
      <c r="I526" t="s">
        <v>69</v>
      </c>
      <c r="J526" t="s">
        <v>162</v>
      </c>
      <c r="K526" t="s">
        <v>230</v>
      </c>
      <c r="L526" t="s">
        <v>148</v>
      </c>
      <c r="M526" t="s">
        <v>1260</v>
      </c>
      <c r="N526" t="s">
        <v>1230</v>
      </c>
      <c r="O526" t="s">
        <v>391</v>
      </c>
      <c r="P526" t="s">
        <v>524</v>
      </c>
      <c r="Q526" t="s">
        <v>165</v>
      </c>
      <c r="R526" t="s">
        <v>2936</v>
      </c>
      <c r="S526" t="s">
        <v>182</v>
      </c>
      <c r="T526" t="s">
        <v>369</v>
      </c>
      <c r="U526" t="s">
        <v>60</v>
      </c>
      <c r="V526" t="s">
        <v>79</v>
      </c>
    </row>
    <row r="527" spans="1:22" x14ac:dyDescent="0.3">
      <c r="A527" t="s">
        <v>2937</v>
      </c>
      <c r="B527" t="s">
        <v>2938</v>
      </c>
      <c r="C527" t="s">
        <v>2939</v>
      </c>
      <c r="D527" t="s">
        <v>2940</v>
      </c>
      <c r="E527" t="s">
        <v>354</v>
      </c>
      <c r="F527" t="s">
        <v>134</v>
      </c>
      <c r="G527" t="s">
        <v>67</v>
      </c>
      <c r="H527" t="s">
        <v>68</v>
      </c>
      <c r="I527" t="s">
        <v>69</v>
      </c>
      <c r="J527" t="s">
        <v>30</v>
      </c>
      <c r="K527" t="s">
        <v>50</v>
      </c>
      <c r="L527" t="s">
        <v>513</v>
      </c>
      <c r="M527" t="s">
        <v>998</v>
      </c>
      <c r="N527" t="s">
        <v>1230</v>
      </c>
      <c r="O527" t="s">
        <v>1826</v>
      </c>
      <c r="P527" t="s">
        <v>1420</v>
      </c>
      <c r="Q527" t="s">
        <v>1183</v>
      </c>
      <c r="R527" t="s">
        <v>2941</v>
      </c>
      <c r="S527" t="s">
        <v>39</v>
      </c>
      <c r="T527" t="s">
        <v>137</v>
      </c>
      <c r="U527" t="s">
        <v>171</v>
      </c>
      <c r="V527" t="s">
        <v>58</v>
      </c>
    </row>
    <row r="528" spans="1:22" x14ac:dyDescent="0.3">
      <c r="A528" t="s">
        <v>2942</v>
      </c>
      <c r="B528" t="s">
        <v>756</v>
      </c>
      <c r="C528" t="s">
        <v>757</v>
      </c>
      <c r="D528" t="s">
        <v>2943</v>
      </c>
      <c r="E528" t="s">
        <v>1321</v>
      </c>
      <c r="F528" t="s">
        <v>228</v>
      </c>
      <c r="G528" t="s">
        <v>147</v>
      </c>
      <c r="H528" t="s">
        <v>28</v>
      </c>
      <c r="I528" t="s">
        <v>69</v>
      </c>
      <c r="J528" t="s">
        <v>30</v>
      </c>
      <c r="K528" t="s">
        <v>230</v>
      </c>
      <c r="L528" t="s">
        <v>2737</v>
      </c>
      <c r="M528" t="s">
        <v>2307</v>
      </c>
      <c r="N528" t="s">
        <v>261</v>
      </c>
      <c r="O528" t="s">
        <v>382</v>
      </c>
      <c r="P528" t="s">
        <v>2262</v>
      </c>
      <c r="Q528" t="s">
        <v>107</v>
      </c>
      <c r="R528" t="s">
        <v>2944</v>
      </c>
      <c r="S528" t="s">
        <v>97</v>
      </c>
      <c r="T528" t="s">
        <v>1224</v>
      </c>
      <c r="U528" t="s">
        <v>373</v>
      </c>
      <c r="V528" t="s">
        <v>114</v>
      </c>
    </row>
    <row r="529" spans="1:22" x14ac:dyDescent="0.3">
      <c r="A529" t="s">
        <v>2945</v>
      </c>
      <c r="B529" t="s">
        <v>1007</v>
      </c>
      <c r="C529" t="s">
        <v>1008</v>
      </c>
      <c r="D529" t="s">
        <v>2946</v>
      </c>
      <c r="E529" t="s">
        <v>244</v>
      </c>
      <c r="F529" t="s">
        <v>244</v>
      </c>
      <c r="G529" t="s">
        <v>48</v>
      </c>
      <c r="H529" t="s">
        <v>49</v>
      </c>
      <c r="I529" t="s">
        <v>69</v>
      </c>
      <c r="J529" t="s">
        <v>30</v>
      </c>
      <c r="K529" t="s">
        <v>31</v>
      </c>
      <c r="L529" t="s">
        <v>51</v>
      </c>
      <c r="M529" t="s">
        <v>2947</v>
      </c>
      <c r="N529" t="s">
        <v>310</v>
      </c>
      <c r="O529" t="s">
        <v>656</v>
      </c>
      <c r="P529" t="s">
        <v>2440</v>
      </c>
      <c r="Q529" t="s">
        <v>218</v>
      </c>
      <c r="R529" t="s">
        <v>2948</v>
      </c>
      <c r="S529" t="s">
        <v>182</v>
      </c>
      <c r="T529" t="s">
        <v>74</v>
      </c>
      <c r="U529" t="s">
        <v>362</v>
      </c>
      <c r="V529" t="s">
        <v>79</v>
      </c>
    </row>
    <row r="530" spans="1:22" x14ac:dyDescent="0.3">
      <c r="A530" t="s">
        <v>2949</v>
      </c>
      <c r="B530" t="s">
        <v>2822</v>
      </c>
      <c r="C530" t="s">
        <v>2823</v>
      </c>
      <c r="D530" t="s">
        <v>945</v>
      </c>
      <c r="E530" t="s">
        <v>634</v>
      </c>
      <c r="F530" t="s">
        <v>228</v>
      </c>
      <c r="G530" t="s">
        <v>27</v>
      </c>
      <c r="H530" t="s">
        <v>104</v>
      </c>
      <c r="I530" t="s">
        <v>69</v>
      </c>
      <c r="J530" t="s">
        <v>30</v>
      </c>
      <c r="K530" t="s">
        <v>215</v>
      </c>
      <c r="L530" t="s">
        <v>231</v>
      </c>
      <c r="M530" t="s">
        <v>2950</v>
      </c>
      <c r="N530" t="s">
        <v>191</v>
      </c>
      <c r="O530" t="s">
        <v>2951</v>
      </c>
      <c r="P530" t="s">
        <v>368</v>
      </c>
      <c r="Q530" t="s">
        <v>619</v>
      </c>
      <c r="R530" t="s">
        <v>2952</v>
      </c>
      <c r="S530" t="s">
        <v>182</v>
      </c>
      <c r="T530" t="s">
        <v>321</v>
      </c>
      <c r="U530" t="s">
        <v>98</v>
      </c>
      <c r="V530" t="s">
        <v>42</v>
      </c>
    </row>
    <row r="531" spans="1:22" x14ac:dyDescent="0.3">
      <c r="A531" t="s">
        <v>2953</v>
      </c>
      <c r="B531" t="s">
        <v>2954</v>
      </c>
      <c r="C531" t="s">
        <v>2955</v>
      </c>
      <c r="D531" t="s">
        <v>2956</v>
      </c>
      <c r="E531" t="s">
        <v>672</v>
      </c>
      <c r="F531" t="s">
        <v>244</v>
      </c>
      <c r="G531" t="s">
        <v>103</v>
      </c>
      <c r="H531" t="s">
        <v>104</v>
      </c>
      <c r="I531" t="s">
        <v>29</v>
      </c>
      <c r="J531" t="s">
        <v>30</v>
      </c>
      <c r="K531" t="s">
        <v>293</v>
      </c>
      <c r="L531" t="s">
        <v>513</v>
      </c>
      <c r="M531" t="s">
        <v>306</v>
      </c>
      <c r="N531" t="s">
        <v>369</v>
      </c>
      <c r="O531" t="s">
        <v>319</v>
      </c>
      <c r="P531" t="s">
        <v>310</v>
      </c>
      <c r="Q531" t="s">
        <v>55</v>
      </c>
      <c r="R531" t="s">
        <v>2957</v>
      </c>
      <c r="S531" t="s">
        <v>39</v>
      </c>
      <c r="T531" t="s">
        <v>499</v>
      </c>
      <c r="U531" t="s">
        <v>385</v>
      </c>
      <c r="V531" t="s">
        <v>58</v>
      </c>
    </row>
    <row r="532" spans="1:22" x14ac:dyDescent="0.3">
      <c r="A532" t="s">
        <v>2958</v>
      </c>
      <c r="B532" t="s">
        <v>2959</v>
      </c>
      <c r="C532" t="s">
        <v>2960</v>
      </c>
      <c r="D532" t="s">
        <v>740</v>
      </c>
      <c r="E532" t="s">
        <v>160</v>
      </c>
      <c r="F532" t="s">
        <v>161</v>
      </c>
      <c r="G532" t="s">
        <v>67</v>
      </c>
      <c r="H532" t="s">
        <v>88</v>
      </c>
      <c r="I532" t="s">
        <v>69</v>
      </c>
      <c r="J532" t="s">
        <v>70</v>
      </c>
      <c r="K532" t="s">
        <v>50</v>
      </c>
      <c r="L532" t="s">
        <v>749</v>
      </c>
      <c r="M532" t="s">
        <v>1176</v>
      </c>
      <c r="N532" t="s">
        <v>121</v>
      </c>
      <c r="O532" t="s">
        <v>1406</v>
      </c>
      <c r="P532" t="s">
        <v>124</v>
      </c>
      <c r="Q532" t="s">
        <v>1509</v>
      </c>
      <c r="R532" t="s">
        <v>2961</v>
      </c>
      <c r="S532" t="s">
        <v>126</v>
      </c>
      <c r="T532" t="s">
        <v>567</v>
      </c>
      <c r="U532" t="s">
        <v>300</v>
      </c>
      <c r="V532" t="s">
        <v>114</v>
      </c>
    </row>
    <row r="533" spans="1:22" x14ac:dyDescent="0.3">
      <c r="A533" t="s">
        <v>2962</v>
      </c>
      <c r="B533" t="s">
        <v>2963</v>
      </c>
      <c r="C533" t="s">
        <v>2964</v>
      </c>
      <c r="D533" t="s">
        <v>2965</v>
      </c>
      <c r="E533" t="s">
        <v>26</v>
      </c>
      <c r="F533" t="s">
        <v>26</v>
      </c>
      <c r="G533" t="s">
        <v>580</v>
      </c>
      <c r="H533" t="s">
        <v>88</v>
      </c>
      <c r="I533" t="s">
        <v>29</v>
      </c>
      <c r="J533" t="s">
        <v>162</v>
      </c>
      <c r="K533" t="s">
        <v>245</v>
      </c>
      <c r="L533" t="s">
        <v>983</v>
      </c>
      <c r="M533" t="s">
        <v>2966</v>
      </c>
      <c r="N533" t="s">
        <v>206</v>
      </c>
      <c r="O533" t="s">
        <v>2967</v>
      </c>
      <c r="P533" t="s">
        <v>2968</v>
      </c>
      <c r="Q533" t="s">
        <v>977</v>
      </c>
      <c r="R533" t="s">
        <v>2969</v>
      </c>
      <c r="S533" t="s">
        <v>126</v>
      </c>
      <c r="T533" t="s">
        <v>1568</v>
      </c>
      <c r="U533" t="s">
        <v>385</v>
      </c>
      <c r="V533" t="s">
        <v>58</v>
      </c>
    </row>
    <row r="534" spans="1:22" x14ac:dyDescent="0.3">
      <c r="A534" t="s">
        <v>2970</v>
      </c>
      <c r="B534" t="s">
        <v>2971</v>
      </c>
      <c r="C534" t="s">
        <v>2972</v>
      </c>
      <c r="D534" t="s">
        <v>1320</v>
      </c>
      <c r="E534" t="s">
        <v>161</v>
      </c>
      <c r="F534" t="s">
        <v>161</v>
      </c>
      <c r="G534" t="s">
        <v>147</v>
      </c>
      <c r="H534" t="s">
        <v>104</v>
      </c>
      <c r="I534" t="s">
        <v>69</v>
      </c>
      <c r="J534" t="s">
        <v>70</v>
      </c>
      <c r="K534" t="s">
        <v>293</v>
      </c>
      <c r="L534" t="s">
        <v>513</v>
      </c>
      <c r="M534" t="s">
        <v>2973</v>
      </c>
      <c r="N534" t="s">
        <v>567</v>
      </c>
      <c r="O534" t="s">
        <v>722</v>
      </c>
      <c r="P534" t="s">
        <v>1346</v>
      </c>
      <c r="Q534" t="s">
        <v>2716</v>
      </c>
      <c r="R534" t="s">
        <v>2974</v>
      </c>
      <c r="S534" t="s">
        <v>126</v>
      </c>
      <c r="T534" t="s">
        <v>921</v>
      </c>
      <c r="U534" t="s">
        <v>60</v>
      </c>
      <c r="V534" t="s">
        <v>42</v>
      </c>
    </row>
    <row r="535" spans="1:22" x14ac:dyDescent="0.3">
      <c r="A535" t="s">
        <v>2975</v>
      </c>
      <c r="B535" t="s">
        <v>2976</v>
      </c>
      <c r="C535" t="s">
        <v>2977</v>
      </c>
      <c r="D535" t="s">
        <v>2978</v>
      </c>
      <c r="E535" t="s">
        <v>354</v>
      </c>
      <c r="F535" t="s">
        <v>134</v>
      </c>
      <c r="G535" t="s">
        <v>103</v>
      </c>
      <c r="H535" t="s">
        <v>49</v>
      </c>
      <c r="I535" t="s">
        <v>69</v>
      </c>
      <c r="J535" t="s">
        <v>70</v>
      </c>
      <c r="K535" t="s">
        <v>89</v>
      </c>
      <c r="L535" t="s">
        <v>902</v>
      </c>
      <c r="M535" t="s">
        <v>1978</v>
      </c>
      <c r="N535" t="s">
        <v>770</v>
      </c>
      <c r="O535" t="s">
        <v>106</v>
      </c>
      <c r="P535" t="s">
        <v>1302</v>
      </c>
      <c r="Q535" t="s">
        <v>822</v>
      </c>
      <c r="R535" t="s">
        <v>2979</v>
      </c>
      <c r="S535" t="s">
        <v>182</v>
      </c>
      <c r="T535" t="s">
        <v>203</v>
      </c>
      <c r="U535" t="s">
        <v>867</v>
      </c>
      <c r="V535" t="s">
        <v>114</v>
      </c>
    </row>
    <row r="536" spans="1:22" x14ac:dyDescent="0.3">
      <c r="A536" t="s">
        <v>2980</v>
      </c>
      <c r="B536" t="s">
        <v>1617</v>
      </c>
      <c r="C536" t="s">
        <v>1618</v>
      </c>
      <c r="D536" t="s">
        <v>2981</v>
      </c>
      <c r="E536" t="s">
        <v>634</v>
      </c>
      <c r="F536" t="s">
        <v>228</v>
      </c>
      <c r="G536" t="s">
        <v>580</v>
      </c>
      <c r="H536" t="s">
        <v>28</v>
      </c>
      <c r="I536" t="s">
        <v>69</v>
      </c>
      <c r="J536" t="s">
        <v>70</v>
      </c>
      <c r="K536" t="s">
        <v>200</v>
      </c>
      <c r="L536" t="s">
        <v>1611</v>
      </c>
      <c r="M536" t="s">
        <v>307</v>
      </c>
      <c r="N536" t="s">
        <v>55</v>
      </c>
      <c r="O536" t="s">
        <v>1335</v>
      </c>
      <c r="P536" t="s">
        <v>2982</v>
      </c>
      <c r="Q536" t="s">
        <v>1760</v>
      </c>
      <c r="R536" t="s">
        <v>2983</v>
      </c>
      <c r="S536" t="s">
        <v>39</v>
      </c>
      <c r="T536" t="s">
        <v>482</v>
      </c>
      <c r="U536" t="s">
        <v>349</v>
      </c>
      <c r="V536" t="s">
        <v>114</v>
      </c>
    </row>
    <row r="537" spans="1:22" x14ac:dyDescent="0.3">
      <c r="A537" t="s">
        <v>2984</v>
      </c>
      <c r="B537" t="s">
        <v>1993</v>
      </c>
      <c r="C537" t="s">
        <v>1994</v>
      </c>
      <c r="D537" t="s">
        <v>2985</v>
      </c>
      <c r="E537" t="s">
        <v>227</v>
      </c>
      <c r="F537" t="s">
        <v>228</v>
      </c>
      <c r="G537" t="s">
        <v>580</v>
      </c>
      <c r="H537" t="s">
        <v>229</v>
      </c>
      <c r="I537" t="s">
        <v>69</v>
      </c>
      <c r="J537" t="s">
        <v>30</v>
      </c>
      <c r="K537" t="s">
        <v>50</v>
      </c>
      <c r="L537" t="s">
        <v>2986</v>
      </c>
      <c r="M537" t="s">
        <v>1248</v>
      </c>
      <c r="N537" t="s">
        <v>150</v>
      </c>
      <c r="O537" t="s">
        <v>220</v>
      </c>
      <c r="P537" t="s">
        <v>1909</v>
      </c>
      <c r="Q537" t="s">
        <v>2037</v>
      </c>
      <c r="R537" t="s">
        <v>2987</v>
      </c>
      <c r="S537" t="s">
        <v>126</v>
      </c>
      <c r="T537" t="s">
        <v>482</v>
      </c>
      <c r="U537" t="s">
        <v>537</v>
      </c>
      <c r="V537" t="s">
        <v>58</v>
      </c>
    </row>
    <row r="538" spans="1:22" x14ac:dyDescent="0.3">
      <c r="A538" t="s">
        <v>2988</v>
      </c>
      <c r="B538" t="s">
        <v>2989</v>
      </c>
      <c r="C538" t="s">
        <v>2990</v>
      </c>
      <c r="D538" t="s">
        <v>2647</v>
      </c>
      <c r="E538" t="s">
        <v>438</v>
      </c>
      <c r="F538" t="s">
        <v>188</v>
      </c>
      <c r="G538" t="s">
        <v>103</v>
      </c>
      <c r="H538" t="s">
        <v>49</v>
      </c>
      <c r="I538" t="s">
        <v>69</v>
      </c>
      <c r="J538" t="s">
        <v>70</v>
      </c>
      <c r="K538" t="s">
        <v>200</v>
      </c>
      <c r="L538" t="s">
        <v>812</v>
      </c>
      <c r="M538" t="s">
        <v>2991</v>
      </c>
      <c r="N538" t="s">
        <v>1449</v>
      </c>
      <c r="O538" t="s">
        <v>2992</v>
      </c>
      <c r="P538" t="s">
        <v>2993</v>
      </c>
      <c r="Q538" t="s">
        <v>2710</v>
      </c>
      <c r="R538" t="s">
        <v>2994</v>
      </c>
      <c r="S538" t="s">
        <v>58</v>
      </c>
      <c r="T538" t="s">
        <v>1254</v>
      </c>
      <c r="U538" t="s">
        <v>394</v>
      </c>
      <c r="V538" t="s">
        <v>58</v>
      </c>
    </row>
    <row r="539" spans="1:22" x14ac:dyDescent="0.3">
      <c r="A539" t="s">
        <v>2995</v>
      </c>
      <c r="B539" t="s">
        <v>2837</v>
      </c>
      <c r="C539" t="s">
        <v>2838</v>
      </c>
      <c r="D539" t="s">
        <v>2996</v>
      </c>
      <c r="E539" t="s">
        <v>66</v>
      </c>
      <c r="F539" t="s">
        <v>66</v>
      </c>
      <c r="G539" t="s">
        <v>147</v>
      </c>
      <c r="H539" t="s">
        <v>268</v>
      </c>
      <c r="I539" t="s">
        <v>69</v>
      </c>
      <c r="J539" t="s">
        <v>257</v>
      </c>
      <c r="K539" t="s">
        <v>245</v>
      </c>
      <c r="L539" t="s">
        <v>1382</v>
      </c>
      <c r="M539" t="s">
        <v>832</v>
      </c>
      <c r="N539" t="s">
        <v>321</v>
      </c>
      <c r="O539" t="s">
        <v>1201</v>
      </c>
      <c r="P539" t="s">
        <v>1433</v>
      </c>
      <c r="Q539" t="s">
        <v>2997</v>
      </c>
      <c r="R539" t="s">
        <v>2998</v>
      </c>
      <c r="S539" t="s">
        <v>182</v>
      </c>
      <c r="T539" t="s">
        <v>499</v>
      </c>
      <c r="U539" t="s">
        <v>300</v>
      </c>
      <c r="V539" t="s">
        <v>42</v>
      </c>
    </row>
    <row r="540" spans="1:22" x14ac:dyDescent="0.3">
      <c r="A540" t="s">
        <v>2999</v>
      </c>
      <c r="B540" t="s">
        <v>809</v>
      </c>
      <c r="C540" t="s">
        <v>810</v>
      </c>
      <c r="D540" t="s">
        <v>64</v>
      </c>
      <c r="E540" t="s">
        <v>227</v>
      </c>
      <c r="F540" t="s">
        <v>228</v>
      </c>
      <c r="G540" t="s">
        <v>118</v>
      </c>
      <c r="H540" t="s">
        <v>88</v>
      </c>
      <c r="I540" t="s">
        <v>29</v>
      </c>
      <c r="J540" t="s">
        <v>257</v>
      </c>
      <c r="K540" t="s">
        <v>230</v>
      </c>
      <c r="L540" t="s">
        <v>258</v>
      </c>
      <c r="M540" t="s">
        <v>358</v>
      </c>
      <c r="N540" t="s">
        <v>261</v>
      </c>
      <c r="O540" t="s">
        <v>554</v>
      </c>
      <c r="P540" t="s">
        <v>2501</v>
      </c>
      <c r="Q540" t="s">
        <v>2800</v>
      </c>
      <c r="R540" t="s">
        <v>3000</v>
      </c>
      <c r="S540" t="s">
        <v>97</v>
      </c>
      <c r="T540" t="s">
        <v>610</v>
      </c>
      <c r="U540" t="s">
        <v>288</v>
      </c>
      <c r="V540" t="s">
        <v>82</v>
      </c>
    </row>
    <row r="541" spans="1:22" x14ac:dyDescent="0.3">
      <c r="A541" t="s">
        <v>3001</v>
      </c>
      <c r="B541" t="s">
        <v>3002</v>
      </c>
      <c r="C541" t="s">
        <v>3003</v>
      </c>
      <c r="D541" t="s">
        <v>1654</v>
      </c>
      <c r="E541" t="s">
        <v>227</v>
      </c>
      <c r="F541" t="s">
        <v>228</v>
      </c>
      <c r="G541" t="s">
        <v>67</v>
      </c>
      <c r="H541" t="s">
        <v>229</v>
      </c>
      <c r="I541" t="s">
        <v>29</v>
      </c>
      <c r="J541" t="s">
        <v>30</v>
      </c>
      <c r="K541" t="s">
        <v>245</v>
      </c>
      <c r="L541" t="s">
        <v>135</v>
      </c>
      <c r="M541" t="s">
        <v>379</v>
      </c>
      <c r="N541" t="s">
        <v>165</v>
      </c>
      <c r="O541" t="s">
        <v>2434</v>
      </c>
      <c r="P541" t="s">
        <v>2237</v>
      </c>
      <c r="Q541" t="s">
        <v>686</v>
      </c>
      <c r="R541" t="s">
        <v>3004</v>
      </c>
      <c r="S541" t="s">
        <v>182</v>
      </c>
      <c r="T541" t="s">
        <v>721</v>
      </c>
      <c r="U541" t="s">
        <v>300</v>
      </c>
      <c r="V541" t="s">
        <v>114</v>
      </c>
    </row>
    <row r="542" spans="1:22" x14ac:dyDescent="0.3">
      <c r="A542" t="s">
        <v>3005</v>
      </c>
      <c r="B542" t="s">
        <v>2478</v>
      </c>
      <c r="C542" t="s">
        <v>2479</v>
      </c>
      <c r="D542" t="s">
        <v>3006</v>
      </c>
      <c r="E542" t="s">
        <v>133</v>
      </c>
      <c r="F542" t="s">
        <v>134</v>
      </c>
      <c r="G542" t="s">
        <v>27</v>
      </c>
      <c r="H542" t="s">
        <v>229</v>
      </c>
      <c r="I542" t="s">
        <v>29</v>
      </c>
      <c r="J542" t="s">
        <v>30</v>
      </c>
      <c r="K542" t="s">
        <v>89</v>
      </c>
      <c r="L542" t="s">
        <v>534</v>
      </c>
      <c r="M542" t="s">
        <v>3007</v>
      </c>
      <c r="N542" t="s">
        <v>191</v>
      </c>
      <c r="O542" t="s">
        <v>479</v>
      </c>
      <c r="P542" t="s">
        <v>2086</v>
      </c>
      <c r="Q542" t="s">
        <v>328</v>
      </c>
      <c r="R542" t="s">
        <v>3008</v>
      </c>
      <c r="S542" t="s">
        <v>58</v>
      </c>
      <c r="T542" t="s">
        <v>543</v>
      </c>
      <c r="U542" t="s">
        <v>423</v>
      </c>
      <c r="V542" t="s">
        <v>114</v>
      </c>
    </row>
    <row r="543" spans="1:22" x14ac:dyDescent="0.3">
      <c r="A543" t="s">
        <v>3009</v>
      </c>
      <c r="B543" t="s">
        <v>1245</v>
      </c>
      <c r="C543" t="s">
        <v>1246</v>
      </c>
      <c r="D543" t="s">
        <v>3010</v>
      </c>
      <c r="E543" t="s">
        <v>780</v>
      </c>
      <c r="F543" t="s">
        <v>282</v>
      </c>
      <c r="G543" t="s">
        <v>147</v>
      </c>
      <c r="H543" t="s">
        <v>28</v>
      </c>
      <c r="I543" t="s">
        <v>69</v>
      </c>
      <c r="J543" t="s">
        <v>30</v>
      </c>
      <c r="K543" t="s">
        <v>89</v>
      </c>
      <c r="L543" t="s">
        <v>1987</v>
      </c>
      <c r="M543" t="s">
        <v>3011</v>
      </c>
      <c r="N543" t="s">
        <v>3012</v>
      </c>
      <c r="O543" t="s">
        <v>2391</v>
      </c>
      <c r="P543" t="s">
        <v>1069</v>
      </c>
      <c r="Q543" t="s">
        <v>40</v>
      </c>
      <c r="R543" t="s">
        <v>3013</v>
      </c>
      <c r="S543" t="s">
        <v>39</v>
      </c>
      <c r="T543" t="s">
        <v>40</v>
      </c>
      <c r="U543" t="s">
        <v>171</v>
      </c>
      <c r="V543" t="s">
        <v>42</v>
      </c>
    </row>
    <row r="544" spans="1:22" x14ac:dyDescent="0.3">
      <c r="A544" t="s">
        <v>3014</v>
      </c>
      <c r="B544" t="s">
        <v>3015</v>
      </c>
      <c r="C544" t="s">
        <v>3016</v>
      </c>
      <c r="D544" t="s">
        <v>3017</v>
      </c>
      <c r="E544" t="s">
        <v>188</v>
      </c>
      <c r="F544" t="s">
        <v>188</v>
      </c>
      <c r="G544" t="s">
        <v>103</v>
      </c>
      <c r="H544" t="s">
        <v>88</v>
      </c>
      <c r="I544" t="s">
        <v>69</v>
      </c>
      <c r="J544" t="s">
        <v>162</v>
      </c>
      <c r="K544" t="s">
        <v>200</v>
      </c>
      <c r="L544" t="s">
        <v>466</v>
      </c>
      <c r="M544" t="s">
        <v>490</v>
      </c>
      <c r="N544" t="s">
        <v>328</v>
      </c>
      <c r="O544" t="s">
        <v>1169</v>
      </c>
      <c r="P544" t="s">
        <v>2024</v>
      </c>
      <c r="Q544" t="s">
        <v>1303</v>
      </c>
      <c r="R544" t="s">
        <v>3018</v>
      </c>
      <c r="S544" t="s">
        <v>97</v>
      </c>
      <c r="T544" t="s">
        <v>573</v>
      </c>
      <c r="U544" t="s">
        <v>60</v>
      </c>
      <c r="V544" t="s">
        <v>79</v>
      </c>
    </row>
    <row r="545" spans="1:22" x14ac:dyDescent="0.3">
      <c r="A545" t="s">
        <v>3019</v>
      </c>
      <c r="B545" t="s">
        <v>3020</v>
      </c>
      <c r="C545" t="s">
        <v>3021</v>
      </c>
      <c r="D545" t="s">
        <v>3022</v>
      </c>
      <c r="E545" t="s">
        <v>342</v>
      </c>
      <c r="F545" t="s">
        <v>244</v>
      </c>
      <c r="G545" t="s">
        <v>118</v>
      </c>
      <c r="H545" t="s">
        <v>49</v>
      </c>
      <c r="I545" t="s">
        <v>29</v>
      </c>
      <c r="J545" t="s">
        <v>30</v>
      </c>
      <c r="K545" t="s">
        <v>293</v>
      </c>
      <c r="L545" t="s">
        <v>231</v>
      </c>
      <c r="M545" t="s">
        <v>879</v>
      </c>
      <c r="N545" t="s">
        <v>179</v>
      </c>
      <c r="O545" t="s">
        <v>879</v>
      </c>
      <c r="P545" t="s">
        <v>164</v>
      </c>
      <c r="Q545" t="s">
        <v>527</v>
      </c>
      <c r="R545" t="s">
        <v>3023</v>
      </c>
      <c r="S545" t="s">
        <v>79</v>
      </c>
      <c r="T545" t="s">
        <v>384</v>
      </c>
      <c r="U545" t="s">
        <v>537</v>
      </c>
      <c r="V545" t="s">
        <v>42</v>
      </c>
    </row>
    <row r="546" spans="1:22" x14ac:dyDescent="0.3">
      <c r="A546" t="s">
        <v>3024</v>
      </c>
      <c r="B546" t="s">
        <v>1446</v>
      </c>
      <c r="C546" t="s">
        <v>1447</v>
      </c>
      <c r="D546" t="s">
        <v>3025</v>
      </c>
      <c r="E546" t="s">
        <v>161</v>
      </c>
      <c r="F546" t="s">
        <v>161</v>
      </c>
      <c r="G546" t="s">
        <v>67</v>
      </c>
      <c r="H546" t="s">
        <v>28</v>
      </c>
      <c r="I546" t="s">
        <v>69</v>
      </c>
      <c r="J546" t="s">
        <v>30</v>
      </c>
      <c r="K546" t="s">
        <v>50</v>
      </c>
      <c r="L546" t="s">
        <v>1394</v>
      </c>
      <c r="M546" t="s">
        <v>52</v>
      </c>
      <c r="N546" t="s">
        <v>179</v>
      </c>
      <c r="O546" t="s">
        <v>52</v>
      </c>
      <c r="P546" t="s">
        <v>3012</v>
      </c>
      <c r="Q546" t="s">
        <v>165</v>
      </c>
      <c r="R546" t="s">
        <v>3026</v>
      </c>
      <c r="S546" t="s">
        <v>79</v>
      </c>
      <c r="T546" t="s">
        <v>328</v>
      </c>
      <c r="U546" t="s">
        <v>508</v>
      </c>
      <c r="V546" t="s">
        <v>114</v>
      </c>
    </row>
    <row r="547" spans="1:22" x14ac:dyDescent="0.3">
      <c r="A547" t="s">
        <v>3027</v>
      </c>
      <c r="B547" t="s">
        <v>3028</v>
      </c>
      <c r="C547" t="s">
        <v>3029</v>
      </c>
      <c r="D547" t="s">
        <v>1294</v>
      </c>
      <c r="E547" t="s">
        <v>438</v>
      </c>
      <c r="F547" t="s">
        <v>188</v>
      </c>
      <c r="G547" t="s">
        <v>27</v>
      </c>
      <c r="H547" t="s">
        <v>28</v>
      </c>
      <c r="I547" t="s">
        <v>29</v>
      </c>
      <c r="J547" t="s">
        <v>30</v>
      </c>
      <c r="K547" t="s">
        <v>293</v>
      </c>
      <c r="L547" t="s">
        <v>1139</v>
      </c>
      <c r="M547" t="s">
        <v>317</v>
      </c>
      <c r="N547" t="s">
        <v>482</v>
      </c>
      <c r="O547" t="s">
        <v>1773</v>
      </c>
      <c r="P547" t="s">
        <v>1177</v>
      </c>
      <c r="Q547" t="s">
        <v>326</v>
      </c>
      <c r="R547" t="s">
        <v>3030</v>
      </c>
      <c r="S547" t="s">
        <v>182</v>
      </c>
      <c r="T547" t="s">
        <v>1224</v>
      </c>
      <c r="U547" t="s">
        <v>238</v>
      </c>
      <c r="V547" t="s">
        <v>79</v>
      </c>
    </row>
    <row r="548" spans="1:22" x14ac:dyDescent="0.3">
      <c r="A548" t="s">
        <v>3031</v>
      </c>
      <c r="B548" t="s">
        <v>1797</v>
      </c>
      <c r="C548" t="s">
        <v>1798</v>
      </c>
      <c r="D548" t="s">
        <v>1084</v>
      </c>
      <c r="E548" t="s">
        <v>1321</v>
      </c>
      <c r="F548" t="s">
        <v>228</v>
      </c>
      <c r="G548" t="s">
        <v>48</v>
      </c>
      <c r="H548" t="s">
        <v>49</v>
      </c>
      <c r="I548" t="s">
        <v>69</v>
      </c>
      <c r="J548" t="s">
        <v>30</v>
      </c>
      <c r="K548" t="s">
        <v>245</v>
      </c>
      <c r="L548" t="s">
        <v>1139</v>
      </c>
      <c r="M548" t="s">
        <v>3032</v>
      </c>
      <c r="N548" t="s">
        <v>1694</v>
      </c>
      <c r="O548" t="s">
        <v>913</v>
      </c>
      <c r="P548" t="s">
        <v>2526</v>
      </c>
      <c r="Q548" t="s">
        <v>152</v>
      </c>
      <c r="R548" t="s">
        <v>3033</v>
      </c>
      <c r="S548" t="s">
        <v>182</v>
      </c>
      <c r="T548" t="s">
        <v>74</v>
      </c>
      <c r="U548" t="s">
        <v>867</v>
      </c>
      <c r="V548" t="s">
        <v>58</v>
      </c>
    </row>
    <row r="549" spans="1:22" x14ac:dyDescent="0.3">
      <c r="A549" t="s">
        <v>3034</v>
      </c>
      <c r="B549" t="s">
        <v>1638</v>
      </c>
      <c r="C549" t="s">
        <v>1639</v>
      </c>
      <c r="D549" t="s">
        <v>3035</v>
      </c>
      <c r="E549" t="s">
        <v>417</v>
      </c>
      <c r="F549" t="s">
        <v>134</v>
      </c>
      <c r="G549" t="s">
        <v>27</v>
      </c>
      <c r="H549" t="s">
        <v>104</v>
      </c>
      <c r="I549" t="s">
        <v>29</v>
      </c>
      <c r="J549" t="s">
        <v>70</v>
      </c>
      <c r="K549" t="s">
        <v>230</v>
      </c>
      <c r="L549" t="s">
        <v>72</v>
      </c>
      <c r="M549" t="s">
        <v>1085</v>
      </c>
      <c r="N549" t="s">
        <v>107</v>
      </c>
      <c r="O549" t="s">
        <v>479</v>
      </c>
      <c r="P549" t="s">
        <v>880</v>
      </c>
      <c r="Q549" t="s">
        <v>1099</v>
      </c>
      <c r="R549" t="s">
        <v>2181</v>
      </c>
      <c r="S549" t="s">
        <v>97</v>
      </c>
      <c r="T549" t="s">
        <v>1230</v>
      </c>
      <c r="U549" t="s">
        <v>41</v>
      </c>
      <c r="V549" t="s">
        <v>79</v>
      </c>
    </row>
    <row r="550" spans="1:22" x14ac:dyDescent="0.3">
      <c r="A550" t="s">
        <v>3036</v>
      </c>
      <c r="B550" t="s">
        <v>2089</v>
      </c>
      <c r="C550" t="s">
        <v>2090</v>
      </c>
      <c r="D550" t="s">
        <v>1724</v>
      </c>
      <c r="E550" t="s">
        <v>160</v>
      </c>
      <c r="F550" t="s">
        <v>161</v>
      </c>
      <c r="G550" t="s">
        <v>147</v>
      </c>
      <c r="H550" t="s">
        <v>268</v>
      </c>
      <c r="I550" t="s">
        <v>69</v>
      </c>
      <c r="J550" t="s">
        <v>30</v>
      </c>
      <c r="K550" t="s">
        <v>31</v>
      </c>
      <c r="L550" t="s">
        <v>90</v>
      </c>
      <c r="M550" t="s">
        <v>646</v>
      </c>
      <c r="N550" t="s">
        <v>770</v>
      </c>
      <c r="O550" t="s">
        <v>666</v>
      </c>
      <c r="P550" t="s">
        <v>1642</v>
      </c>
      <c r="Q550" t="s">
        <v>695</v>
      </c>
      <c r="R550" t="s">
        <v>3037</v>
      </c>
      <c r="S550" t="s">
        <v>79</v>
      </c>
      <c r="T550" t="s">
        <v>621</v>
      </c>
      <c r="U550" t="s">
        <v>277</v>
      </c>
      <c r="V550" t="s">
        <v>82</v>
      </c>
    </row>
    <row r="551" spans="1:22" x14ac:dyDescent="0.3">
      <c r="A551" t="s">
        <v>3038</v>
      </c>
      <c r="B551" t="s">
        <v>1153</v>
      </c>
      <c r="C551" t="s">
        <v>1154</v>
      </c>
      <c r="D551" t="s">
        <v>1003</v>
      </c>
      <c r="E551" t="s">
        <v>282</v>
      </c>
      <c r="F551" t="s">
        <v>282</v>
      </c>
      <c r="G551" t="s">
        <v>103</v>
      </c>
      <c r="H551" t="s">
        <v>229</v>
      </c>
      <c r="I551" t="s">
        <v>69</v>
      </c>
      <c r="J551" t="s">
        <v>30</v>
      </c>
      <c r="K551" t="s">
        <v>245</v>
      </c>
      <c r="L551" t="s">
        <v>1382</v>
      </c>
      <c r="M551" t="s">
        <v>1664</v>
      </c>
      <c r="N551" t="s">
        <v>179</v>
      </c>
      <c r="O551" t="s">
        <v>1664</v>
      </c>
      <c r="P551" t="s">
        <v>479</v>
      </c>
      <c r="Q551" t="s">
        <v>359</v>
      </c>
      <c r="R551" t="s">
        <v>3039</v>
      </c>
      <c r="S551" t="s">
        <v>79</v>
      </c>
      <c r="T551" t="s">
        <v>252</v>
      </c>
      <c r="U551" t="s">
        <v>98</v>
      </c>
      <c r="V551" t="s">
        <v>42</v>
      </c>
    </row>
    <row r="552" spans="1:22" x14ac:dyDescent="0.3">
      <c r="A552" t="s">
        <v>3040</v>
      </c>
      <c r="B552" t="s">
        <v>3041</v>
      </c>
      <c r="C552" t="s">
        <v>3042</v>
      </c>
      <c r="D552" t="s">
        <v>2587</v>
      </c>
      <c r="E552" t="s">
        <v>47</v>
      </c>
      <c r="F552" t="s">
        <v>26</v>
      </c>
      <c r="G552" t="s">
        <v>67</v>
      </c>
      <c r="H552" t="s">
        <v>88</v>
      </c>
      <c r="I552" t="s">
        <v>69</v>
      </c>
      <c r="J552" t="s">
        <v>162</v>
      </c>
      <c r="K552" t="s">
        <v>31</v>
      </c>
      <c r="L552" t="s">
        <v>51</v>
      </c>
      <c r="M552" t="s">
        <v>3007</v>
      </c>
      <c r="N552" t="s">
        <v>183</v>
      </c>
      <c r="O552" t="s">
        <v>627</v>
      </c>
      <c r="P552" t="s">
        <v>949</v>
      </c>
      <c r="Q552" t="s">
        <v>600</v>
      </c>
      <c r="R552" t="s">
        <v>3043</v>
      </c>
      <c r="S552" t="s">
        <v>126</v>
      </c>
      <c r="T552" t="s">
        <v>321</v>
      </c>
      <c r="U552" t="s">
        <v>171</v>
      </c>
      <c r="V552" t="s">
        <v>42</v>
      </c>
    </row>
    <row r="553" spans="1:22" x14ac:dyDescent="0.3">
      <c r="A553" t="s">
        <v>3044</v>
      </c>
      <c r="B553" t="s">
        <v>756</v>
      </c>
      <c r="C553" t="s">
        <v>757</v>
      </c>
      <c r="D553" t="s">
        <v>3045</v>
      </c>
      <c r="E553" t="s">
        <v>267</v>
      </c>
      <c r="F553" t="s">
        <v>66</v>
      </c>
      <c r="G553" t="s">
        <v>103</v>
      </c>
      <c r="H553" t="s">
        <v>49</v>
      </c>
      <c r="I553" t="s">
        <v>69</v>
      </c>
      <c r="J553" t="s">
        <v>30</v>
      </c>
      <c r="K553" t="s">
        <v>293</v>
      </c>
      <c r="L553" t="s">
        <v>682</v>
      </c>
      <c r="M553" t="s">
        <v>1051</v>
      </c>
      <c r="N553" t="s">
        <v>751</v>
      </c>
      <c r="O553" t="s">
        <v>2073</v>
      </c>
      <c r="P553" t="s">
        <v>1569</v>
      </c>
      <c r="Q553" t="s">
        <v>714</v>
      </c>
      <c r="R553" t="s">
        <v>3046</v>
      </c>
      <c r="S553" t="s">
        <v>182</v>
      </c>
      <c r="T553" t="s">
        <v>751</v>
      </c>
      <c r="U553" t="s">
        <v>867</v>
      </c>
      <c r="V553" t="s">
        <v>58</v>
      </c>
    </row>
    <row r="554" spans="1:22" x14ac:dyDescent="0.3">
      <c r="A554" t="s">
        <v>3047</v>
      </c>
      <c r="B554" t="s">
        <v>3048</v>
      </c>
      <c r="C554" t="s">
        <v>3049</v>
      </c>
      <c r="D554" t="s">
        <v>3050</v>
      </c>
      <c r="E554" t="s">
        <v>267</v>
      </c>
      <c r="F554" t="s">
        <v>66</v>
      </c>
      <c r="G554" t="s">
        <v>147</v>
      </c>
      <c r="H554" t="s">
        <v>28</v>
      </c>
      <c r="I554" t="s">
        <v>69</v>
      </c>
      <c r="J554" t="s">
        <v>70</v>
      </c>
      <c r="K554" t="s">
        <v>71</v>
      </c>
      <c r="L554" t="s">
        <v>937</v>
      </c>
      <c r="M554" t="s">
        <v>3051</v>
      </c>
      <c r="N554" t="s">
        <v>179</v>
      </c>
      <c r="O554" t="s">
        <v>3051</v>
      </c>
      <c r="P554" t="s">
        <v>316</v>
      </c>
      <c r="Q554" t="s">
        <v>968</v>
      </c>
      <c r="R554" t="s">
        <v>3052</v>
      </c>
      <c r="S554" t="s">
        <v>182</v>
      </c>
      <c r="T554" t="s">
        <v>392</v>
      </c>
      <c r="U554" t="s">
        <v>472</v>
      </c>
      <c r="V554" t="s">
        <v>58</v>
      </c>
    </row>
    <row r="555" spans="1:22" x14ac:dyDescent="0.3">
      <c r="A555" t="s">
        <v>3053</v>
      </c>
      <c r="B555" t="s">
        <v>531</v>
      </c>
      <c r="C555" t="s">
        <v>532</v>
      </c>
      <c r="D555" t="s">
        <v>2715</v>
      </c>
      <c r="E555" t="s">
        <v>243</v>
      </c>
      <c r="F555" t="s">
        <v>244</v>
      </c>
      <c r="G555" t="s">
        <v>147</v>
      </c>
      <c r="H555" t="s">
        <v>214</v>
      </c>
      <c r="I555" t="s">
        <v>29</v>
      </c>
      <c r="J555" t="s">
        <v>30</v>
      </c>
      <c r="K555" t="s">
        <v>293</v>
      </c>
      <c r="L555" t="s">
        <v>1010</v>
      </c>
      <c r="M555" t="s">
        <v>3032</v>
      </c>
      <c r="N555" t="s">
        <v>179</v>
      </c>
      <c r="O555" t="s">
        <v>3032</v>
      </c>
      <c r="P555" t="s">
        <v>636</v>
      </c>
      <c r="Q555" t="s">
        <v>1198</v>
      </c>
      <c r="R555" t="s">
        <v>3054</v>
      </c>
      <c r="S555" t="s">
        <v>97</v>
      </c>
      <c r="T555" t="s">
        <v>648</v>
      </c>
      <c r="U555" t="s">
        <v>155</v>
      </c>
      <c r="V555" t="s">
        <v>42</v>
      </c>
    </row>
    <row r="556" spans="1:22" x14ac:dyDescent="0.3">
      <c r="A556" t="s">
        <v>3055</v>
      </c>
      <c r="B556" t="s">
        <v>3056</v>
      </c>
      <c r="C556" t="s">
        <v>3057</v>
      </c>
      <c r="D556" t="s">
        <v>3058</v>
      </c>
      <c r="E556" t="s">
        <v>87</v>
      </c>
      <c r="F556" t="s">
        <v>26</v>
      </c>
      <c r="G556" t="s">
        <v>27</v>
      </c>
      <c r="H556" t="s">
        <v>88</v>
      </c>
      <c r="I556" t="s">
        <v>69</v>
      </c>
      <c r="J556" t="s">
        <v>70</v>
      </c>
      <c r="K556" t="s">
        <v>230</v>
      </c>
      <c r="M556" t="s">
        <v>3059</v>
      </c>
      <c r="N556" t="s">
        <v>816</v>
      </c>
      <c r="O556" t="s">
        <v>3060</v>
      </c>
      <c r="P556" t="s">
        <v>3061</v>
      </c>
      <c r="Q556" t="s">
        <v>822</v>
      </c>
      <c r="R556" t="s">
        <v>3062</v>
      </c>
      <c r="S556" t="s">
        <v>126</v>
      </c>
      <c r="T556" t="s">
        <v>2501</v>
      </c>
      <c r="U556" t="s">
        <v>373</v>
      </c>
      <c r="V556" t="s">
        <v>79</v>
      </c>
    </row>
    <row r="557" spans="1:22" x14ac:dyDescent="0.3">
      <c r="A557" t="s">
        <v>3063</v>
      </c>
      <c r="B557" t="s">
        <v>679</v>
      </c>
      <c r="C557" t="s">
        <v>680</v>
      </c>
      <c r="D557" t="s">
        <v>3064</v>
      </c>
      <c r="E557" t="s">
        <v>354</v>
      </c>
      <c r="F557" t="s">
        <v>134</v>
      </c>
      <c r="G557" t="s">
        <v>27</v>
      </c>
      <c r="H557" t="s">
        <v>68</v>
      </c>
      <c r="I557" t="s">
        <v>69</v>
      </c>
      <c r="J557" t="s">
        <v>162</v>
      </c>
      <c r="K557" t="s">
        <v>89</v>
      </c>
      <c r="L557" t="s">
        <v>231</v>
      </c>
      <c r="M557" t="s">
        <v>1924</v>
      </c>
      <c r="N557" t="s">
        <v>489</v>
      </c>
      <c r="O557" t="s">
        <v>750</v>
      </c>
      <c r="P557" t="s">
        <v>3065</v>
      </c>
      <c r="Q557" t="s">
        <v>621</v>
      </c>
      <c r="R557" t="s">
        <v>3066</v>
      </c>
      <c r="S557" t="s">
        <v>79</v>
      </c>
      <c r="T557" t="s">
        <v>369</v>
      </c>
      <c r="U557" t="s">
        <v>362</v>
      </c>
      <c r="V557" t="s">
        <v>58</v>
      </c>
    </row>
    <row r="558" spans="1:22" x14ac:dyDescent="0.3">
      <c r="A558" t="s">
        <v>3067</v>
      </c>
      <c r="B558" t="s">
        <v>454</v>
      </c>
      <c r="C558" t="s">
        <v>455</v>
      </c>
      <c r="D558" t="s">
        <v>1146</v>
      </c>
      <c r="E558" t="s">
        <v>378</v>
      </c>
      <c r="F558" t="s">
        <v>282</v>
      </c>
      <c r="G558" t="s">
        <v>67</v>
      </c>
      <c r="H558" t="s">
        <v>229</v>
      </c>
      <c r="I558" t="s">
        <v>69</v>
      </c>
      <c r="J558" t="s">
        <v>30</v>
      </c>
      <c r="K558" t="s">
        <v>293</v>
      </c>
      <c r="L558" t="s">
        <v>362</v>
      </c>
      <c r="M558" t="s">
        <v>2861</v>
      </c>
      <c r="N558" t="s">
        <v>206</v>
      </c>
      <c r="O558" t="s">
        <v>450</v>
      </c>
      <c r="P558" t="s">
        <v>2921</v>
      </c>
      <c r="Q558" t="s">
        <v>1303</v>
      </c>
      <c r="R558" t="s">
        <v>676</v>
      </c>
      <c r="S558" t="s">
        <v>58</v>
      </c>
      <c r="T558" t="s">
        <v>74</v>
      </c>
      <c r="U558" t="s">
        <v>98</v>
      </c>
      <c r="V558" t="s">
        <v>79</v>
      </c>
    </row>
    <row r="559" spans="1:22" x14ac:dyDescent="0.3">
      <c r="A559" t="s">
        <v>3068</v>
      </c>
      <c r="B559" t="s">
        <v>3069</v>
      </c>
      <c r="C559" t="s">
        <v>3070</v>
      </c>
      <c r="D559" t="s">
        <v>3071</v>
      </c>
      <c r="E559" t="s">
        <v>634</v>
      </c>
      <c r="F559" t="s">
        <v>228</v>
      </c>
      <c r="G559" t="s">
        <v>103</v>
      </c>
      <c r="H559" t="s">
        <v>268</v>
      </c>
      <c r="I559" t="s">
        <v>29</v>
      </c>
      <c r="J559" t="s">
        <v>1514</v>
      </c>
      <c r="K559" t="s">
        <v>215</v>
      </c>
      <c r="L559" t="s">
        <v>766</v>
      </c>
      <c r="M559" t="s">
        <v>2120</v>
      </c>
      <c r="N559" t="s">
        <v>433</v>
      </c>
      <c r="O559" t="s">
        <v>35</v>
      </c>
      <c r="P559" t="s">
        <v>1773</v>
      </c>
      <c r="Q559" t="s">
        <v>637</v>
      </c>
      <c r="R559" t="s">
        <v>3072</v>
      </c>
      <c r="S559" t="s">
        <v>39</v>
      </c>
      <c r="T559" t="s">
        <v>40</v>
      </c>
      <c r="U559" t="s">
        <v>155</v>
      </c>
      <c r="V559" t="s">
        <v>82</v>
      </c>
    </row>
    <row r="560" spans="1:22" x14ac:dyDescent="0.3">
      <c r="A560" t="s">
        <v>3073</v>
      </c>
      <c r="B560" t="s">
        <v>1427</v>
      </c>
      <c r="C560" t="s">
        <v>1428</v>
      </c>
      <c r="D560" t="s">
        <v>2119</v>
      </c>
      <c r="E560" t="s">
        <v>176</v>
      </c>
      <c r="F560" t="s">
        <v>161</v>
      </c>
      <c r="G560" t="s">
        <v>213</v>
      </c>
      <c r="H560" t="s">
        <v>229</v>
      </c>
      <c r="I560" t="s">
        <v>69</v>
      </c>
      <c r="J560" t="s">
        <v>162</v>
      </c>
      <c r="K560" t="s">
        <v>50</v>
      </c>
      <c r="L560" t="s">
        <v>1987</v>
      </c>
      <c r="M560" t="s">
        <v>3074</v>
      </c>
      <c r="N560" t="s">
        <v>1982</v>
      </c>
      <c r="O560" t="s">
        <v>3075</v>
      </c>
      <c r="P560" t="s">
        <v>1957</v>
      </c>
      <c r="Q560" t="s">
        <v>296</v>
      </c>
      <c r="R560" t="s">
        <v>3076</v>
      </c>
      <c r="S560" t="s">
        <v>58</v>
      </c>
      <c r="T560" t="s">
        <v>1491</v>
      </c>
      <c r="U560" t="s">
        <v>60</v>
      </c>
      <c r="V560" t="s">
        <v>114</v>
      </c>
    </row>
    <row r="561" spans="1:22" x14ac:dyDescent="0.3">
      <c r="A561" t="s">
        <v>3077</v>
      </c>
      <c r="B561" t="s">
        <v>3078</v>
      </c>
      <c r="C561" t="s">
        <v>3079</v>
      </c>
      <c r="D561" t="s">
        <v>3080</v>
      </c>
      <c r="E561" t="s">
        <v>47</v>
      </c>
      <c r="F561" t="s">
        <v>26</v>
      </c>
      <c r="G561" t="s">
        <v>48</v>
      </c>
      <c r="H561" t="s">
        <v>49</v>
      </c>
      <c r="I561" t="s">
        <v>69</v>
      </c>
      <c r="J561" t="s">
        <v>257</v>
      </c>
      <c r="K561" t="s">
        <v>50</v>
      </c>
      <c r="L561" t="s">
        <v>400</v>
      </c>
      <c r="M561" t="s">
        <v>1664</v>
      </c>
      <c r="N561" t="s">
        <v>107</v>
      </c>
      <c r="O561" t="s">
        <v>1248</v>
      </c>
      <c r="P561" t="s">
        <v>3065</v>
      </c>
      <c r="Q561" t="s">
        <v>40</v>
      </c>
      <c r="R561" t="s">
        <v>3081</v>
      </c>
      <c r="S561" t="s">
        <v>182</v>
      </c>
      <c r="T561" t="s">
        <v>328</v>
      </c>
      <c r="U561" t="s">
        <v>277</v>
      </c>
      <c r="V561" t="s">
        <v>114</v>
      </c>
    </row>
    <row r="562" spans="1:22" x14ac:dyDescent="0.3">
      <c r="A562" t="s">
        <v>3082</v>
      </c>
      <c r="B562" t="s">
        <v>716</v>
      </c>
      <c r="C562" t="s">
        <v>717</v>
      </c>
      <c r="D562" t="s">
        <v>1772</v>
      </c>
      <c r="E562" t="s">
        <v>176</v>
      </c>
      <c r="F562" t="s">
        <v>161</v>
      </c>
      <c r="G562" t="s">
        <v>103</v>
      </c>
      <c r="H562" t="s">
        <v>68</v>
      </c>
      <c r="I562" t="s">
        <v>29</v>
      </c>
      <c r="J562" t="s">
        <v>30</v>
      </c>
      <c r="K562" t="s">
        <v>215</v>
      </c>
      <c r="L562" t="s">
        <v>871</v>
      </c>
      <c r="M562" t="s">
        <v>709</v>
      </c>
      <c r="N562" t="s">
        <v>179</v>
      </c>
      <c r="O562" t="s">
        <v>709</v>
      </c>
      <c r="P562" t="s">
        <v>953</v>
      </c>
      <c r="Q562" t="s">
        <v>535</v>
      </c>
      <c r="R562" t="s">
        <v>57</v>
      </c>
      <c r="S562" t="s">
        <v>182</v>
      </c>
      <c r="T562" t="s">
        <v>252</v>
      </c>
      <c r="U562" t="s">
        <v>362</v>
      </c>
      <c r="V562" t="s">
        <v>58</v>
      </c>
    </row>
    <row r="563" spans="1:22" x14ac:dyDescent="0.3">
      <c r="A563" t="s">
        <v>3083</v>
      </c>
      <c r="B563" t="s">
        <v>2487</v>
      </c>
      <c r="C563" t="s">
        <v>2488</v>
      </c>
      <c r="D563" t="s">
        <v>3084</v>
      </c>
      <c r="E563" t="s">
        <v>354</v>
      </c>
      <c r="F563" t="s">
        <v>134</v>
      </c>
      <c r="G563" t="s">
        <v>213</v>
      </c>
      <c r="H563" t="s">
        <v>68</v>
      </c>
      <c r="I563" t="s">
        <v>29</v>
      </c>
      <c r="J563" t="s">
        <v>162</v>
      </c>
      <c r="K563" t="s">
        <v>50</v>
      </c>
      <c r="L563" t="s">
        <v>1295</v>
      </c>
      <c r="M563" t="s">
        <v>1212</v>
      </c>
      <c r="N563" t="s">
        <v>489</v>
      </c>
      <c r="O563" t="s">
        <v>447</v>
      </c>
      <c r="P563" t="s">
        <v>33</v>
      </c>
      <c r="Q563" t="s">
        <v>2061</v>
      </c>
      <c r="R563" t="s">
        <v>3085</v>
      </c>
      <c r="S563" t="s">
        <v>126</v>
      </c>
      <c r="T563" t="s">
        <v>3012</v>
      </c>
      <c r="U563" t="s">
        <v>362</v>
      </c>
      <c r="V563" t="s">
        <v>42</v>
      </c>
    </row>
    <row r="564" spans="1:22" x14ac:dyDescent="0.3">
      <c r="A564" t="s">
        <v>3086</v>
      </c>
      <c r="B564" t="s">
        <v>1804</v>
      </c>
      <c r="C564" t="s">
        <v>1805</v>
      </c>
      <c r="D564" t="s">
        <v>2659</v>
      </c>
      <c r="E564" t="s">
        <v>87</v>
      </c>
      <c r="F564" t="s">
        <v>26</v>
      </c>
      <c r="G564" t="s">
        <v>48</v>
      </c>
      <c r="H564" t="s">
        <v>28</v>
      </c>
      <c r="I564" t="s">
        <v>29</v>
      </c>
      <c r="J564" t="s">
        <v>70</v>
      </c>
      <c r="K564" t="s">
        <v>71</v>
      </c>
      <c r="L564" t="s">
        <v>51</v>
      </c>
      <c r="M564" t="s">
        <v>1492</v>
      </c>
      <c r="N564" t="s">
        <v>179</v>
      </c>
      <c r="O564" t="s">
        <v>1492</v>
      </c>
      <c r="P564" t="s">
        <v>1028</v>
      </c>
      <c r="Q564" t="s">
        <v>1141</v>
      </c>
      <c r="R564" t="s">
        <v>3087</v>
      </c>
      <c r="S564" t="s">
        <v>126</v>
      </c>
      <c r="T564" t="s">
        <v>170</v>
      </c>
      <c r="U564" t="s">
        <v>171</v>
      </c>
      <c r="V564" t="s">
        <v>79</v>
      </c>
    </row>
    <row r="565" spans="1:22" x14ac:dyDescent="0.3">
      <c r="A565" t="s">
        <v>3088</v>
      </c>
      <c r="B565" t="s">
        <v>3089</v>
      </c>
      <c r="C565" t="s">
        <v>3090</v>
      </c>
      <c r="D565" t="s">
        <v>2235</v>
      </c>
      <c r="E565" t="s">
        <v>66</v>
      </c>
      <c r="F565" t="s">
        <v>66</v>
      </c>
      <c r="G565" t="s">
        <v>67</v>
      </c>
      <c r="H565" t="s">
        <v>49</v>
      </c>
      <c r="I565" t="s">
        <v>29</v>
      </c>
      <c r="J565" t="s">
        <v>30</v>
      </c>
      <c r="K565" t="s">
        <v>89</v>
      </c>
      <c r="L565" t="s">
        <v>90</v>
      </c>
      <c r="M565" t="s">
        <v>2273</v>
      </c>
      <c r="N565" t="s">
        <v>1183</v>
      </c>
      <c r="O565" t="s">
        <v>2434</v>
      </c>
      <c r="P565" t="s">
        <v>635</v>
      </c>
      <c r="Q565" t="s">
        <v>1043</v>
      </c>
      <c r="R565" t="s">
        <v>3091</v>
      </c>
      <c r="S565" t="s">
        <v>182</v>
      </c>
      <c r="T565" t="s">
        <v>237</v>
      </c>
      <c r="U565" t="s">
        <v>423</v>
      </c>
      <c r="V565" t="s">
        <v>114</v>
      </c>
    </row>
    <row r="566" spans="1:22" x14ac:dyDescent="0.3">
      <c r="A566" t="s">
        <v>3092</v>
      </c>
      <c r="B566" t="s">
        <v>853</v>
      </c>
      <c r="C566" t="s">
        <v>854</v>
      </c>
      <c r="D566" t="s">
        <v>3093</v>
      </c>
      <c r="E566" t="s">
        <v>354</v>
      </c>
      <c r="F566" t="s">
        <v>134</v>
      </c>
      <c r="G566" t="s">
        <v>213</v>
      </c>
      <c r="H566" t="s">
        <v>214</v>
      </c>
      <c r="I566" t="s">
        <v>69</v>
      </c>
      <c r="J566" t="s">
        <v>30</v>
      </c>
      <c r="K566" t="s">
        <v>215</v>
      </c>
      <c r="L566" t="s">
        <v>105</v>
      </c>
      <c r="M566" t="s">
        <v>3094</v>
      </c>
      <c r="N566" t="s">
        <v>206</v>
      </c>
      <c r="O566" t="s">
        <v>3095</v>
      </c>
      <c r="P566" t="s">
        <v>307</v>
      </c>
      <c r="Q566" t="s">
        <v>208</v>
      </c>
      <c r="R566" t="s">
        <v>3096</v>
      </c>
      <c r="S566" t="s">
        <v>97</v>
      </c>
      <c r="T566" t="s">
        <v>1509</v>
      </c>
      <c r="U566" t="s">
        <v>537</v>
      </c>
      <c r="V566" t="s">
        <v>82</v>
      </c>
    </row>
    <row r="567" spans="1:22" x14ac:dyDescent="0.3">
      <c r="A567" t="s">
        <v>3097</v>
      </c>
      <c r="B567" t="s">
        <v>3056</v>
      </c>
      <c r="C567" t="s">
        <v>3057</v>
      </c>
      <c r="D567" t="s">
        <v>2165</v>
      </c>
      <c r="E567" t="s">
        <v>227</v>
      </c>
      <c r="F567" t="s">
        <v>228</v>
      </c>
      <c r="G567" t="s">
        <v>103</v>
      </c>
      <c r="H567" t="s">
        <v>88</v>
      </c>
      <c r="I567" t="s">
        <v>69</v>
      </c>
      <c r="J567" t="s">
        <v>30</v>
      </c>
      <c r="K567" t="s">
        <v>245</v>
      </c>
      <c r="L567" t="s">
        <v>513</v>
      </c>
      <c r="M567" t="s">
        <v>915</v>
      </c>
      <c r="N567" t="s">
        <v>237</v>
      </c>
      <c r="O567" t="s">
        <v>1158</v>
      </c>
      <c r="P567" t="s">
        <v>178</v>
      </c>
      <c r="Q567" t="s">
        <v>40</v>
      </c>
      <c r="R567" t="s">
        <v>3098</v>
      </c>
      <c r="S567" t="s">
        <v>58</v>
      </c>
      <c r="T567" t="s">
        <v>1013</v>
      </c>
      <c r="U567" t="s">
        <v>362</v>
      </c>
      <c r="V567" t="s">
        <v>42</v>
      </c>
    </row>
    <row r="568" spans="1:22" x14ac:dyDescent="0.3">
      <c r="A568" t="s">
        <v>3099</v>
      </c>
      <c r="B568" t="s">
        <v>2856</v>
      </c>
      <c r="C568" t="s">
        <v>2857</v>
      </c>
      <c r="D568" t="s">
        <v>3100</v>
      </c>
      <c r="E568" t="s">
        <v>66</v>
      </c>
      <c r="F568" t="s">
        <v>66</v>
      </c>
      <c r="G568" t="s">
        <v>213</v>
      </c>
      <c r="H568" t="s">
        <v>214</v>
      </c>
      <c r="I568" t="s">
        <v>69</v>
      </c>
      <c r="J568" t="s">
        <v>70</v>
      </c>
      <c r="K568" t="s">
        <v>31</v>
      </c>
      <c r="L568" t="s">
        <v>148</v>
      </c>
      <c r="M568" t="s">
        <v>2143</v>
      </c>
      <c r="N568" t="s">
        <v>276</v>
      </c>
      <c r="O568" t="s">
        <v>665</v>
      </c>
      <c r="P568" t="s">
        <v>235</v>
      </c>
      <c r="Q568" t="s">
        <v>966</v>
      </c>
      <c r="R568" t="s">
        <v>3101</v>
      </c>
      <c r="S568" t="s">
        <v>182</v>
      </c>
      <c r="T568" t="s">
        <v>896</v>
      </c>
      <c r="U568" t="s">
        <v>867</v>
      </c>
      <c r="V568" t="s">
        <v>79</v>
      </c>
    </row>
    <row r="569" spans="1:22" x14ac:dyDescent="0.3">
      <c r="A569" t="s">
        <v>3102</v>
      </c>
      <c r="B569" t="s">
        <v>3103</v>
      </c>
      <c r="C569" t="s">
        <v>3104</v>
      </c>
      <c r="D569" t="s">
        <v>3105</v>
      </c>
      <c r="E569" t="s">
        <v>188</v>
      </c>
      <c r="F569" t="s">
        <v>188</v>
      </c>
      <c r="G569" t="s">
        <v>48</v>
      </c>
      <c r="H569" t="s">
        <v>229</v>
      </c>
      <c r="I569" t="s">
        <v>69</v>
      </c>
      <c r="J569" t="s">
        <v>30</v>
      </c>
      <c r="K569" t="s">
        <v>200</v>
      </c>
      <c r="L569" t="s">
        <v>1037</v>
      </c>
      <c r="M569" t="s">
        <v>554</v>
      </c>
      <c r="N569" t="s">
        <v>183</v>
      </c>
      <c r="O569" t="s">
        <v>2932</v>
      </c>
      <c r="P569" t="s">
        <v>949</v>
      </c>
      <c r="Q569" t="s">
        <v>392</v>
      </c>
      <c r="R569" t="s">
        <v>1828</v>
      </c>
      <c r="S569" t="s">
        <v>58</v>
      </c>
      <c r="T569" t="s">
        <v>621</v>
      </c>
      <c r="U569" t="s">
        <v>128</v>
      </c>
      <c r="V569" t="s">
        <v>58</v>
      </c>
    </row>
    <row r="570" spans="1:22" x14ac:dyDescent="0.3">
      <c r="A570" t="s">
        <v>3106</v>
      </c>
      <c r="B570" t="s">
        <v>2915</v>
      </c>
      <c r="C570" t="s">
        <v>2916</v>
      </c>
      <c r="D570" t="s">
        <v>3107</v>
      </c>
      <c r="E570" t="s">
        <v>244</v>
      </c>
      <c r="F570" t="s">
        <v>244</v>
      </c>
      <c r="G570" t="s">
        <v>103</v>
      </c>
      <c r="H570" t="s">
        <v>28</v>
      </c>
      <c r="I570" t="s">
        <v>69</v>
      </c>
      <c r="J570" t="s">
        <v>30</v>
      </c>
      <c r="K570" t="s">
        <v>245</v>
      </c>
      <c r="L570" t="s">
        <v>216</v>
      </c>
      <c r="M570" t="s">
        <v>295</v>
      </c>
      <c r="N570" t="s">
        <v>179</v>
      </c>
      <c r="O570" t="s">
        <v>295</v>
      </c>
      <c r="P570" t="s">
        <v>194</v>
      </c>
      <c r="Q570" t="s">
        <v>526</v>
      </c>
      <c r="R570" t="s">
        <v>3108</v>
      </c>
      <c r="S570" t="s">
        <v>97</v>
      </c>
      <c r="T570" t="s">
        <v>518</v>
      </c>
      <c r="U570" t="s">
        <v>362</v>
      </c>
      <c r="V570" t="s">
        <v>42</v>
      </c>
    </row>
    <row r="571" spans="1:22" x14ac:dyDescent="0.3">
      <c r="A571" t="s">
        <v>3109</v>
      </c>
      <c r="B571" t="s">
        <v>279</v>
      </c>
      <c r="C571" t="s">
        <v>280</v>
      </c>
      <c r="D571" t="s">
        <v>920</v>
      </c>
      <c r="E571" t="s">
        <v>161</v>
      </c>
      <c r="F571" t="s">
        <v>161</v>
      </c>
      <c r="G571" t="s">
        <v>48</v>
      </c>
      <c r="H571" t="s">
        <v>268</v>
      </c>
      <c r="I571" t="s">
        <v>69</v>
      </c>
      <c r="J571" t="s">
        <v>30</v>
      </c>
      <c r="K571" t="s">
        <v>293</v>
      </c>
      <c r="L571" t="s">
        <v>269</v>
      </c>
      <c r="M571" t="s">
        <v>1029</v>
      </c>
      <c r="N571" t="s">
        <v>468</v>
      </c>
      <c r="O571" t="s">
        <v>431</v>
      </c>
      <c r="P571" t="s">
        <v>1680</v>
      </c>
      <c r="Q571" t="s">
        <v>543</v>
      </c>
      <c r="R571" t="s">
        <v>3110</v>
      </c>
      <c r="S571" t="s">
        <v>126</v>
      </c>
      <c r="T571" t="s">
        <v>80</v>
      </c>
      <c r="U571" t="s">
        <v>349</v>
      </c>
      <c r="V571" t="s">
        <v>79</v>
      </c>
    </row>
    <row r="572" spans="1:22" x14ac:dyDescent="0.3">
      <c r="A572" t="s">
        <v>3111</v>
      </c>
      <c r="B572" t="s">
        <v>2057</v>
      </c>
      <c r="C572" t="s">
        <v>2058</v>
      </c>
      <c r="D572" t="s">
        <v>3112</v>
      </c>
      <c r="E572" t="s">
        <v>227</v>
      </c>
      <c r="F572" t="s">
        <v>228</v>
      </c>
      <c r="G572" t="s">
        <v>580</v>
      </c>
      <c r="H572" t="s">
        <v>214</v>
      </c>
      <c r="I572" t="s">
        <v>69</v>
      </c>
      <c r="J572" t="s">
        <v>70</v>
      </c>
      <c r="K572" t="s">
        <v>293</v>
      </c>
      <c r="L572" t="s">
        <v>119</v>
      </c>
      <c r="M572" t="s">
        <v>850</v>
      </c>
      <c r="N572" t="s">
        <v>179</v>
      </c>
      <c r="O572" t="s">
        <v>850</v>
      </c>
      <c r="P572" t="s">
        <v>977</v>
      </c>
      <c r="Q572" t="s">
        <v>908</v>
      </c>
      <c r="R572" t="s">
        <v>3113</v>
      </c>
      <c r="S572" t="s">
        <v>39</v>
      </c>
      <c r="T572" t="s">
        <v>440</v>
      </c>
      <c r="U572" t="s">
        <v>508</v>
      </c>
      <c r="V572" t="s">
        <v>58</v>
      </c>
    </row>
    <row r="573" spans="1:22" x14ac:dyDescent="0.3">
      <c r="A573" t="s">
        <v>3114</v>
      </c>
      <c r="B573" t="s">
        <v>1195</v>
      </c>
      <c r="C573" t="s">
        <v>1196</v>
      </c>
      <c r="D573" t="s">
        <v>3115</v>
      </c>
      <c r="E573" t="s">
        <v>730</v>
      </c>
      <c r="F573" t="s">
        <v>26</v>
      </c>
      <c r="G573" t="s">
        <v>118</v>
      </c>
      <c r="H573" t="s">
        <v>214</v>
      </c>
      <c r="I573" t="s">
        <v>29</v>
      </c>
      <c r="J573" t="s">
        <v>30</v>
      </c>
      <c r="K573" t="s">
        <v>50</v>
      </c>
      <c r="L573" t="s">
        <v>1022</v>
      </c>
      <c r="M573" t="s">
        <v>1322</v>
      </c>
      <c r="N573" t="s">
        <v>499</v>
      </c>
      <c r="O573" t="s">
        <v>259</v>
      </c>
      <c r="P573" t="s">
        <v>167</v>
      </c>
      <c r="Q573" t="s">
        <v>452</v>
      </c>
      <c r="R573" t="s">
        <v>3116</v>
      </c>
      <c r="S573" t="s">
        <v>39</v>
      </c>
      <c r="T573" t="s">
        <v>770</v>
      </c>
      <c r="U573" t="s">
        <v>128</v>
      </c>
      <c r="V573" t="s">
        <v>114</v>
      </c>
    </row>
    <row r="574" spans="1:22" x14ac:dyDescent="0.3">
      <c r="A574" t="s">
        <v>3117</v>
      </c>
      <c r="B574" t="s">
        <v>3118</v>
      </c>
      <c r="C574" t="s">
        <v>3119</v>
      </c>
      <c r="D574" t="s">
        <v>1146</v>
      </c>
      <c r="E574" t="s">
        <v>282</v>
      </c>
      <c r="F574" t="s">
        <v>282</v>
      </c>
      <c r="G574" t="s">
        <v>67</v>
      </c>
      <c r="H574" t="s">
        <v>229</v>
      </c>
      <c r="I574" t="s">
        <v>69</v>
      </c>
      <c r="J574" t="s">
        <v>162</v>
      </c>
      <c r="K574" t="s">
        <v>31</v>
      </c>
      <c r="L574" t="s">
        <v>871</v>
      </c>
      <c r="M574" t="s">
        <v>2541</v>
      </c>
      <c r="N574" t="s">
        <v>2037</v>
      </c>
      <c r="O574" t="s">
        <v>1777</v>
      </c>
      <c r="P574" t="s">
        <v>2299</v>
      </c>
      <c r="Q574" t="s">
        <v>2501</v>
      </c>
      <c r="R574" t="s">
        <v>3120</v>
      </c>
      <c r="S574" t="s">
        <v>97</v>
      </c>
      <c r="T574" t="s">
        <v>326</v>
      </c>
      <c r="U574" t="s">
        <v>288</v>
      </c>
      <c r="V574" t="s">
        <v>114</v>
      </c>
    </row>
    <row r="575" spans="1:22" x14ac:dyDescent="0.3">
      <c r="A575" t="s">
        <v>3121</v>
      </c>
      <c r="B575" t="s">
        <v>1701</v>
      </c>
      <c r="C575" t="s">
        <v>1702</v>
      </c>
      <c r="D575" t="s">
        <v>2466</v>
      </c>
      <c r="E575" t="s">
        <v>26</v>
      </c>
      <c r="F575" t="s">
        <v>26</v>
      </c>
      <c r="G575" t="s">
        <v>48</v>
      </c>
      <c r="H575" t="s">
        <v>68</v>
      </c>
      <c r="I575" t="s">
        <v>29</v>
      </c>
      <c r="J575" t="s">
        <v>70</v>
      </c>
      <c r="K575" t="s">
        <v>245</v>
      </c>
      <c r="L575" t="s">
        <v>1295</v>
      </c>
      <c r="M575" t="s">
        <v>693</v>
      </c>
      <c r="N575" t="s">
        <v>328</v>
      </c>
      <c r="O575" t="s">
        <v>527</v>
      </c>
      <c r="P575" t="s">
        <v>685</v>
      </c>
      <c r="Q575" t="s">
        <v>770</v>
      </c>
      <c r="R575" t="s">
        <v>3122</v>
      </c>
      <c r="S575" t="s">
        <v>58</v>
      </c>
      <c r="T575" t="s">
        <v>308</v>
      </c>
      <c r="U575" t="s">
        <v>41</v>
      </c>
      <c r="V575" t="s">
        <v>58</v>
      </c>
    </row>
    <row r="576" spans="1:22" x14ac:dyDescent="0.3">
      <c r="A576" t="s">
        <v>3123</v>
      </c>
      <c r="B576" t="s">
        <v>444</v>
      </c>
      <c r="C576" t="s">
        <v>445</v>
      </c>
      <c r="D576" t="s">
        <v>2715</v>
      </c>
      <c r="E576" t="s">
        <v>160</v>
      </c>
      <c r="F576" t="s">
        <v>161</v>
      </c>
      <c r="G576" t="s">
        <v>213</v>
      </c>
      <c r="H576" t="s">
        <v>68</v>
      </c>
      <c r="I576" t="s">
        <v>29</v>
      </c>
      <c r="J576" t="s">
        <v>30</v>
      </c>
      <c r="K576" t="s">
        <v>215</v>
      </c>
      <c r="L576" t="s">
        <v>362</v>
      </c>
      <c r="M576" t="s">
        <v>1927</v>
      </c>
      <c r="N576" t="s">
        <v>1230</v>
      </c>
      <c r="O576" t="s">
        <v>3124</v>
      </c>
      <c r="P576" t="s">
        <v>220</v>
      </c>
      <c r="Q576" t="s">
        <v>1106</v>
      </c>
      <c r="R576" t="s">
        <v>3125</v>
      </c>
      <c r="S576" t="s">
        <v>79</v>
      </c>
      <c r="T576" t="s">
        <v>361</v>
      </c>
      <c r="U576" t="s">
        <v>407</v>
      </c>
      <c r="V576" t="s">
        <v>114</v>
      </c>
    </row>
    <row r="577" spans="1:22" x14ac:dyDescent="0.3">
      <c r="A577" t="s">
        <v>3126</v>
      </c>
      <c r="B577" t="s">
        <v>2163</v>
      </c>
      <c r="C577" t="s">
        <v>2164</v>
      </c>
      <c r="D577" t="s">
        <v>1871</v>
      </c>
      <c r="E577" t="s">
        <v>672</v>
      </c>
      <c r="F577" t="s">
        <v>244</v>
      </c>
      <c r="G577" t="s">
        <v>67</v>
      </c>
      <c r="H577" t="s">
        <v>68</v>
      </c>
      <c r="I577" t="s">
        <v>69</v>
      </c>
      <c r="J577" t="s">
        <v>70</v>
      </c>
      <c r="K577" t="s">
        <v>230</v>
      </c>
      <c r="L577" t="s">
        <v>428</v>
      </c>
      <c r="M577" t="s">
        <v>506</v>
      </c>
      <c r="N577" t="s">
        <v>179</v>
      </c>
      <c r="O577" t="s">
        <v>506</v>
      </c>
      <c r="P577" t="s">
        <v>1491</v>
      </c>
      <c r="Q577" t="s">
        <v>310</v>
      </c>
      <c r="R577" t="s">
        <v>3127</v>
      </c>
      <c r="S577" t="s">
        <v>39</v>
      </c>
      <c r="T577" t="s">
        <v>191</v>
      </c>
      <c r="U577" t="s">
        <v>60</v>
      </c>
      <c r="V577" t="s">
        <v>114</v>
      </c>
    </row>
    <row r="578" spans="1:22" x14ac:dyDescent="0.3">
      <c r="A578" t="s">
        <v>3128</v>
      </c>
      <c r="B578" t="s">
        <v>943</v>
      </c>
      <c r="C578" t="s">
        <v>944</v>
      </c>
      <c r="D578" t="s">
        <v>3129</v>
      </c>
      <c r="E578" t="s">
        <v>354</v>
      </c>
      <c r="F578" t="s">
        <v>134</v>
      </c>
      <c r="G578" t="s">
        <v>580</v>
      </c>
      <c r="H578" t="s">
        <v>88</v>
      </c>
      <c r="I578" t="s">
        <v>29</v>
      </c>
      <c r="J578" t="s">
        <v>30</v>
      </c>
      <c r="K578" t="s">
        <v>230</v>
      </c>
      <c r="L578" t="s">
        <v>1139</v>
      </c>
      <c r="M578" t="s">
        <v>527</v>
      </c>
      <c r="N578" t="s">
        <v>321</v>
      </c>
      <c r="O578" t="s">
        <v>2716</v>
      </c>
      <c r="P578" t="s">
        <v>164</v>
      </c>
      <c r="Q578" t="s">
        <v>770</v>
      </c>
      <c r="R578" t="s">
        <v>3130</v>
      </c>
      <c r="T578" t="s">
        <v>142</v>
      </c>
      <c r="U578" t="s">
        <v>472</v>
      </c>
      <c r="V578" t="s">
        <v>79</v>
      </c>
    </row>
    <row r="579" spans="1:22" x14ac:dyDescent="0.3">
      <c r="A579" t="s">
        <v>3131</v>
      </c>
      <c r="B579" t="s">
        <v>44</v>
      </c>
      <c r="C579" t="s">
        <v>45</v>
      </c>
      <c r="D579" t="s">
        <v>3132</v>
      </c>
      <c r="E579" t="s">
        <v>354</v>
      </c>
      <c r="F579" t="s">
        <v>134</v>
      </c>
      <c r="G579" t="s">
        <v>27</v>
      </c>
      <c r="H579" t="s">
        <v>88</v>
      </c>
      <c r="I579" t="s">
        <v>29</v>
      </c>
      <c r="J579" t="s">
        <v>30</v>
      </c>
      <c r="K579" t="s">
        <v>245</v>
      </c>
      <c r="L579" t="s">
        <v>812</v>
      </c>
      <c r="M579" t="s">
        <v>368</v>
      </c>
      <c r="N579" t="s">
        <v>179</v>
      </c>
      <c r="O579" t="s">
        <v>368</v>
      </c>
      <c r="P579" t="s">
        <v>76</v>
      </c>
      <c r="Q579" t="s">
        <v>1509</v>
      </c>
      <c r="R579" t="s">
        <v>3133</v>
      </c>
      <c r="S579" t="s">
        <v>79</v>
      </c>
      <c r="T579" t="s">
        <v>695</v>
      </c>
      <c r="U579" t="s">
        <v>537</v>
      </c>
      <c r="V579" t="s">
        <v>58</v>
      </c>
    </row>
    <row r="580" spans="1:22" x14ac:dyDescent="0.3">
      <c r="A580" t="s">
        <v>3134</v>
      </c>
      <c r="B580" t="s">
        <v>1007</v>
      </c>
      <c r="C580" t="s">
        <v>1008</v>
      </c>
      <c r="D580" t="s">
        <v>3135</v>
      </c>
      <c r="E580" t="s">
        <v>66</v>
      </c>
      <c r="F580" t="s">
        <v>66</v>
      </c>
      <c r="G580" t="s">
        <v>147</v>
      </c>
      <c r="H580" t="s">
        <v>68</v>
      </c>
      <c r="I580" t="s">
        <v>69</v>
      </c>
      <c r="J580" t="s">
        <v>70</v>
      </c>
      <c r="K580" t="s">
        <v>50</v>
      </c>
      <c r="L580" t="s">
        <v>766</v>
      </c>
      <c r="M580" t="s">
        <v>284</v>
      </c>
      <c r="N580" t="s">
        <v>74</v>
      </c>
      <c r="O580" t="s">
        <v>3136</v>
      </c>
      <c r="P580" t="s">
        <v>1517</v>
      </c>
      <c r="Q580" t="s">
        <v>798</v>
      </c>
      <c r="R580" t="s">
        <v>3137</v>
      </c>
      <c r="S580" t="s">
        <v>79</v>
      </c>
      <c r="T580" t="s">
        <v>452</v>
      </c>
      <c r="U580" t="s">
        <v>867</v>
      </c>
      <c r="V580" t="s">
        <v>42</v>
      </c>
    </row>
    <row r="581" spans="1:22" x14ac:dyDescent="0.3">
      <c r="A581" t="s">
        <v>3138</v>
      </c>
      <c r="B581" t="s">
        <v>962</v>
      </c>
      <c r="C581" t="s">
        <v>963</v>
      </c>
      <c r="D581" t="s">
        <v>2574</v>
      </c>
      <c r="E581" t="s">
        <v>438</v>
      </c>
      <c r="F581" t="s">
        <v>188</v>
      </c>
      <c r="G581" t="s">
        <v>118</v>
      </c>
      <c r="H581" t="s">
        <v>104</v>
      </c>
      <c r="I581" t="s">
        <v>29</v>
      </c>
      <c r="J581" t="s">
        <v>70</v>
      </c>
      <c r="K581" t="s">
        <v>293</v>
      </c>
      <c r="L581" t="s">
        <v>201</v>
      </c>
      <c r="M581" t="s">
        <v>3139</v>
      </c>
      <c r="N581" t="s">
        <v>179</v>
      </c>
      <c r="O581" t="s">
        <v>3139</v>
      </c>
      <c r="P581" t="s">
        <v>976</v>
      </c>
      <c r="Q581" t="s">
        <v>693</v>
      </c>
      <c r="R581" t="s">
        <v>2842</v>
      </c>
      <c r="S581" t="s">
        <v>39</v>
      </c>
      <c r="T581" t="s">
        <v>714</v>
      </c>
      <c r="U581" t="s">
        <v>128</v>
      </c>
      <c r="V581" t="s">
        <v>42</v>
      </c>
    </row>
    <row r="582" spans="1:22" x14ac:dyDescent="0.3">
      <c r="A582" t="s">
        <v>3140</v>
      </c>
      <c r="B582" t="s">
        <v>484</v>
      </c>
      <c r="C582" t="s">
        <v>485</v>
      </c>
      <c r="D582" t="s">
        <v>3141</v>
      </c>
      <c r="E582" t="s">
        <v>160</v>
      </c>
      <c r="F582" t="s">
        <v>161</v>
      </c>
      <c r="G582" t="s">
        <v>213</v>
      </c>
      <c r="H582" t="s">
        <v>214</v>
      </c>
      <c r="I582" t="s">
        <v>29</v>
      </c>
      <c r="J582" t="s">
        <v>30</v>
      </c>
      <c r="K582" t="s">
        <v>230</v>
      </c>
      <c r="L582" t="s">
        <v>1394</v>
      </c>
      <c r="M582" t="s">
        <v>998</v>
      </c>
      <c r="N582" t="s">
        <v>179</v>
      </c>
      <c r="O582" t="s">
        <v>998</v>
      </c>
      <c r="P582" t="s">
        <v>218</v>
      </c>
      <c r="Q582" t="s">
        <v>347</v>
      </c>
      <c r="R582" t="s">
        <v>3142</v>
      </c>
      <c r="S582" t="s">
        <v>97</v>
      </c>
      <c r="T582" t="s">
        <v>191</v>
      </c>
      <c r="U582" t="s">
        <v>171</v>
      </c>
      <c r="V582" t="s">
        <v>58</v>
      </c>
    </row>
    <row r="583" spans="1:22" x14ac:dyDescent="0.3">
      <c r="A583" t="s">
        <v>3143</v>
      </c>
      <c r="B583" t="s">
        <v>962</v>
      </c>
      <c r="C583" t="s">
        <v>963</v>
      </c>
      <c r="D583" t="s">
        <v>2788</v>
      </c>
      <c r="E583" t="s">
        <v>399</v>
      </c>
      <c r="F583" t="s">
        <v>188</v>
      </c>
      <c r="G583" t="s">
        <v>27</v>
      </c>
      <c r="H583" t="s">
        <v>1175</v>
      </c>
      <c r="I583" t="s">
        <v>29</v>
      </c>
      <c r="J583" t="s">
        <v>30</v>
      </c>
      <c r="K583" t="s">
        <v>230</v>
      </c>
      <c r="L583" t="s">
        <v>148</v>
      </c>
      <c r="M583" t="s">
        <v>3144</v>
      </c>
      <c r="N583" t="s">
        <v>286</v>
      </c>
      <c r="O583" t="s">
        <v>3145</v>
      </c>
      <c r="P583" t="s">
        <v>683</v>
      </c>
      <c r="Q583" t="s">
        <v>553</v>
      </c>
      <c r="R583" t="s">
        <v>3146</v>
      </c>
      <c r="S583" t="s">
        <v>182</v>
      </c>
      <c r="T583" t="s">
        <v>208</v>
      </c>
      <c r="U583" t="s">
        <v>288</v>
      </c>
      <c r="V583" t="s">
        <v>42</v>
      </c>
    </row>
    <row r="584" spans="1:22" x14ac:dyDescent="0.3">
      <c r="A584" t="s">
        <v>3147</v>
      </c>
      <c r="B584" t="s">
        <v>3148</v>
      </c>
      <c r="C584" t="s">
        <v>3149</v>
      </c>
      <c r="D584" t="s">
        <v>2935</v>
      </c>
      <c r="E584" t="s">
        <v>65</v>
      </c>
      <c r="F584" t="s">
        <v>66</v>
      </c>
      <c r="G584" t="s">
        <v>118</v>
      </c>
      <c r="H584" t="s">
        <v>28</v>
      </c>
      <c r="I584" t="s">
        <v>69</v>
      </c>
      <c r="J584" t="s">
        <v>70</v>
      </c>
      <c r="K584" t="s">
        <v>89</v>
      </c>
      <c r="L584" t="s">
        <v>362</v>
      </c>
      <c r="M584" t="s">
        <v>599</v>
      </c>
      <c r="N584" t="s">
        <v>179</v>
      </c>
      <c r="O584" t="s">
        <v>599</v>
      </c>
      <c r="P584" t="s">
        <v>535</v>
      </c>
      <c r="Q584" t="s">
        <v>382</v>
      </c>
      <c r="R584" t="s">
        <v>3150</v>
      </c>
      <c r="S584" t="s">
        <v>182</v>
      </c>
      <c r="T584" t="s">
        <v>1230</v>
      </c>
      <c r="U584" t="s">
        <v>472</v>
      </c>
      <c r="V584" t="s">
        <v>114</v>
      </c>
    </row>
    <row r="585" spans="1:22" x14ac:dyDescent="0.3">
      <c r="A585" t="s">
        <v>3151</v>
      </c>
      <c r="B585" t="s">
        <v>2822</v>
      </c>
      <c r="C585" t="s">
        <v>2823</v>
      </c>
      <c r="D585" t="s">
        <v>3152</v>
      </c>
      <c r="E585" t="s">
        <v>134</v>
      </c>
      <c r="F585" t="s">
        <v>134</v>
      </c>
      <c r="G585" t="s">
        <v>580</v>
      </c>
      <c r="H585" t="s">
        <v>268</v>
      </c>
      <c r="I585" t="s">
        <v>69</v>
      </c>
      <c r="J585" t="s">
        <v>30</v>
      </c>
      <c r="K585" t="s">
        <v>89</v>
      </c>
      <c r="L585" t="s">
        <v>231</v>
      </c>
      <c r="M585" t="s">
        <v>76</v>
      </c>
      <c r="N585" t="s">
        <v>53</v>
      </c>
      <c r="O585" t="s">
        <v>985</v>
      </c>
      <c r="P585" t="s">
        <v>441</v>
      </c>
      <c r="Q585" t="s">
        <v>710</v>
      </c>
      <c r="R585" t="s">
        <v>3153</v>
      </c>
      <c r="S585" t="s">
        <v>58</v>
      </c>
      <c r="T585" t="s">
        <v>1013</v>
      </c>
      <c r="U585" t="s">
        <v>362</v>
      </c>
      <c r="V585" t="s">
        <v>58</v>
      </c>
    </row>
    <row r="586" spans="1:22" x14ac:dyDescent="0.3">
      <c r="A586" t="s">
        <v>3154</v>
      </c>
      <c r="B586" t="s">
        <v>2627</v>
      </c>
      <c r="C586" t="s">
        <v>2628</v>
      </c>
      <c r="D586" t="s">
        <v>2810</v>
      </c>
      <c r="E586" t="s">
        <v>399</v>
      </c>
      <c r="F586" t="s">
        <v>188</v>
      </c>
      <c r="G586" t="s">
        <v>580</v>
      </c>
      <c r="H586" t="s">
        <v>214</v>
      </c>
      <c r="I586" t="s">
        <v>29</v>
      </c>
      <c r="J586" t="s">
        <v>162</v>
      </c>
      <c r="K586" t="s">
        <v>215</v>
      </c>
      <c r="L586" t="s">
        <v>269</v>
      </c>
      <c r="M586" t="s">
        <v>3155</v>
      </c>
      <c r="N586" t="s">
        <v>110</v>
      </c>
      <c r="O586" t="s">
        <v>3156</v>
      </c>
      <c r="P586" t="s">
        <v>3157</v>
      </c>
      <c r="Q586" t="s">
        <v>637</v>
      </c>
      <c r="R586" t="s">
        <v>3158</v>
      </c>
      <c r="S586" t="s">
        <v>79</v>
      </c>
      <c r="T586" t="s">
        <v>1028</v>
      </c>
      <c r="U586" t="s">
        <v>362</v>
      </c>
      <c r="V586" t="s">
        <v>58</v>
      </c>
    </row>
    <row r="587" spans="1:22" x14ac:dyDescent="0.3">
      <c r="A587" t="s">
        <v>3159</v>
      </c>
      <c r="B587" t="s">
        <v>3160</v>
      </c>
      <c r="C587" t="s">
        <v>3161</v>
      </c>
      <c r="D587" t="s">
        <v>2483</v>
      </c>
      <c r="E587" t="s">
        <v>134</v>
      </c>
      <c r="F587" t="s">
        <v>134</v>
      </c>
      <c r="G587" t="s">
        <v>580</v>
      </c>
      <c r="H587" t="s">
        <v>104</v>
      </c>
      <c r="I587" t="s">
        <v>2154</v>
      </c>
      <c r="J587" t="s">
        <v>30</v>
      </c>
      <c r="K587" t="s">
        <v>31</v>
      </c>
      <c r="L587" t="s">
        <v>487</v>
      </c>
      <c r="M587" t="s">
        <v>3162</v>
      </c>
      <c r="N587" t="s">
        <v>896</v>
      </c>
      <c r="O587" t="s">
        <v>3163</v>
      </c>
      <c r="P587" t="s">
        <v>3164</v>
      </c>
      <c r="Q587" t="s">
        <v>3165</v>
      </c>
      <c r="R587" t="s">
        <v>3166</v>
      </c>
      <c r="S587" t="s">
        <v>97</v>
      </c>
      <c r="T587" t="s">
        <v>1420</v>
      </c>
      <c r="U587" t="s">
        <v>113</v>
      </c>
      <c r="V587" t="s">
        <v>114</v>
      </c>
    </row>
    <row r="588" spans="1:22" x14ac:dyDescent="0.3">
      <c r="A588" t="s">
        <v>3167</v>
      </c>
      <c r="B588" t="s">
        <v>2856</v>
      </c>
      <c r="C588" t="s">
        <v>2857</v>
      </c>
      <c r="D588" t="s">
        <v>3168</v>
      </c>
      <c r="E588" t="s">
        <v>160</v>
      </c>
      <c r="F588" t="s">
        <v>161</v>
      </c>
      <c r="G588" t="s">
        <v>103</v>
      </c>
      <c r="H588" t="s">
        <v>88</v>
      </c>
      <c r="I588" t="s">
        <v>69</v>
      </c>
      <c r="J588" t="s">
        <v>30</v>
      </c>
      <c r="K588" t="s">
        <v>215</v>
      </c>
      <c r="L588" t="s">
        <v>487</v>
      </c>
      <c r="M588" t="s">
        <v>2378</v>
      </c>
      <c r="N588" t="s">
        <v>142</v>
      </c>
      <c r="O588" t="s">
        <v>2086</v>
      </c>
      <c r="P588" t="s">
        <v>1430</v>
      </c>
      <c r="Q588" t="s">
        <v>489</v>
      </c>
      <c r="R588" t="s">
        <v>3169</v>
      </c>
      <c r="S588" t="s">
        <v>97</v>
      </c>
      <c r="T588" t="s">
        <v>137</v>
      </c>
      <c r="U588" t="s">
        <v>362</v>
      </c>
      <c r="V588" t="s">
        <v>114</v>
      </c>
    </row>
    <row r="589" spans="1:22" x14ac:dyDescent="0.3">
      <c r="A589" t="s">
        <v>3170</v>
      </c>
      <c r="B589" t="s">
        <v>531</v>
      </c>
      <c r="C589" t="s">
        <v>532</v>
      </c>
      <c r="D589" t="s">
        <v>3171</v>
      </c>
      <c r="E589" t="s">
        <v>267</v>
      </c>
      <c r="F589" t="s">
        <v>66</v>
      </c>
      <c r="G589" t="s">
        <v>118</v>
      </c>
      <c r="H589" t="s">
        <v>88</v>
      </c>
      <c r="I589" t="s">
        <v>29</v>
      </c>
      <c r="J589" t="s">
        <v>30</v>
      </c>
      <c r="K589" t="s">
        <v>230</v>
      </c>
      <c r="L589" t="s">
        <v>90</v>
      </c>
      <c r="M589" t="s">
        <v>1127</v>
      </c>
      <c r="N589" t="s">
        <v>648</v>
      </c>
      <c r="O589" t="s">
        <v>1558</v>
      </c>
      <c r="P589" t="s">
        <v>250</v>
      </c>
      <c r="Q589" t="s">
        <v>1642</v>
      </c>
      <c r="R589" t="s">
        <v>3172</v>
      </c>
      <c r="S589" t="s">
        <v>39</v>
      </c>
      <c r="T589" t="s">
        <v>276</v>
      </c>
      <c r="U589" t="s">
        <v>98</v>
      </c>
      <c r="V589" t="s">
        <v>82</v>
      </c>
    </row>
    <row r="590" spans="1:22" x14ac:dyDescent="0.3">
      <c r="A590" t="s">
        <v>3173</v>
      </c>
      <c r="B590" t="s">
        <v>1251</v>
      </c>
      <c r="C590" t="s">
        <v>1252</v>
      </c>
      <c r="D590" t="s">
        <v>3174</v>
      </c>
      <c r="E590" t="s">
        <v>893</v>
      </c>
      <c r="F590" t="s">
        <v>188</v>
      </c>
      <c r="G590" t="s">
        <v>118</v>
      </c>
      <c r="H590" t="s">
        <v>229</v>
      </c>
      <c r="I590" t="s">
        <v>69</v>
      </c>
      <c r="J590" t="s">
        <v>70</v>
      </c>
      <c r="K590" t="s">
        <v>293</v>
      </c>
      <c r="L590" t="s">
        <v>201</v>
      </c>
      <c r="M590" t="s">
        <v>1633</v>
      </c>
      <c r="N590" t="s">
        <v>468</v>
      </c>
      <c r="O590" t="s">
        <v>683</v>
      </c>
      <c r="P590" t="s">
        <v>948</v>
      </c>
      <c r="Q590" t="s">
        <v>666</v>
      </c>
      <c r="R590" t="s">
        <v>2895</v>
      </c>
      <c r="S590" t="s">
        <v>97</v>
      </c>
      <c r="T590" t="s">
        <v>1043</v>
      </c>
      <c r="U590" t="s">
        <v>373</v>
      </c>
      <c r="V590" t="s">
        <v>79</v>
      </c>
    </row>
    <row r="591" spans="1:22" x14ac:dyDescent="0.3">
      <c r="A591" t="s">
        <v>3175</v>
      </c>
      <c r="B591" t="s">
        <v>2890</v>
      </c>
      <c r="C591" t="s">
        <v>2891</v>
      </c>
      <c r="D591" t="s">
        <v>3176</v>
      </c>
      <c r="E591" t="s">
        <v>378</v>
      </c>
      <c r="F591" t="s">
        <v>282</v>
      </c>
      <c r="G591" t="s">
        <v>580</v>
      </c>
      <c r="H591" t="s">
        <v>229</v>
      </c>
      <c r="I591" t="s">
        <v>69</v>
      </c>
      <c r="J591" t="s">
        <v>30</v>
      </c>
      <c r="K591" t="s">
        <v>71</v>
      </c>
      <c r="L591" t="s">
        <v>32</v>
      </c>
      <c r="M591" t="s">
        <v>1517</v>
      </c>
      <c r="N591" t="s">
        <v>261</v>
      </c>
      <c r="O591" t="s">
        <v>664</v>
      </c>
      <c r="P591" t="s">
        <v>2800</v>
      </c>
      <c r="Q591" t="s">
        <v>565</v>
      </c>
      <c r="R591" t="s">
        <v>3177</v>
      </c>
      <c r="S591" t="s">
        <v>58</v>
      </c>
      <c r="T591" t="s">
        <v>567</v>
      </c>
      <c r="U591" t="s">
        <v>98</v>
      </c>
      <c r="V591" t="s">
        <v>79</v>
      </c>
    </row>
    <row r="592" spans="1:22" x14ac:dyDescent="0.3">
      <c r="A592" t="s">
        <v>3178</v>
      </c>
      <c r="B592" t="s">
        <v>2915</v>
      </c>
      <c r="C592" t="s">
        <v>2916</v>
      </c>
      <c r="D592" t="s">
        <v>1021</v>
      </c>
      <c r="E592" t="s">
        <v>244</v>
      </c>
      <c r="F592" t="s">
        <v>244</v>
      </c>
      <c r="G592" t="s">
        <v>103</v>
      </c>
      <c r="H592" t="s">
        <v>3179</v>
      </c>
      <c r="I592" t="s">
        <v>69</v>
      </c>
      <c r="J592" t="s">
        <v>30</v>
      </c>
      <c r="K592" t="s">
        <v>215</v>
      </c>
      <c r="L592" t="s">
        <v>871</v>
      </c>
      <c r="M592" t="s">
        <v>3180</v>
      </c>
      <c r="N592" t="s">
        <v>179</v>
      </c>
      <c r="O592" t="s">
        <v>3180</v>
      </c>
      <c r="P592" t="s">
        <v>873</v>
      </c>
      <c r="Q592" t="s">
        <v>439</v>
      </c>
      <c r="R592" t="s">
        <v>3181</v>
      </c>
      <c r="S592" t="s">
        <v>126</v>
      </c>
      <c r="T592" t="s">
        <v>553</v>
      </c>
      <c r="U592" t="s">
        <v>98</v>
      </c>
      <c r="V592" t="s">
        <v>42</v>
      </c>
    </row>
    <row r="593" spans="1:22" x14ac:dyDescent="0.3">
      <c r="A593" t="s">
        <v>3182</v>
      </c>
      <c r="B593" t="s">
        <v>2669</v>
      </c>
      <c r="C593" t="s">
        <v>2670</v>
      </c>
      <c r="D593" t="s">
        <v>2290</v>
      </c>
      <c r="E593" t="s">
        <v>227</v>
      </c>
      <c r="F593" t="s">
        <v>228</v>
      </c>
      <c r="G593" t="s">
        <v>48</v>
      </c>
      <c r="H593" t="s">
        <v>68</v>
      </c>
      <c r="I593" t="s">
        <v>29</v>
      </c>
      <c r="J593" t="s">
        <v>257</v>
      </c>
      <c r="K593" t="s">
        <v>215</v>
      </c>
      <c r="L593" t="s">
        <v>773</v>
      </c>
      <c r="M593" t="s">
        <v>1302</v>
      </c>
      <c r="N593" t="s">
        <v>179</v>
      </c>
      <c r="O593" t="s">
        <v>1302</v>
      </c>
      <c r="P593" t="s">
        <v>1430</v>
      </c>
      <c r="Q593" t="s">
        <v>37</v>
      </c>
      <c r="R593" t="s">
        <v>3183</v>
      </c>
      <c r="S593" t="s">
        <v>182</v>
      </c>
      <c r="T593" t="s">
        <v>328</v>
      </c>
      <c r="U593" t="s">
        <v>349</v>
      </c>
      <c r="V593" t="s">
        <v>42</v>
      </c>
    </row>
    <row r="594" spans="1:22" x14ac:dyDescent="0.3">
      <c r="A594" t="s">
        <v>3184</v>
      </c>
      <c r="B594" t="s">
        <v>631</v>
      </c>
      <c r="C594" t="s">
        <v>632</v>
      </c>
      <c r="D594" t="s">
        <v>3185</v>
      </c>
      <c r="E594" t="s">
        <v>66</v>
      </c>
      <c r="F594" t="s">
        <v>66</v>
      </c>
      <c r="G594" t="s">
        <v>580</v>
      </c>
      <c r="H594" t="s">
        <v>49</v>
      </c>
      <c r="I594" t="s">
        <v>69</v>
      </c>
      <c r="J594" t="s">
        <v>30</v>
      </c>
      <c r="K594" t="s">
        <v>293</v>
      </c>
      <c r="L594" t="s">
        <v>663</v>
      </c>
      <c r="M594" t="s">
        <v>1647</v>
      </c>
      <c r="N594" t="s">
        <v>299</v>
      </c>
      <c r="O594" t="s">
        <v>1414</v>
      </c>
      <c r="P594" t="s">
        <v>404</v>
      </c>
      <c r="Q594" t="s">
        <v>127</v>
      </c>
      <c r="R594" t="s">
        <v>3186</v>
      </c>
      <c r="S594" t="s">
        <v>126</v>
      </c>
      <c r="T594" t="s">
        <v>610</v>
      </c>
      <c r="U594" t="s">
        <v>407</v>
      </c>
      <c r="V594" t="s">
        <v>79</v>
      </c>
    </row>
    <row r="595" spans="1:22" x14ac:dyDescent="0.3">
      <c r="A595" t="s">
        <v>3187</v>
      </c>
      <c r="B595" t="s">
        <v>2191</v>
      </c>
      <c r="C595" t="s">
        <v>2192</v>
      </c>
      <c r="D595" t="s">
        <v>3188</v>
      </c>
      <c r="E595" t="s">
        <v>65</v>
      </c>
      <c r="F595" t="s">
        <v>66</v>
      </c>
      <c r="G595" t="s">
        <v>147</v>
      </c>
      <c r="H595" t="s">
        <v>49</v>
      </c>
      <c r="I595" t="s">
        <v>29</v>
      </c>
      <c r="J595" t="s">
        <v>30</v>
      </c>
      <c r="K595" t="s">
        <v>230</v>
      </c>
      <c r="L595" t="s">
        <v>1611</v>
      </c>
      <c r="M595" t="s">
        <v>2536</v>
      </c>
      <c r="N595" t="s">
        <v>179</v>
      </c>
      <c r="O595" t="s">
        <v>2536</v>
      </c>
      <c r="P595" t="s">
        <v>73</v>
      </c>
      <c r="Q595" t="s">
        <v>390</v>
      </c>
      <c r="R595" t="s">
        <v>3189</v>
      </c>
      <c r="S595" t="s">
        <v>39</v>
      </c>
      <c r="T595" t="s">
        <v>648</v>
      </c>
      <c r="U595" t="s">
        <v>394</v>
      </c>
      <c r="V595" t="s">
        <v>79</v>
      </c>
    </row>
    <row r="596" spans="1:22" x14ac:dyDescent="0.3">
      <c r="A596" t="s">
        <v>3190</v>
      </c>
      <c r="B596" t="s">
        <v>1960</v>
      </c>
      <c r="C596" t="s">
        <v>1961</v>
      </c>
      <c r="D596" t="s">
        <v>3050</v>
      </c>
      <c r="E596" t="s">
        <v>243</v>
      </c>
      <c r="F596" t="s">
        <v>244</v>
      </c>
      <c r="G596" t="s">
        <v>580</v>
      </c>
      <c r="H596" t="s">
        <v>268</v>
      </c>
      <c r="I596" t="s">
        <v>69</v>
      </c>
      <c r="J596" t="s">
        <v>30</v>
      </c>
      <c r="K596" t="s">
        <v>50</v>
      </c>
      <c r="L596" t="s">
        <v>105</v>
      </c>
      <c r="M596" t="s">
        <v>3191</v>
      </c>
      <c r="N596" t="s">
        <v>179</v>
      </c>
      <c r="O596" t="s">
        <v>3191</v>
      </c>
      <c r="P596" t="s">
        <v>1273</v>
      </c>
      <c r="Q596" t="s">
        <v>545</v>
      </c>
      <c r="R596" t="s">
        <v>3192</v>
      </c>
      <c r="S596" t="s">
        <v>126</v>
      </c>
      <c r="T596" t="s">
        <v>499</v>
      </c>
      <c r="U596" t="s">
        <v>81</v>
      </c>
      <c r="V596" t="s">
        <v>114</v>
      </c>
    </row>
    <row r="597" spans="1:22" x14ac:dyDescent="0.3">
      <c r="A597" t="s">
        <v>3193</v>
      </c>
      <c r="B597" t="s">
        <v>279</v>
      </c>
      <c r="C597" t="s">
        <v>280</v>
      </c>
      <c r="D597" t="s">
        <v>3194</v>
      </c>
      <c r="E597" t="s">
        <v>26</v>
      </c>
      <c r="F597" t="s">
        <v>26</v>
      </c>
      <c r="G597" t="s">
        <v>580</v>
      </c>
      <c r="H597" t="s">
        <v>28</v>
      </c>
      <c r="I597" t="s">
        <v>69</v>
      </c>
      <c r="J597" t="s">
        <v>30</v>
      </c>
      <c r="K597" t="s">
        <v>71</v>
      </c>
      <c r="L597" t="s">
        <v>1022</v>
      </c>
      <c r="M597" t="s">
        <v>702</v>
      </c>
      <c r="N597" t="s">
        <v>179</v>
      </c>
      <c r="O597" t="s">
        <v>702</v>
      </c>
      <c r="P597" t="s">
        <v>2258</v>
      </c>
      <c r="Q597" t="s">
        <v>1509</v>
      </c>
      <c r="R597" t="s">
        <v>3195</v>
      </c>
      <c r="S597" t="s">
        <v>97</v>
      </c>
      <c r="T597" t="s">
        <v>675</v>
      </c>
      <c r="U597" t="s">
        <v>41</v>
      </c>
      <c r="V597" t="s">
        <v>58</v>
      </c>
    </row>
    <row r="598" spans="1:22" x14ac:dyDescent="0.3">
      <c r="A598" t="s">
        <v>3196</v>
      </c>
      <c r="B598" t="s">
        <v>1869</v>
      </c>
      <c r="C598" t="s">
        <v>1870</v>
      </c>
      <c r="D598" t="s">
        <v>3197</v>
      </c>
      <c r="E598" t="s">
        <v>26</v>
      </c>
      <c r="F598" t="s">
        <v>26</v>
      </c>
      <c r="G598" t="s">
        <v>118</v>
      </c>
      <c r="H598" t="s">
        <v>214</v>
      </c>
      <c r="I598" t="s">
        <v>29</v>
      </c>
      <c r="J598" t="s">
        <v>70</v>
      </c>
      <c r="K598" t="s">
        <v>293</v>
      </c>
      <c r="L598" t="s">
        <v>719</v>
      </c>
      <c r="M598" t="s">
        <v>2274</v>
      </c>
      <c r="N598" t="s">
        <v>1230</v>
      </c>
      <c r="O598" t="s">
        <v>450</v>
      </c>
      <c r="P598" t="s">
        <v>381</v>
      </c>
      <c r="Q598" t="s">
        <v>693</v>
      </c>
      <c r="R598" t="s">
        <v>3198</v>
      </c>
      <c r="S598" t="s">
        <v>39</v>
      </c>
      <c r="T598" t="s">
        <v>233</v>
      </c>
      <c r="U598" t="s">
        <v>373</v>
      </c>
      <c r="V598" t="s">
        <v>42</v>
      </c>
    </row>
    <row r="599" spans="1:22" x14ac:dyDescent="0.3">
      <c r="A599" t="s">
        <v>3199</v>
      </c>
      <c r="B599" t="s">
        <v>3200</v>
      </c>
      <c r="C599" t="s">
        <v>3201</v>
      </c>
      <c r="D599" t="s">
        <v>2023</v>
      </c>
      <c r="E599" t="s">
        <v>66</v>
      </c>
      <c r="F599" t="s">
        <v>66</v>
      </c>
      <c r="G599" t="s">
        <v>118</v>
      </c>
      <c r="H599" t="s">
        <v>49</v>
      </c>
      <c r="I599" t="s">
        <v>29</v>
      </c>
      <c r="J599" t="s">
        <v>70</v>
      </c>
      <c r="K599" t="s">
        <v>230</v>
      </c>
      <c r="L599" t="s">
        <v>598</v>
      </c>
      <c r="M599" t="s">
        <v>1681</v>
      </c>
      <c r="N599" t="s">
        <v>179</v>
      </c>
      <c r="O599" t="s">
        <v>1681</v>
      </c>
      <c r="P599" t="s">
        <v>2501</v>
      </c>
      <c r="Q599" t="s">
        <v>966</v>
      </c>
      <c r="R599" t="s">
        <v>3202</v>
      </c>
      <c r="S599" t="s">
        <v>79</v>
      </c>
      <c r="T599" t="s">
        <v>261</v>
      </c>
      <c r="U599" t="s">
        <v>867</v>
      </c>
      <c r="V599" t="s">
        <v>82</v>
      </c>
    </row>
    <row r="600" spans="1:22" x14ac:dyDescent="0.3">
      <c r="A600" t="s">
        <v>3203</v>
      </c>
      <c r="B600" t="s">
        <v>3204</v>
      </c>
      <c r="C600" t="s">
        <v>3205</v>
      </c>
      <c r="D600" t="s">
        <v>2221</v>
      </c>
      <c r="E600" t="s">
        <v>65</v>
      </c>
      <c r="F600" t="s">
        <v>66</v>
      </c>
      <c r="G600" t="s">
        <v>213</v>
      </c>
      <c r="H600" t="s">
        <v>68</v>
      </c>
      <c r="I600" t="s">
        <v>69</v>
      </c>
      <c r="J600" t="s">
        <v>70</v>
      </c>
      <c r="K600" t="s">
        <v>245</v>
      </c>
      <c r="L600" t="s">
        <v>177</v>
      </c>
      <c r="M600" t="s">
        <v>1612</v>
      </c>
      <c r="N600" t="s">
        <v>40</v>
      </c>
      <c r="O600" t="s">
        <v>1613</v>
      </c>
      <c r="P600" t="s">
        <v>2921</v>
      </c>
      <c r="Q600" t="s">
        <v>1745</v>
      </c>
      <c r="R600" t="s">
        <v>3206</v>
      </c>
      <c r="S600" t="s">
        <v>126</v>
      </c>
      <c r="T600" t="s">
        <v>54</v>
      </c>
      <c r="U600" t="s">
        <v>362</v>
      </c>
      <c r="V600" t="s">
        <v>42</v>
      </c>
    </row>
    <row r="601" spans="1:22" x14ac:dyDescent="0.3">
      <c r="A601" t="s">
        <v>3207</v>
      </c>
      <c r="B601" t="s">
        <v>3208</v>
      </c>
      <c r="C601" t="s">
        <v>3209</v>
      </c>
      <c r="D601" t="s">
        <v>476</v>
      </c>
      <c r="E601" t="s">
        <v>243</v>
      </c>
      <c r="F601" t="s">
        <v>244</v>
      </c>
      <c r="G601" t="s">
        <v>118</v>
      </c>
      <c r="H601" t="s">
        <v>268</v>
      </c>
      <c r="I601" t="s">
        <v>69</v>
      </c>
      <c r="J601" t="s">
        <v>30</v>
      </c>
      <c r="K601" t="s">
        <v>50</v>
      </c>
      <c r="L601" t="s">
        <v>294</v>
      </c>
      <c r="M601" t="s">
        <v>2386</v>
      </c>
      <c r="N601" t="s">
        <v>1237</v>
      </c>
      <c r="O601" t="s">
        <v>3210</v>
      </c>
      <c r="P601" t="s">
        <v>3211</v>
      </c>
      <c r="Q601" t="s">
        <v>856</v>
      </c>
      <c r="R601" t="s">
        <v>3212</v>
      </c>
      <c r="S601" t="s">
        <v>79</v>
      </c>
      <c r="T601" t="s">
        <v>518</v>
      </c>
      <c r="U601" t="s">
        <v>362</v>
      </c>
      <c r="V601" t="s">
        <v>82</v>
      </c>
    </row>
    <row r="602" spans="1:22" x14ac:dyDescent="0.3">
      <c r="A602" t="s">
        <v>3213</v>
      </c>
      <c r="B602" t="s">
        <v>1520</v>
      </c>
      <c r="C602" t="s">
        <v>1521</v>
      </c>
      <c r="D602" t="s">
        <v>3214</v>
      </c>
      <c r="E602" t="s">
        <v>417</v>
      </c>
      <c r="F602" t="s">
        <v>134</v>
      </c>
      <c r="G602" t="s">
        <v>580</v>
      </c>
      <c r="H602" t="s">
        <v>88</v>
      </c>
      <c r="I602" t="s">
        <v>29</v>
      </c>
      <c r="J602" t="s">
        <v>30</v>
      </c>
      <c r="K602" t="s">
        <v>230</v>
      </c>
      <c r="L602" t="s">
        <v>663</v>
      </c>
      <c r="M602" t="s">
        <v>1272</v>
      </c>
      <c r="N602" t="s">
        <v>604</v>
      </c>
      <c r="O602" t="s">
        <v>296</v>
      </c>
      <c r="P602" t="s">
        <v>565</v>
      </c>
      <c r="Q602" t="s">
        <v>439</v>
      </c>
      <c r="R602" t="s">
        <v>3215</v>
      </c>
      <c r="S602" t="s">
        <v>79</v>
      </c>
      <c r="T602" t="s">
        <v>499</v>
      </c>
      <c r="U602" t="s">
        <v>362</v>
      </c>
      <c r="V602" t="s">
        <v>42</v>
      </c>
    </row>
    <row r="603" spans="1:22" x14ac:dyDescent="0.3">
      <c r="A603" t="s">
        <v>3216</v>
      </c>
      <c r="B603" t="s">
        <v>387</v>
      </c>
      <c r="C603" t="s">
        <v>388</v>
      </c>
      <c r="D603" t="s">
        <v>1548</v>
      </c>
      <c r="E603" t="s">
        <v>282</v>
      </c>
      <c r="F603" t="s">
        <v>282</v>
      </c>
      <c r="G603" t="s">
        <v>48</v>
      </c>
      <c r="H603" t="s">
        <v>28</v>
      </c>
      <c r="I603" t="s">
        <v>69</v>
      </c>
      <c r="J603" t="s">
        <v>30</v>
      </c>
      <c r="K603" t="s">
        <v>89</v>
      </c>
      <c r="L603" t="s">
        <v>561</v>
      </c>
      <c r="M603" t="s">
        <v>2507</v>
      </c>
      <c r="N603" t="s">
        <v>179</v>
      </c>
      <c r="O603" t="s">
        <v>2507</v>
      </c>
      <c r="P603" t="s">
        <v>1158</v>
      </c>
      <c r="Q603" t="s">
        <v>252</v>
      </c>
      <c r="R603" t="s">
        <v>3217</v>
      </c>
      <c r="S603" t="s">
        <v>79</v>
      </c>
      <c r="T603" t="s">
        <v>308</v>
      </c>
      <c r="U603" t="s">
        <v>407</v>
      </c>
      <c r="V603" t="s">
        <v>58</v>
      </c>
    </row>
    <row r="604" spans="1:22" x14ac:dyDescent="0.3">
      <c r="A604" t="s">
        <v>3218</v>
      </c>
      <c r="B604" t="s">
        <v>746</v>
      </c>
      <c r="C604" t="s">
        <v>747</v>
      </c>
      <c r="D604" t="s">
        <v>3219</v>
      </c>
      <c r="E604" t="s">
        <v>282</v>
      </c>
      <c r="F604" t="s">
        <v>282</v>
      </c>
      <c r="G604" t="s">
        <v>27</v>
      </c>
      <c r="H604" t="s">
        <v>214</v>
      </c>
      <c r="I604" t="s">
        <v>69</v>
      </c>
      <c r="J604" t="s">
        <v>30</v>
      </c>
      <c r="K604" t="s">
        <v>230</v>
      </c>
      <c r="L604" t="s">
        <v>362</v>
      </c>
      <c r="M604" t="s">
        <v>620</v>
      </c>
      <c r="N604" t="s">
        <v>621</v>
      </c>
      <c r="O604" t="s">
        <v>36</v>
      </c>
      <c r="P604" t="s">
        <v>977</v>
      </c>
      <c r="Q604" t="s">
        <v>2542</v>
      </c>
      <c r="R604" t="s">
        <v>3189</v>
      </c>
      <c r="S604" t="s">
        <v>182</v>
      </c>
      <c r="T604" t="s">
        <v>621</v>
      </c>
      <c r="U604" t="s">
        <v>98</v>
      </c>
      <c r="V604" t="s">
        <v>114</v>
      </c>
    </row>
    <row r="605" spans="1:22" x14ac:dyDescent="0.3">
      <c r="A605" t="s">
        <v>3220</v>
      </c>
      <c r="B605" t="s">
        <v>1417</v>
      </c>
      <c r="C605" t="s">
        <v>1418</v>
      </c>
      <c r="D605" t="s">
        <v>2106</v>
      </c>
      <c r="E605" t="s">
        <v>87</v>
      </c>
      <c r="F605" t="s">
        <v>26</v>
      </c>
      <c r="G605" t="s">
        <v>580</v>
      </c>
      <c r="H605" t="s">
        <v>214</v>
      </c>
      <c r="I605" t="s">
        <v>69</v>
      </c>
      <c r="J605" t="s">
        <v>30</v>
      </c>
      <c r="K605" t="s">
        <v>245</v>
      </c>
      <c r="L605" t="s">
        <v>258</v>
      </c>
      <c r="M605" t="s">
        <v>992</v>
      </c>
      <c r="N605" t="s">
        <v>1116</v>
      </c>
      <c r="O605" t="s">
        <v>1826</v>
      </c>
      <c r="P605" t="s">
        <v>259</v>
      </c>
      <c r="Q605" t="s">
        <v>1116</v>
      </c>
      <c r="R605" t="s">
        <v>3221</v>
      </c>
      <c r="S605" t="s">
        <v>79</v>
      </c>
      <c r="T605" t="s">
        <v>613</v>
      </c>
      <c r="U605" t="s">
        <v>362</v>
      </c>
      <c r="V605" t="s">
        <v>114</v>
      </c>
    </row>
    <row r="606" spans="1:22" x14ac:dyDescent="0.3">
      <c r="A606" t="s">
        <v>3222</v>
      </c>
      <c r="B606" t="s">
        <v>746</v>
      </c>
      <c r="C606" t="s">
        <v>747</v>
      </c>
      <c r="D606" t="s">
        <v>1930</v>
      </c>
      <c r="E606" t="s">
        <v>634</v>
      </c>
      <c r="F606" t="s">
        <v>228</v>
      </c>
      <c r="G606" t="s">
        <v>118</v>
      </c>
      <c r="H606" t="s">
        <v>214</v>
      </c>
      <c r="I606" t="s">
        <v>69</v>
      </c>
      <c r="J606" t="s">
        <v>30</v>
      </c>
      <c r="K606" t="s">
        <v>215</v>
      </c>
      <c r="L606" t="s">
        <v>561</v>
      </c>
      <c r="M606" t="s">
        <v>1377</v>
      </c>
      <c r="N606" t="s">
        <v>334</v>
      </c>
      <c r="O606" t="s">
        <v>930</v>
      </c>
      <c r="P606" t="s">
        <v>295</v>
      </c>
      <c r="Q606" t="s">
        <v>751</v>
      </c>
      <c r="R606" t="s">
        <v>3223</v>
      </c>
      <c r="S606" t="s">
        <v>58</v>
      </c>
      <c r="T606" t="s">
        <v>92</v>
      </c>
      <c r="U606" t="s">
        <v>373</v>
      </c>
      <c r="V606" t="s">
        <v>42</v>
      </c>
    </row>
    <row r="607" spans="1:22" x14ac:dyDescent="0.3">
      <c r="A607" t="s">
        <v>3224</v>
      </c>
      <c r="B607" t="s">
        <v>2871</v>
      </c>
      <c r="C607" t="s">
        <v>2872</v>
      </c>
      <c r="D607" t="s">
        <v>3225</v>
      </c>
      <c r="E607" t="s">
        <v>47</v>
      </c>
      <c r="F607" t="s">
        <v>26</v>
      </c>
      <c r="G607" t="s">
        <v>67</v>
      </c>
      <c r="H607" t="s">
        <v>3179</v>
      </c>
      <c r="I607" t="s">
        <v>69</v>
      </c>
      <c r="J607" t="s">
        <v>30</v>
      </c>
      <c r="K607" t="s">
        <v>215</v>
      </c>
      <c r="L607" t="s">
        <v>1987</v>
      </c>
      <c r="M607" t="s">
        <v>2319</v>
      </c>
      <c r="N607" t="s">
        <v>179</v>
      </c>
      <c r="O607" t="s">
        <v>2319</v>
      </c>
      <c r="P607" t="s">
        <v>921</v>
      </c>
      <c r="Q607" t="s">
        <v>1116</v>
      </c>
      <c r="R607" t="s">
        <v>3226</v>
      </c>
      <c r="S607" t="s">
        <v>182</v>
      </c>
      <c r="T607" t="s">
        <v>613</v>
      </c>
      <c r="U607" t="s">
        <v>60</v>
      </c>
      <c r="V607" t="s">
        <v>58</v>
      </c>
    </row>
    <row r="608" spans="1:22" x14ac:dyDescent="0.3">
      <c r="A608" t="s">
        <v>3227</v>
      </c>
      <c r="B608" t="s">
        <v>3228</v>
      </c>
      <c r="C608" t="s">
        <v>3229</v>
      </c>
      <c r="D608" t="s">
        <v>3230</v>
      </c>
      <c r="E608" t="s">
        <v>228</v>
      </c>
      <c r="F608" t="s">
        <v>228</v>
      </c>
      <c r="G608" t="s">
        <v>118</v>
      </c>
      <c r="H608" t="s">
        <v>104</v>
      </c>
      <c r="I608" t="s">
        <v>69</v>
      </c>
      <c r="J608" t="s">
        <v>70</v>
      </c>
      <c r="K608" t="s">
        <v>200</v>
      </c>
      <c r="L608" t="s">
        <v>362</v>
      </c>
      <c r="M608" t="s">
        <v>674</v>
      </c>
      <c r="N608" t="s">
        <v>121</v>
      </c>
      <c r="O608" t="s">
        <v>3231</v>
      </c>
      <c r="P608" t="s">
        <v>1790</v>
      </c>
      <c r="Q608" t="s">
        <v>358</v>
      </c>
      <c r="R608" t="s">
        <v>3232</v>
      </c>
      <c r="S608" t="s">
        <v>126</v>
      </c>
      <c r="T608" t="s">
        <v>1491</v>
      </c>
      <c r="U608" t="s">
        <v>238</v>
      </c>
      <c r="V608" t="s">
        <v>58</v>
      </c>
    </row>
    <row r="609" spans="1:22" x14ac:dyDescent="0.3">
      <c r="A609" t="s">
        <v>3233</v>
      </c>
      <c r="B609" t="s">
        <v>351</v>
      </c>
      <c r="C609" t="s">
        <v>352</v>
      </c>
      <c r="D609" t="s">
        <v>1966</v>
      </c>
      <c r="E609" t="s">
        <v>282</v>
      </c>
      <c r="F609" t="s">
        <v>282</v>
      </c>
      <c r="G609" t="s">
        <v>213</v>
      </c>
      <c r="H609" t="s">
        <v>214</v>
      </c>
      <c r="I609" t="s">
        <v>69</v>
      </c>
      <c r="J609" t="s">
        <v>30</v>
      </c>
      <c r="K609" t="s">
        <v>200</v>
      </c>
      <c r="L609" t="s">
        <v>902</v>
      </c>
      <c r="M609" t="s">
        <v>2997</v>
      </c>
      <c r="N609" t="s">
        <v>896</v>
      </c>
      <c r="O609" t="s">
        <v>1011</v>
      </c>
      <c r="P609" t="s">
        <v>1694</v>
      </c>
      <c r="Q609" t="s">
        <v>107</v>
      </c>
      <c r="R609" t="s">
        <v>3234</v>
      </c>
      <c r="S609" t="s">
        <v>58</v>
      </c>
      <c r="T609" t="s">
        <v>1230</v>
      </c>
      <c r="U609" t="s">
        <v>277</v>
      </c>
      <c r="V609" t="s">
        <v>42</v>
      </c>
    </row>
    <row r="610" spans="1:22" x14ac:dyDescent="0.3">
      <c r="A610" t="s">
        <v>3235</v>
      </c>
      <c r="B610" t="s">
        <v>3236</v>
      </c>
      <c r="C610" t="s">
        <v>3237</v>
      </c>
      <c r="D610" t="s">
        <v>1974</v>
      </c>
      <c r="E610" t="s">
        <v>399</v>
      </c>
      <c r="F610" t="s">
        <v>188</v>
      </c>
      <c r="G610" t="s">
        <v>118</v>
      </c>
      <c r="H610" t="s">
        <v>49</v>
      </c>
      <c r="I610" t="s">
        <v>29</v>
      </c>
      <c r="J610" t="s">
        <v>70</v>
      </c>
      <c r="K610" t="s">
        <v>200</v>
      </c>
      <c r="L610" t="s">
        <v>871</v>
      </c>
      <c r="M610" t="s">
        <v>149</v>
      </c>
      <c r="N610" t="s">
        <v>543</v>
      </c>
      <c r="O610" t="s">
        <v>1634</v>
      </c>
      <c r="P610" t="s">
        <v>1492</v>
      </c>
      <c r="Q610" t="s">
        <v>319</v>
      </c>
      <c r="R610" t="s">
        <v>3238</v>
      </c>
      <c r="S610" t="s">
        <v>79</v>
      </c>
      <c r="T610" t="s">
        <v>150</v>
      </c>
      <c r="U610" t="s">
        <v>98</v>
      </c>
      <c r="V610" t="s">
        <v>42</v>
      </c>
    </row>
    <row r="611" spans="1:22" x14ac:dyDescent="0.3">
      <c r="A611" t="s">
        <v>3239</v>
      </c>
      <c r="B611" t="s">
        <v>825</v>
      </c>
      <c r="C611" t="s">
        <v>826</v>
      </c>
      <c r="D611" t="s">
        <v>671</v>
      </c>
      <c r="E611" t="s">
        <v>282</v>
      </c>
      <c r="F611" t="s">
        <v>282</v>
      </c>
      <c r="G611" t="s">
        <v>580</v>
      </c>
      <c r="H611" t="s">
        <v>68</v>
      </c>
      <c r="I611" t="s">
        <v>29</v>
      </c>
      <c r="J611" t="s">
        <v>30</v>
      </c>
      <c r="K611" t="s">
        <v>245</v>
      </c>
      <c r="L611" t="s">
        <v>2171</v>
      </c>
      <c r="M611" t="s">
        <v>977</v>
      </c>
      <c r="N611" t="s">
        <v>179</v>
      </c>
      <c r="O611" t="s">
        <v>977</v>
      </c>
      <c r="P611" t="s">
        <v>518</v>
      </c>
      <c r="Q611" t="s">
        <v>518</v>
      </c>
      <c r="R611" t="s">
        <v>201</v>
      </c>
      <c r="S611" t="s">
        <v>126</v>
      </c>
      <c r="T611" t="s">
        <v>384</v>
      </c>
      <c r="U611" t="s">
        <v>407</v>
      </c>
      <c r="V611" t="s">
        <v>79</v>
      </c>
    </row>
    <row r="612" spans="1:22" x14ac:dyDescent="0.3">
      <c r="A612" t="s">
        <v>3240</v>
      </c>
      <c r="B612" t="s">
        <v>240</v>
      </c>
      <c r="C612" t="s">
        <v>241</v>
      </c>
      <c r="D612" t="s">
        <v>3107</v>
      </c>
      <c r="E612" t="s">
        <v>26</v>
      </c>
      <c r="F612" t="s">
        <v>26</v>
      </c>
      <c r="G612" t="s">
        <v>27</v>
      </c>
      <c r="H612" t="s">
        <v>49</v>
      </c>
      <c r="I612" t="s">
        <v>69</v>
      </c>
      <c r="J612" t="s">
        <v>30</v>
      </c>
      <c r="K612" t="s">
        <v>200</v>
      </c>
      <c r="L612" t="s">
        <v>189</v>
      </c>
      <c r="M612" t="s">
        <v>822</v>
      </c>
      <c r="N612" t="s">
        <v>655</v>
      </c>
      <c r="O612" t="s">
        <v>1260</v>
      </c>
      <c r="P612" t="s">
        <v>565</v>
      </c>
      <c r="Q612" t="s">
        <v>112</v>
      </c>
      <c r="R612" t="s">
        <v>3241</v>
      </c>
      <c r="S612" t="s">
        <v>79</v>
      </c>
      <c r="T612" t="s">
        <v>1230</v>
      </c>
      <c r="U612" t="s">
        <v>171</v>
      </c>
      <c r="V612" t="s">
        <v>58</v>
      </c>
    </row>
    <row r="613" spans="1:22" x14ac:dyDescent="0.3">
      <c r="A613" t="s">
        <v>3242</v>
      </c>
      <c r="B613" t="s">
        <v>2317</v>
      </c>
      <c r="C613" t="s">
        <v>2318</v>
      </c>
      <c r="D613" t="s">
        <v>3243</v>
      </c>
      <c r="E613" t="s">
        <v>243</v>
      </c>
      <c r="F613" t="s">
        <v>244</v>
      </c>
      <c r="G613" t="s">
        <v>48</v>
      </c>
      <c r="H613" t="s">
        <v>214</v>
      </c>
      <c r="I613" t="s">
        <v>69</v>
      </c>
      <c r="J613" t="s">
        <v>30</v>
      </c>
      <c r="K613" t="s">
        <v>71</v>
      </c>
      <c r="L613" t="s">
        <v>163</v>
      </c>
      <c r="M613" t="s">
        <v>2966</v>
      </c>
      <c r="N613" t="s">
        <v>359</v>
      </c>
      <c r="O613" t="s">
        <v>720</v>
      </c>
      <c r="P613" t="s">
        <v>3244</v>
      </c>
      <c r="Q613" t="s">
        <v>602</v>
      </c>
      <c r="R613" t="s">
        <v>3245</v>
      </c>
      <c r="S613" t="s">
        <v>79</v>
      </c>
      <c r="T613" t="s">
        <v>55</v>
      </c>
      <c r="U613" t="s">
        <v>300</v>
      </c>
      <c r="V613" t="s">
        <v>114</v>
      </c>
    </row>
    <row r="614" spans="1:22" x14ac:dyDescent="0.3">
      <c r="A614" t="s">
        <v>3246</v>
      </c>
      <c r="B614" t="s">
        <v>1899</v>
      </c>
      <c r="C614" t="s">
        <v>1900</v>
      </c>
      <c r="D614" t="s">
        <v>3247</v>
      </c>
      <c r="E614" t="s">
        <v>399</v>
      </c>
      <c r="F614" t="s">
        <v>188</v>
      </c>
      <c r="G614" t="s">
        <v>118</v>
      </c>
      <c r="H614" t="s">
        <v>104</v>
      </c>
      <c r="I614" t="s">
        <v>29</v>
      </c>
      <c r="J614" t="s">
        <v>162</v>
      </c>
      <c r="K614" t="s">
        <v>230</v>
      </c>
      <c r="L614" t="s">
        <v>1382</v>
      </c>
      <c r="M614" t="s">
        <v>3248</v>
      </c>
      <c r="N614" t="s">
        <v>604</v>
      </c>
      <c r="O614" t="s">
        <v>2608</v>
      </c>
      <c r="P614" t="s">
        <v>1889</v>
      </c>
      <c r="Q614" t="s">
        <v>1315</v>
      </c>
      <c r="R614" t="s">
        <v>3249</v>
      </c>
      <c r="S614" t="s">
        <v>182</v>
      </c>
      <c r="T614" t="s">
        <v>721</v>
      </c>
      <c r="U614" t="s">
        <v>128</v>
      </c>
      <c r="V614" t="s">
        <v>42</v>
      </c>
    </row>
    <row r="615" spans="1:22" x14ac:dyDescent="0.3">
      <c r="A615" t="s">
        <v>3250</v>
      </c>
      <c r="B615" t="s">
        <v>1501</v>
      </c>
      <c r="C615" t="s">
        <v>1502</v>
      </c>
      <c r="D615" t="s">
        <v>3112</v>
      </c>
      <c r="E615" t="s">
        <v>160</v>
      </c>
      <c r="F615" t="s">
        <v>161</v>
      </c>
      <c r="G615" t="s">
        <v>147</v>
      </c>
      <c r="H615" t="s">
        <v>88</v>
      </c>
      <c r="I615" t="s">
        <v>29</v>
      </c>
      <c r="J615" t="s">
        <v>30</v>
      </c>
      <c r="K615" t="s">
        <v>293</v>
      </c>
      <c r="L615" t="s">
        <v>246</v>
      </c>
      <c r="M615" t="s">
        <v>984</v>
      </c>
      <c r="N615" t="s">
        <v>179</v>
      </c>
      <c r="O615" t="s">
        <v>984</v>
      </c>
      <c r="P615" t="s">
        <v>593</v>
      </c>
      <c r="Q615" t="s">
        <v>2528</v>
      </c>
      <c r="R615" t="s">
        <v>3251</v>
      </c>
      <c r="S615" t="s">
        <v>97</v>
      </c>
      <c r="T615" t="s">
        <v>1099</v>
      </c>
      <c r="U615" t="s">
        <v>41</v>
      </c>
      <c r="V615" t="s">
        <v>58</v>
      </c>
    </row>
    <row r="616" spans="1:22" x14ac:dyDescent="0.3">
      <c r="A616" t="s">
        <v>3252</v>
      </c>
      <c r="B616" t="s">
        <v>1386</v>
      </c>
      <c r="C616" t="s">
        <v>1387</v>
      </c>
      <c r="D616" t="s">
        <v>1356</v>
      </c>
      <c r="E616" t="s">
        <v>399</v>
      </c>
      <c r="F616" t="s">
        <v>188</v>
      </c>
      <c r="G616" t="s">
        <v>118</v>
      </c>
      <c r="H616" t="s">
        <v>28</v>
      </c>
      <c r="I616" t="s">
        <v>29</v>
      </c>
      <c r="J616" t="s">
        <v>30</v>
      </c>
      <c r="K616" t="s">
        <v>293</v>
      </c>
      <c r="L616" t="s">
        <v>148</v>
      </c>
      <c r="M616" t="s">
        <v>421</v>
      </c>
      <c r="N616" t="s">
        <v>655</v>
      </c>
      <c r="O616" t="s">
        <v>850</v>
      </c>
      <c r="P616" t="s">
        <v>1011</v>
      </c>
      <c r="Q616" t="s">
        <v>986</v>
      </c>
      <c r="R616" t="s">
        <v>3253</v>
      </c>
      <c r="S616" t="s">
        <v>58</v>
      </c>
      <c r="T616" t="s">
        <v>150</v>
      </c>
      <c r="U616" t="s">
        <v>128</v>
      </c>
      <c r="V616" t="s">
        <v>79</v>
      </c>
    </row>
    <row r="617" spans="1:22" x14ac:dyDescent="0.3">
      <c r="A617" t="s">
        <v>3254</v>
      </c>
      <c r="B617" t="s">
        <v>3255</v>
      </c>
      <c r="C617" t="s">
        <v>3256</v>
      </c>
      <c r="D617" t="s">
        <v>1776</v>
      </c>
      <c r="E617" t="s">
        <v>176</v>
      </c>
      <c r="F617" t="s">
        <v>161</v>
      </c>
      <c r="G617" t="s">
        <v>48</v>
      </c>
      <c r="H617" t="s">
        <v>229</v>
      </c>
      <c r="I617" t="s">
        <v>69</v>
      </c>
      <c r="J617" t="s">
        <v>30</v>
      </c>
      <c r="K617" t="s">
        <v>71</v>
      </c>
      <c r="L617" t="s">
        <v>1049</v>
      </c>
      <c r="M617" t="s">
        <v>984</v>
      </c>
      <c r="N617" t="s">
        <v>529</v>
      </c>
      <c r="O617" t="s">
        <v>2073</v>
      </c>
      <c r="P617" t="s">
        <v>977</v>
      </c>
      <c r="Q617" t="s">
        <v>150</v>
      </c>
      <c r="R617" t="s">
        <v>3257</v>
      </c>
      <c r="S617" t="s">
        <v>58</v>
      </c>
      <c r="T617" t="s">
        <v>321</v>
      </c>
      <c r="U617" t="s">
        <v>362</v>
      </c>
      <c r="V617" t="s">
        <v>114</v>
      </c>
    </row>
    <row r="618" spans="1:22" x14ac:dyDescent="0.3">
      <c r="A618" t="s">
        <v>3258</v>
      </c>
      <c r="B618" t="s">
        <v>130</v>
      </c>
      <c r="C618" t="s">
        <v>131</v>
      </c>
      <c r="D618" t="s">
        <v>3259</v>
      </c>
      <c r="E618" t="s">
        <v>267</v>
      </c>
      <c r="F618" t="s">
        <v>66</v>
      </c>
      <c r="G618" t="s">
        <v>147</v>
      </c>
      <c r="H618" t="s">
        <v>68</v>
      </c>
      <c r="I618" t="s">
        <v>69</v>
      </c>
      <c r="J618" t="s">
        <v>30</v>
      </c>
      <c r="K618" t="s">
        <v>71</v>
      </c>
      <c r="L618" t="s">
        <v>983</v>
      </c>
      <c r="M618" t="s">
        <v>555</v>
      </c>
      <c r="N618" t="s">
        <v>610</v>
      </c>
      <c r="O618" t="s">
        <v>1260</v>
      </c>
      <c r="P618" t="s">
        <v>356</v>
      </c>
      <c r="Q618" t="s">
        <v>1116</v>
      </c>
      <c r="R618" t="s">
        <v>3260</v>
      </c>
      <c r="S618" t="s">
        <v>97</v>
      </c>
      <c r="T618" t="s">
        <v>1013</v>
      </c>
      <c r="U618" t="s">
        <v>98</v>
      </c>
      <c r="V618" t="s">
        <v>79</v>
      </c>
    </row>
    <row r="619" spans="1:22" x14ac:dyDescent="0.3">
      <c r="A619" t="s">
        <v>3261</v>
      </c>
      <c r="B619" t="s">
        <v>3262</v>
      </c>
      <c r="C619" t="s">
        <v>3263</v>
      </c>
      <c r="D619" t="s">
        <v>3264</v>
      </c>
      <c r="E619" t="s">
        <v>161</v>
      </c>
      <c r="F619" t="s">
        <v>161</v>
      </c>
      <c r="G619" t="s">
        <v>580</v>
      </c>
      <c r="H619" t="s">
        <v>28</v>
      </c>
      <c r="I619" t="s">
        <v>29</v>
      </c>
      <c r="J619" t="s">
        <v>70</v>
      </c>
      <c r="K619" t="s">
        <v>71</v>
      </c>
      <c r="L619" t="s">
        <v>111</v>
      </c>
      <c r="M619" t="s">
        <v>497</v>
      </c>
      <c r="N619" t="s">
        <v>121</v>
      </c>
      <c r="O619" t="s">
        <v>381</v>
      </c>
      <c r="P619" t="s">
        <v>959</v>
      </c>
      <c r="Q619" t="s">
        <v>1694</v>
      </c>
      <c r="R619" t="s">
        <v>3265</v>
      </c>
      <c r="S619" t="s">
        <v>182</v>
      </c>
      <c r="T619" t="s">
        <v>896</v>
      </c>
      <c r="U619" t="s">
        <v>407</v>
      </c>
      <c r="V619" t="s">
        <v>114</v>
      </c>
    </row>
    <row r="620" spans="1:22" x14ac:dyDescent="0.3">
      <c r="A620" t="s">
        <v>3266</v>
      </c>
      <c r="B620" t="s">
        <v>3228</v>
      </c>
      <c r="C620" t="s">
        <v>3229</v>
      </c>
      <c r="D620" t="s">
        <v>3267</v>
      </c>
      <c r="E620" t="s">
        <v>780</v>
      </c>
      <c r="F620" t="s">
        <v>282</v>
      </c>
      <c r="G620" t="s">
        <v>118</v>
      </c>
      <c r="H620" t="s">
        <v>49</v>
      </c>
      <c r="I620" t="s">
        <v>69</v>
      </c>
      <c r="J620" t="s">
        <v>70</v>
      </c>
      <c r="K620" t="s">
        <v>50</v>
      </c>
      <c r="L620" t="s">
        <v>362</v>
      </c>
      <c r="M620" t="s">
        <v>317</v>
      </c>
      <c r="N620" t="s">
        <v>482</v>
      </c>
      <c r="O620" t="s">
        <v>1773</v>
      </c>
      <c r="P620" t="s">
        <v>1931</v>
      </c>
      <c r="Q620" t="s">
        <v>59</v>
      </c>
      <c r="R620" t="s">
        <v>3268</v>
      </c>
      <c r="S620" t="s">
        <v>79</v>
      </c>
      <c r="T620" t="s">
        <v>543</v>
      </c>
      <c r="U620" t="s">
        <v>155</v>
      </c>
      <c r="V620" t="s">
        <v>79</v>
      </c>
    </row>
    <row r="621" spans="1:22" x14ac:dyDescent="0.3">
      <c r="A621" t="s">
        <v>3269</v>
      </c>
      <c r="B621" t="s">
        <v>3270</v>
      </c>
      <c r="C621" t="s">
        <v>3271</v>
      </c>
      <c r="D621" t="s">
        <v>2525</v>
      </c>
      <c r="E621" t="s">
        <v>243</v>
      </c>
      <c r="F621" t="s">
        <v>244</v>
      </c>
      <c r="G621" t="s">
        <v>48</v>
      </c>
      <c r="H621" t="s">
        <v>229</v>
      </c>
      <c r="I621" t="s">
        <v>69</v>
      </c>
      <c r="J621" t="s">
        <v>70</v>
      </c>
      <c r="K621" t="s">
        <v>31</v>
      </c>
      <c r="L621" t="s">
        <v>1515</v>
      </c>
      <c r="M621" t="s">
        <v>1068</v>
      </c>
      <c r="N621" t="s">
        <v>237</v>
      </c>
      <c r="O621" t="s">
        <v>2921</v>
      </c>
      <c r="P621" t="s">
        <v>458</v>
      </c>
      <c r="Q621" t="s">
        <v>468</v>
      </c>
      <c r="R621" t="s">
        <v>3272</v>
      </c>
      <c r="S621" t="s">
        <v>39</v>
      </c>
      <c r="T621" t="s">
        <v>276</v>
      </c>
      <c r="U621" t="s">
        <v>394</v>
      </c>
      <c r="V621" t="s">
        <v>42</v>
      </c>
    </row>
    <row r="622" spans="1:22" x14ac:dyDescent="0.3">
      <c r="A622" t="s">
        <v>3273</v>
      </c>
      <c r="B622" t="s">
        <v>2288</v>
      </c>
      <c r="C622" t="s">
        <v>2289</v>
      </c>
      <c r="D622" t="s">
        <v>3274</v>
      </c>
      <c r="E622" t="s">
        <v>378</v>
      </c>
      <c r="F622" t="s">
        <v>282</v>
      </c>
      <c r="G622" t="s">
        <v>27</v>
      </c>
      <c r="H622" t="s">
        <v>68</v>
      </c>
      <c r="I622" t="s">
        <v>69</v>
      </c>
      <c r="J622" t="s">
        <v>30</v>
      </c>
      <c r="K622" t="s">
        <v>89</v>
      </c>
      <c r="L622" t="s">
        <v>2370</v>
      </c>
      <c r="M622" t="s">
        <v>599</v>
      </c>
      <c r="N622" t="s">
        <v>600</v>
      </c>
      <c r="O622" t="s">
        <v>601</v>
      </c>
      <c r="P622" t="s">
        <v>1396</v>
      </c>
      <c r="Q622" t="s">
        <v>306</v>
      </c>
      <c r="R622" t="s">
        <v>3275</v>
      </c>
      <c r="S622" t="s">
        <v>97</v>
      </c>
      <c r="T622" t="s">
        <v>710</v>
      </c>
      <c r="U622" t="s">
        <v>98</v>
      </c>
      <c r="V622" t="s">
        <v>58</v>
      </c>
    </row>
    <row r="623" spans="1:22" x14ac:dyDescent="0.3">
      <c r="A623" t="s">
        <v>3276</v>
      </c>
      <c r="B623" t="s">
        <v>706</v>
      </c>
      <c r="C623" t="s">
        <v>707</v>
      </c>
      <c r="D623" t="s">
        <v>3277</v>
      </c>
      <c r="E623" t="s">
        <v>267</v>
      </c>
      <c r="F623" t="s">
        <v>66</v>
      </c>
      <c r="G623" t="s">
        <v>27</v>
      </c>
      <c r="H623" t="s">
        <v>49</v>
      </c>
      <c r="I623" t="s">
        <v>69</v>
      </c>
      <c r="J623" t="s">
        <v>30</v>
      </c>
      <c r="K623" t="s">
        <v>89</v>
      </c>
      <c r="L623" t="s">
        <v>598</v>
      </c>
      <c r="M623" t="s">
        <v>1402</v>
      </c>
      <c r="N623" t="s">
        <v>179</v>
      </c>
      <c r="O623" t="s">
        <v>1402</v>
      </c>
      <c r="P623" t="s">
        <v>646</v>
      </c>
      <c r="Q623" t="s">
        <v>921</v>
      </c>
      <c r="R623" t="s">
        <v>2254</v>
      </c>
      <c r="S623" t="s">
        <v>58</v>
      </c>
      <c r="T623" t="s">
        <v>1013</v>
      </c>
      <c r="U623" t="s">
        <v>349</v>
      </c>
      <c r="V623" t="s">
        <v>42</v>
      </c>
    </row>
    <row r="624" spans="1:22" x14ac:dyDescent="0.3">
      <c r="A624" t="s">
        <v>3278</v>
      </c>
      <c r="B624" t="s">
        <v>2822</v>
      </c>
      <c r="C624" t="s">
        <v>2823</v>
      </c>
      <c r="D624" t="s">
        <v>1370</v>
      </c>
      <c r="E624" t="s">
        <v>66</v>
      </c>
      <c r="F624" t="s">
        <v>66</v>
      </c>
      <c r="G624" t="s">
        <v>580</v>
      </c>
      <c r="H624" t="s">
        <v>214</v>
      </c>
      <c r="I624" t="s">
        <v>69</v>
      </c>
      <c r="J624" t="s">
        <v>30</v>
      </c>
      <c r="K624" t="s">
        <v>215</v>
      </c>
      <c r="L624" t="s">
        <v>258</v>
      </c>
      <c r="M624" t="s">
        <v>1085</v>
      </c>
      <c r="N624" t="s">
        <v>735</v>
      </c>
      <c r="O624" t="s">
        <v>1997</v>
      </c>
      <c r="P624" t="s">
        <v>390</v>
      </c>
      <c r="Q624" t="s">
        <v>735</v>
      </c>
      <c r="R624" t="s">
        <v>3279</v>
      </c>
      <c r="S624" t="s">
        <v>182</v>
      </c>
      <c r="T624" t="s">
        <v>499</v>
      </c>
      <c r="U624" t="s">
        <v>537</v>
      </c>
      <c r="V624" t="s">
        <v>79</v>
      </c>
    </row>
    <row r="625" spans="1:22" x14ac:dyDescent="0.3">
      <c r="A625" t="s">
        <v>3280</v>
      </c>
      <c r="B625" t="s">
        <v>738</v>
      </c>
      <c r="C625" t="s">
        <v>739</v>
      </c>
      <c r="D625" t="s">
        <v>1401</v>
      </c>
      <c r="E625" t="s">
        <v>188</v>
      </c>
      <c r="F625" t="s">
        <v>188</v>
      </c>
      <c r="G625" t="s">
        <v>67</v>
      </c>
      <c r="H625" t="s">
        <v>268</v>
      </c>
      <c r="I625" t="s">
        <v>69</v>
      </c>
      <c r="J625" t="s">
        <v>30</v>
      </c>
      <c r="K625" t="s">
        <v>230</v>
      </c>
      <c r="L625" t="s">
        <v>871</v>
      </c>
      <c r="M625" t="s">
        <v>2861</v>
      </c>
      <c r="N625" t="s">
        <v>107</v>
      </c>
      <c r="O625" t="s">
        <v>2968</v>
      </c>
      <c r="P625" t="s">
        <v>1030</v>
      </c>
      <c r="Q625" t="s">
        <v>286</v>
      </c>
      <c r="R625" t="s">
        <v>3281</v>
      </c>
      <c r="S625" t="s">
        <v>39</v>
      </c>
      <c r="T625" t="s">
        <v>602</v>
      </c>
      <c r="U625" t="s">
        <v>288</v>
      </c>
      <c r="V625" t="s">
        <v>79</v>
      </c>
    </row>
    <row r="626" spans="1:22" x14ac:dyDescent="0.3">
      <c r="A626" t="s">
        <v>3282</v>
      </c>
      <c r="B626" t="s">
        <v>1697</v>
      </c>
      <c r="C626" t="s">
        <v>1698</v>
      </c>
      <c r="D626" t="s">
        <v>912</v>
      </c>
      <c r="E626" t="s">
        <v>228</v>
      </c>
      <c r="F626" t="s">
        <v>228</v>
      </c>
      <c r="G626" t="s">
        <v>67</v>
      </c>
      <c r="H626" t="s">
        <v>214</v>
      </c>
      <c r="I626" t="s">
        <v>69</v>
      </c>
      <c r="J626" t="s">
        <v>70</v>
      </c>
      <c r="K626" t="s">
        <v>230</v>
      </c>
      <c r="L626" t="s">
        <v>294</v>
      </c>
      <c r="M626" t="s">
        <v>3283</v>
      </c>
      <c r="N626" t="s">
        <v>792</v>
      </c>
      <c r="O626" t="s">
        <v>3284</v>
      </c>
      <c r="P626" t="s">
        <v>872</v>
      </c>
      <c r="Q626" t="s">
        <v>880</v>
      </c>
      <c r="R626" t="s">
        <v>3285</v>
      </c>
      <c r="S626" t="s">
        <v>39</v>
      </c>
      <c r="T626" t="s">
        <v>553</v>
      </c>
      <c r="U626" t="s">
        <v>288</v>
      </c>
      <c r="V626" t="s">
        <v>114</v>
      </c>
    </row>
    <row r="627" spans="1:22" x14ac:dyDescent="0.3">
      <c r="A627" t="s">
        <v>3286</v>
      </c>
      <c r="B627" t="s">
        <v>2010</v>
      </c>
      <c r="C627" t="s">
        <v>2011</v>
      </c>
      <c r="D627" t="s">
        <v>2027</v>
      </c>
      <c r="E627" t="s">
        <v>87</v>
      </c>
      <c r="F627" t="s">
        <v>26</v>
      </c>
      <c r="G627" t="s">
        <v>67</v>
      </c>
      <c r="H627" t="s">
        <v>268</v>
      </c>
      <c r="I627" t="s">
        <v>69</v>
      </c>
      <c r="J627" t="s">
        <v>30</v>
      </c>
      <c r="K627" t="s">
        <v>230</v>
      </c>
      <c r="L627" t="s">
        <v>362</v>
      </c>
      <c r="M627" t="s">
        <v>3287</v>
      </c>
      <c r="N627" t="s">
        <v>782</v>
      </c>
      <c r="O627" t="s">
        <v>3288</v>
      </c>
      <c r="P627" t="s">
        <v>1669</v>
      </c>
      <c r="Q627" t="s">
        <v>1554</v>
      </c>
      <c r="R627" t="s">
        <v>3289</v>
      </c>
      <c r="S627" t="s">
        <v>39</v>
      </c>
      <c r="T627" t="s">
        <v>2902</v>
      </c>
      <c r="U627" t="s">
        <v>277</v>
      </c>
      <c r="V627" t="s">
        <v>42</v>
      </c>
    </row>
    <row r="628" spans="1:22" x14ac:dyDescent="0.3">
      <c r="A628" t="s">
        <v>3290</v>
      </c>
      <c r="B628" t="s">
        <v>3118</v>
      </c>
      <c r="C628" t="s">
        <v>3119</v>
      </c>
      <c r="D628" t="s">
        <v>3291</v>
      </c>
      <c r="E628" t="s">
        <v>227</v>
      </c>
      <c r="F628" t="s">
        <v>228</v>
      </c>
      <c r="G628" t="s">
        <v>67</v>
      </c>
      <c r="H628" t="s">
        <v>49</v>
      </c>
      <c r="I628" t="s">
        <v>69</v>
      </c>
      <c r="J628" t="s">
        <v>30</v>
      </c>
      <c r="K628" t="s">
        <v>245</v>
      </c>
      <c r="L628" t="s">
        <v>294</v>
      </c>
      <c r="M628" t="s">
        <v>3292</v>
      </c>
      <c r="N628" t="s">
        <v>179</v>
      </c>
      <c r="O628" t="s">
        <v>3292</v>
      </c>
      <c r="P628" t="s">
        <v>1365</v>
      </c>
      <c r="Q628" t="s">
        <v>1089</v>
      </c>
      <c r="R628" t="s">
        <v>3293</v>
      </c>
      <c r="S628" t="s">
        <v>58</v>
      </c>
      <c r="T628" t="s">
        <v>433</v>
      </c>
      <c r="U628" t="s">
        <v>238</v>
      </c>
      <c r="V628" t="s">
        <v>114</v>
      </c>
    </row>
    <row r="629" spans="1:22" x14ac:dyDescent="0.3">
      <c r="A629" t="s">
        <v>3294</v>
      </c>
      <c r="B629" t="s">
        <v>3295</v>
      </c>
      <c r="C629" t="s">
        <v>3296</v>
      </c>
      <c r="D629" t="s">
        <v>3264</v>
      </c>
      <c r="E629" t="s">
        <v>342</v>
      </c>
      <c r="F629" t="s">
        <v>244</v>
      </c>
      <c r="G629" t="s">
        <v>580</v>
      </c>
      <c r="H629" t="s">
        <v>28</v>
      </c>
      <c r="I629" t="s">
        <v>69</v>
      </c>
      <c r="J629" t="s">
        <v>30</v>
      </c>
      <c r="K629" t="s">
        <v>71</v>
      </c>
      <c r="L629" t="s">
        <v>487</v>
      </c>
      <c r="M629" t="s">
        <v>3297</v>
      </c>
      <c r="N629" t="s">
        <v>1133</v>
      </c>
      <c r="O629" t="s">
        <v>2805</v>
      </c>
      <c r="P629" t="s">
        <v>1346</v>
      </c>
      <c r="Q629" t="s">
        <v>2279</v>
      </c>
      <c r="R629" t="s">
        <v>3298</v>
      </c>
      <c r="S629" t="s">
        <v>58</v>
      </c>
      <c r="T629" t="s">
        <v>326</v>
      </c>
      <c r="U629" t="s">
        <v>867</v>
      </c>
      <c r="V629" t="s">
        <v>114</v>
      </c>
    </row>
    <row r="630" spans="1:22" x14ac:dyDescent="0.3">
      <c r="A630" t="s">
        <v>3299</v>
      </c>
      <c r="B630" t="s">
        <v>3300</v>
      </c>
      <c r="C630" t="s">
        <v>3301</v>
      </c>
      <c r="D630" t="s">
        <v>3302</v>
      </c>
      <c r="E630" t="s">
        <v>378</v>
      </c>
      <c r="F630" t="s">
        <v>282</v>
      </c>
      <c r="G630" t="s">
        <v>118</v>
      </c>
      <c r="H630" t="s">
        <v>88</v>
      </c>
      <c r="I630" t="s">
        <v>69</v>
      </c>
      <c r="J630" t="s">
        <v>30</v>
      </c>
      <c r="K630" t="s">
        <v>71</v>
      </c>
      <c r="L630" t="s">
        <v>1328</v>
      </c>
      <c r="M630" t="s">
        <v>2325</v>
      </c>
      <c r="N630" t="s">
        <v>321</v>
      </c>
      <c r="O630" t="s">
        <v>2258</v>
      </c>
      <c r="P630" t="s">
        <v>1790</v>
      </c>
      <c r="Q630" t="s">
        <v>646</v>
      </c>
      <c r="R630" t="s">
        <v>3303</v>
      </c>
      <c r="S630" t="s">
        <v>97</v>
      </c>
      <c r="T630" t="s">
        <v>1303</v>
      </c>
      <c r="U630" t="s">
        <v>41</v>
      </c>
      <c r="V630" t="s">
        <v>82</v>
      </c>
    </row>
    <row r="631" spans="1:22" x14ac:dyDescent="0.3">
      <c r="A631" t="s">
        <v>3304</v>
      </c>
      <c r="B631" t="s">
        <v>1359</v>
      </c>
      <c r="C631" t="s">
        <v>1360</v>
      </c>
      <c r="D631" t="s">
        <v>2858</v>
      </c>
      <c r="E631" t="s">
        <v>87</v>
      </c>
      <c r="F631" t="s">
        <v>26</v>
      </c>
      <c r="G631" t="s">
        <v>580</v>
      </c>
      <c r="H631" t="s">
        <v>49</v>
      </c>
      <c r="I631" t="s">
        <v>29</v>
      </c>
      <c r="J631" t="s">
        <v>30</v>
      </c>
      <c r="K631" t="s">
        <v>245</v>
      </c>
      <c r="L631" t="s">
        <v>189</v>
      </c>
      <c r="M631" t="s">
        <v>1872</v>
      </c>
      <c r="N631" t="s">
        <v>461</v>
      </c>
      <c r="O631" t="s">
        <v>693</v>
      </c>
      <c r="P631" t="s">
        <v>1523</v>
      </c>
      <c r="Q631" t="s">
        <v>92</v>
      </c>
      <c r="R631" t="s">
        <v>3305</v>
      </c>
      <c r="S631" t="s">
        <v>58</v>
      </c>
      <c r="T631" t="s">
        <v>142</v>
      </c>
      <c r="U631" t="s">
        <v>472</v>
      </c>
      <c r="V631" t="s">
        <v>79</v>
      </c>
    </row>
    <row r="632" spans="1:22" x14ac:dyDescent="0.3">
      <c r="A632" t="s">
        <v>3306</v>
      </c>
      <c r="B632" t="s">
        <v>3307</v>
      </c>
      <c r="C632" t="s">
        <v>3308</v>
      </c>
      <c r="D632" t="s">
        <v>2574</v>
      </c>
      <c r="E632" t="s">
        <v>282</v>
      </c>
      <c r="F632" t="s">
        <v>282</v>
      </c>
      <c r="G632" t="s">
        <v>67</v>
      </c>
      <c r="H632" t="s">
        <v>214</v>
      </c>
      <c r="I632" t="s">
        <v>29</v>
      </c>
      <c r="J632" t="s">
        <v>162</v>
      </c>
      <c r="K632" t="s">
        <v>50</v>
      </c>
      <c r="L632" t="s">
        <v>105</v>
      </c>
      <c r="M632" t="s">
        <v>2401</v>
      </c>
      <c r="N632" t="s">
        <v>170</v>
      </c>
      <c r="O632" t="s">
        <v>151</v>
      </c>
      <c r="P632" t="s">
        <v>620</v>
      </c>
      <c r="Q632" t="s">
        <v>604</v>
      </c>
      <c r="R632" t="s">
        <v>3309</v>
      </c>
      <c r="S632" t="s">
        <v>58</v>
      </c>
      <c r="T632" t="s">
        <v>191</v>
      </c>
      <c r="U632" t="s">
        <v>423</v>
      </c>
      <c r="V632" t="s">
        <v>82</v>
      </c>
    </row>
    <row r="633" spans="1:22" x14ac:dyDescent="0.3">
      <c r="A633" t="s">
        <v>3310</v>
      </c>
      <c r="B633" t="s">
        <v>1546</v>
      </c>
      <c r="C633" t="s">
        <v>1547</v>
      </c>
      <c r="D633" t="s">
        <v>2723</v>
      </c>
      <c r="E633" t="s">
        <v>672</v>
      </c>
      <c r="F633" t="s">
        <v>244</v>
      </c>
      <c r="G633" t="s">
        <v>67</v>
      </c>
      <c r="H633" t="s">
        <v>229</v>
      </c>
      <c r="I633" t="s">
        <v>29</v>
      </c>
      <c r="J633" t="s">
        <v>257</v>
      </c>
      <c r="K633" t="s">
        <v>215</v>
      </c>
      <c r="L633" t="s">
        <v>906</v>
      </c>
      <c r="M633" t="s">
        <v>3311</v>
      </c>
      <c r="N633" t="s">
        <v>2077</v>
      </c>
      <c r="O633" t="s">
        <v>1279</v>
      </c>
      <c r="P633" t="s">
        <v>3312</v>
      </c>
      <c r="Q633" t="s">
        <v>218</v>
      </c>
      <c r="R633" t="s">
        <v>3313</v>
      </c>
      <c r="S633" t="s">
        <v>126</v>
      </c>
      <c r="T633" t="s">
        <v>310</v>
      </c>
      <c r="U633" t="s">
        <v>423</v>
      </c>
      <c r="V633" t="s">
        <v>82</v>
      </c>
    </row>
    <row r="634" spans="1:22" x14ac:dyDescent="0.3">
      <c r="A634" t="s">
        <v>3314</v>
      </c>
      <c r="B634" t="s">
        <v>531</v>
      </c>
      <c r="C634" t="s">
        <v>532</v>
      </c>
      <c r="D634" t="s">
        <v>3315</v>
      </c>
      <c r="E634" t="s">
        <v>47</v>
      </c>
      <c r="F634" t="s">
        <v>26</v>
      </c>
      <c r="G634" t="s">
        <v>103</v>
      </c>
      <c r="H634" t="s">
        <v>229</v>
      </c>
      <c r="I634" t="s">
        <v>29</v>
      </c>
      <c r="J634" t="s">
        <v>30</v>
      </c>
      <c r="K634" t="s">
        <v>200</v>
      </c>
      <c r="L634" t="s">
        <v>201</v>
      </c>
      <c r="M634" t="s">
        <v>856</v>
      </c>
      <c r="N634" t="s">
        <v>179</v>
      </c>
      <c r="O634" t="s">
        <v>856</v>
      </c>
      <c r="P634" t="s">
        <v>774</v>
      </c>
      <c r="Q634" t="s">
        <v>1827</v>
      </c>
      <c r="R634" t="s">
        <v>3316</v>
      </c>
      <c r="S634" t="s">
        <v>97</v>
      </c>
      <c r="T634" t="s">
        <v>37</v>
      </c>
      <c r="U634" t="s">
        <v>472</v>
      </c>
      <c r="V634" t="s">
        <v>114</v>
      </c>
    </row>
    <row r="635" spans="1:22" x14ac:dyDescent="0.3">
      <c r="A635" t="s">
        <v>3317</v>
      </c>
      <c r="B635" t="s">
        <v>3048</v>
      </c>
      <c r="C635" t="s">
        <v>3049</v>
      </c>
      <c r="D635" t="s">
        <v>3318</v>
      </c>
      <c r="E635" t="s">
        <v>188</v>
      </c>
      <c r="F635" t="s">
        <v>188</v>
      </c>
      <c r="G635" t="s">
        <v>48</v>
      </c>
      <c r="H635" t="s">
        <v>104</v>
      </c>
      <c r="I635" t="s">
        <v>2154</v>
      </c>
      <c r="J635" t="s">
        <v>70</v>
      </c>
      <c r="K635" t="s">
        <v>293</v>
      </c>
      <c r="L635" t="s">
        <v>1515</v>
      </c>
      <c r="M635" t="s">
        <v>1705</v>
      </c>
      <c r="N635" t="s">
        <v>695</v>
      </c>
      <c r="O635" t="s">
        <v>358</v>
      </c>
      <c r="P635" t="s">
        <v>732</v>
      </c>
      <c r="Q635" t="s">
        <v>986</v>
      </c>
      <c r="R635" t="s">
        <v>3319</v>
      </c>
      <c r="S635" t="s">
        <v>182</v>
      </c>
      <c r="T635" t="s">
        <v>361</v>
      </c>
      <c r="U635" t="s">
        <v>300</v>
      </c>
      <c r="V635" t="s">
        <v>42</v>
      </c>
    </row>
    <row r="636" spans="1:22" x14ac:dyDescent="0.3">
      <c r="A636" t="s">
        <v>3320</v>
      </c>
      <c r="B636" t="s">
        <v>2729</v>
      </c>
      <c r="C636" t="s">
        <v>2730</v>
      </c>
      <c r="D636" t="s">
        <v>2242</v>
      </c>
      <c r="E636" t="s">
        <v>282</v>
      </c>
      <c r="F636" t="s">
        <v>282</v>
      </c>
      <c r="G636" t="s">
        <v>147</v>
      </c>
      <c r="H636" t="s">
        <v>104</v>
      </c>
      <c r="I636" t="s">
        <v>69</v>
      </c>
      <c r="J636" t="s">
        <v>30</v>
      </c>
      <c r="K636" t="s">
        <v>230</v>
      </c>
      <c r="L636" t="s">
        <v>937</v>
      </c>
      <c r="M636" t="s">
        <v>52</v>
      </c>
      <c r="N636" t="s">
        <v>179</v>
      </c>
      <c r="O636" t="s">
        <v>52</v>
      </c>
      <c r="P636" t="s">
        <v>921</v>
      </c>
      <c r="Q636" t="s">
        <v>191</v>
      </c>
      <c r="R636" t="s">
        <v>3321</v>
      </c>
      <c r="S636" t="s">
        <v>39</v>
      </c>
      <c r="T636" t="s">
        <v>613</v>
      </c>
      <c r="U636" t="s">
        <v>128</v>
      </c>
      <c r="V636" t="s">
        <v>58</v>
      </c>
    </row>
    <row r="637" spans="1:22" x14ac:dyDescent="0.3">
      <c r="A637" t="s">
        <v>3322</v>
      </c>
      <c r="B637" t="s">
        <v>240</v>
      </c>
      <c r="C637" t="s">
        <v>241</v>
      </c>
      <c r="D637" t="s">
        <v>3323</v>
      </c>
      <c r="E637" t="s">
        <v>134</v>
      </c>
      <c r="F637" t="s">
        <v>134</v>
      </c>
      <c r="G637" t="s">
        <v>27</v>
      </c>
      <c r="H637" t="s">
        <v>68</v>
      </c>
      <c r="I637" t="s">
        <v>69</v>
      </c>
      <c r="J637" t="s">
        <v>70</v>
      </c>
      <c r="K637" t="s">
        <v>89</v>
      </c>
      <c r="L637" t="s">
        <v>1693</v>
      </c>
      <c r="M637" t="s">
        <v>1302</v>
      </c>
      <c r="N637" t="s">
        <v>179</v>
      </c>
      <c r="O637" t="s">
        <v>1302</v>
      </c>
      <c r="P637" t="s">
        <v>1000</v>
      </c>
      <c r="Q637" t="s">
        <v>714</v>
      </c>
      <c r="R637" t="s">
        <v>3324</v>
      </c>
      <c r="S637" t="s">
        <v>58</v>
      </c>
      <c r="T637" t="s">
        <v>80</v>
      </c>
      <c r="U637" t="s">
        <v>171</v>
      </c>
      <c r="V637" t="s">
        <v>58</v>
      </c>
    </row>
    <row r="638" spans="1:22" x14ac:dyDescent="0.3">
      <c r="A638" t="s">
        <v>3325</v>
      </c>
      <c r="B638" t="s">
        <v>1386</v>
      </c>
      <c r="C638" t="s">
        <v>1387</v>
      </c>
      <c r="D638" t="s">
        <v>2497</v>
      </c>
      <c r="E638" t="s">
        <v>1321</v>
      </c>
      <c r="F638" t="s">
        <v>228</v>
      </c>
      <c r="G638" t="s">
        <v>27</v>
      </c>
      <c r="H638" t="s">
        <v>214</v>
      </c>
      <c r="I638" t="s">
        <v>29</v>
      </c>
      <c r="J638" t="s">
        <v>30</v>
      </c>
      <c r="K638" t="s">
        <v>71</v>
      </c>
      <c r="L638" t="s">
        <v>974</v>
      </c>
      <c r="M638" t="s">
        <v>3326</v>
      </c>
      <c r="N638" t="s">
        <v>179</v>
      </c>
      <c r="O638" t="s">
        <v>3326</v>
      </c>
      <c r="P638" t="s">
        <v>1352</v>
      </c>
      <c r="Q638" t="s">
        <v>2484</v>
      </c>
      <c r="R638" t="s">
        <v>3327</v>
      </c>
      <c r="S638" t="s">
        <v>126</v>
      </c>
      <c r="T638" t="s">
        <v>881</v>
      </c>
      <c r="U638" t="s">
        <v>288</v>
      </c>
      <c r="V638" t="s">
        <v>79</v>
      </c>
    </row>
    <row r="639" spans="1:22" x14ac:dyDescent="0.3">
      <c r="A639" t="s">
        <v>3328</v>
      </c>
      <c r="B639" t="s">
        <v>2478</v>
      </c>
      <c r="C639" t="s">
        <v>2479</v>
      </c>
      <c r="D639" t="s">
        <v>3141</v>
      </c>
      <c r="E639" t="s">
        <v>188</v>
      </c>
      <c r="F639" t="s">
        <v>188</v>
      </c>
      <c r="G639" t="s">
        <v>48</v>
      </c>
      <c r="H639" t="s">
        <v>28</v>
      </c>
      <c r="I639" t="s">
        <v>29</v>
      </c>
      <c r="J639" t="s">
        <v>30</v>
      </c>
      <c r="K639" t="s">
        <v>89</v>
      </c>
      <c r="L639" t="s">
        <v>663</v>
      </c>
      <c r="M639" t="s">
        <v>2660</v>
      </c>
      <c r="N639" t="s">
        <v>637</v>
      </c>
      <c r="O639" t="s">
        <v>2401</v>
      </c>
      <c r="P639" t="s">
        <v>1770</v>
      </c>
      <c r="Q639" t="s">
        <v>1031</v>
      </c>
      <c r="R639" t="s">
        <v>3329</v>
      </c>
      <c r="S639" t="s">
        <v>126</v>
      </c>
      <c r="T639" t="s">
        <v>40</v>
      </c>
      <c r="U639" t="s">
        <v>98</v>
      </c>
      <c r="V639" t="s">
        <v>42</v>
      </c>
    </row>
    <row r="640" spans="1:22" x14ac:dyDescent="0.3">
      <c r="A640" t="s">
        <v>3330</v>
      </c>
      <c r="B640" t="s">
        <v>1417</v>
      </c>
      <c r="C640" t="s">
        <v>1418</v>
      </c>
      <c r="D640" t="s">
        <v>3331</v>
      </c>
      <c r="E640" t="s">
        <v>65</v>
      </c>
      <c r="F640" t="s">
        <v>66</v>
      </c>
      <c r="G640" t="s">
        <v>103</v>
      </c>
      <c r="H640" t="s">
        <v>28</v>
      </c>
      <c r="I640" t="s">
        <v>69</v>
      </c>
      <c r="J640" t="s">
        <v>30</v>
      </c>
      <c r="K640" t="s">
        <v>71</v>
      </c>
      <c r="L640" t="s">
        <v>90</v>
      </c>
      <c r="M640" t="s">
        <v>478</v>
      </c>
      <c r="N640" t="s">
        <v>179</v>
      </c>
      <c r="O640" t="s">
        <v>478</v>
      </c>
      <c r="P640" t="s">
        <v>458</v>
      </c>
      <c r="Q640" t="s">
        <v>1420</v>
      </c>
      <c r="R640" t="s">
        <v>3062</v>
      </c>
      <c r="S640" t="s">
        <v>79</v>
      </c>
      <c r="T640" t="s">
        <v>1303</v>
      </c>
      <c r="U640" t="s">
        <v>155</v>
      </c>
      <c r="V640" t="s">
        <v>79</v>
      </c>
    </row>
    <row r="641" spans="1:22" x14ac:dyDescent="0.3">
      <c r="A641" t="s">
        <v>3332</v>
      </c>
      <c r="B641" t="s">
        <v>1459</v>
      </c>
      <c r="C641" t="s">
        <v>1460</v>
      </c>
      <c r="D641" t="s">
        <v>341</v>
      </c>
      <c r="E641" t="s">
        <v>26</v>
      </c>
      <c r="F641" t="s">
        <v>26</v>
      </c>
      <c r="G641" t="s">
        <v>580</v>
      </c>
      <c r="H641" t="s">
        <v>268</v>
      </c>
      <c r="I641" t="s">
        <v>29</v>
      </c>
      <c r="J641" t="s">
        <v>30</v>
      </c>
      <c r="K641" t="s">
        <v>200</v>
      </c>
      <c r="L641" t="s">
        <v>1503</v>
      </c>
      <c r="M641" t="s">
        <v>1236</v>
      </c>
      <c r="N641" t="s">
        <v>742</v>
      </c>
      <c r="O641" t="s">
        <v>2541</v>
      </c>
      <c r="P641" t="s">
        <v>643</v>
      </c>
      <c r="Q641" t="s">
        <v>842</v>
      </c>
      <c r="R641" t="s">
        <v>3333</v>
      </c>
      <c r="S641" t="s">
        <v>39</v>
      </c>
      <c r="T641" t="s">
        <v>406</v>
      </c>
      <c r="U641" t="s">
        <v>277</v>
      </c>
      <c r="V641" t="s">
        <v>42</v>
      </c>
    </row>
    <row r="642" spans="1:22" x14ac:dyDescent="0.3">
      <c r="A642" t="s">
        <v>3334</v>
      </c>
      <c r="B642" t="s">
        <v>1232</v>
      </c>
      <c r="C642" t="s">
        <v>1233</v>
      </c>
      <c r="D642" t="s">
        <v>2298</v>
      </c>
      <c r="E642" t="s">
        <v>26</v>
      </c>
      <c r="F642" t="s">
        <v>26</v>
      </c>
      <c r="G642" t="s">
        <v>580</v>
      </c>
      <c r="H642" t="s">
        <v>68</v>
      </c>
      <c r="I642" t="s">
        <v>29</v>
      </c>
      <c r="J642" t="s">
        <v>70</v>
      </c>
      <c r="K642" t="s">
        <v>230</v>
      </c>
      <c r="L642" t="s">
        <v>400</v>
      </c>
      <c r="M642" t="s">
        <v>3335</v>
      </c>
      <c r="N642" t="s">
        <v>1689</v>
      </c>
      <c r="O642" t="s">
        <v>3336</v>
      </c>
      <c r="P642" t="s">
        <v>3337</v>
      </c>
      <c r="Q642" t="s">
        <v>1198</v>
      </c>
      <c r="R642" t="s">
        <v>3338</v>
      </c>
      <c r="S642" t="s">
        <v>97</v>
      </c>
      <c r="T642" t="s">
        <v>2542</v>
      </c>
      <c r="U642" t="s">
        <v>98</v>
      </c>
      <c r="V642" t="s">
        <v>42</v>
      </c>
    </row>
    <row r="643" spans="1:22" x14ac:dyDescent="0.3">
      <c r="A643" t="s">
        <v>3339</v>
      </c>
      <c r="B643" t="s">
        <v>2047</v>
      </c>
      <c r="C643" t="s">
        <v>2048</v>
      </c>
      <c r="D643" t="s">
        <v>652</v>
      </c>
      <c r="E643" t="s">
        <v>243</v>
      </c>
      <c r="F643" t="s">
        <v>244</v>
      </c>
      <c r="G643" t="s">
        <v>48</v>
      </c>
      <c r="H643" t="s">
        <v>88</v>
      </c>
      <c r="I643" t="s">
        <v>69</v>
      </c>
      <c r="J643" t="s">
        <v>30</v>
      </c>
      <c r="K643" t="s">
        <v>230</v>
      </c>
      <c r="L643" t="s">
        <v>362</v>
      </c>
      <c r="M643" t="s">
        <v>898</v>
      </c>
      <c r="N643" t="s">
        <v>308</v>
      </c>
      <c r="O643" t="s">
        <v>2554</v>
      </c>
      <c r="P643" t="s">
        <v>601</v>
      </c>
      <c r="Q643" t="s">
        <v>734</v>
      </c>
      <c r="R643" t="s">
        <v>3340</v>
      </c>
      <c r="S643" t="s">
        <v>182</v>
      </c>
      <c r="T643" t="s">
        <v>655</v>
      </c>
      <c r="U643" t="s">
        <v>300</v>
      </c>
      <c r="V643" t="s">
        <v>79</v>
      </c>
    </row>
    <row r="644" spans="1:22" x14ac:dyDescent="0.3">
      <c r="A644" t="s">
        <v>3341</v>
      </c>
      <c r="B644" t="s">
        <v>3342</v>
      </c>
      <c r="C644" t="s">
        <v>3343</v>
      </c>
      <c r="D644" t="s">
        <v>2772</v>
      </c>
      <c r="E644" t="s">
        <v>282</v>
      </c>
      <c r="F644" t="s">
        <v>282</v>
      </c>
      <c r="G644" t="s">
        <v>48</v>
      </c>
      <c r="H644" t="s">
        <v>214</v>
      </c>
      <c r="I644" t="s">
        <v>2154</v>
      </c>
      <c r="J644" t="s">
        <v>30</v>
      </c>
      <c r="K644" t="s">
        <v>89</v>
      </c>
      <c r="L644" t="s">
        <v>90</v>
      </c>
      <c r="M644" t="s">
        <v>985</v>
      </c>
      <c r="N644" t="s">
        <v>191</v>
      </c>
      <c r="O644" t="s">
        <v>2542</v>
      </c>
      <c r="P644" t="s">
        <v>392</v>
      </c>
      <c r="Q644" t="s">
        <v>655</v>
      </c>
      <c r="R644" t="s">
        <v>561</v>
      </c>
      <c r="S644" t="s">
        <v>39</v>
      </c>
      <c r="T644" t="s">
        <v>1013</v>
      </c>
      <c r="U644" t="s">
        <v>867</v>
      </c>
      <c r="V644" t="s">
        <v>58</v>
      </c>
    </row>
    <row r="645" spans="1:22" x14ac:dyDescent="0.3">
      <c r="A645" t="s">
        <v>3344</v>
      </c>
      <c r="B645" t="s">
        <v>3345</v>
      </c>
      <c r="C645" t="s">
        <v>3346</v>
      </c>
      <c r="D645" t="s">
        <v>2612</v>
      </c>
      <c r="E645" t="s">
        <v>188</v>
      </c>
      <c r="F645" t="s">
        <v>188</v>
      </c>
      <c r="G645" t="s">
        <v>118</v>
      </c>
      <c r="H645" t="s">
        <v>229</v>
      </c>
      <c r="I645" t="s">
        <v>69</v>
      </c>
      <c r="J645" t="s">
        <v>30</v>
      </c>
      <c r="K645" t="s">
        <v>230</v>
      </c>
      <c r="L645" t="s">
        <v>3347</v>
      </c>
      <c r="M645" t="s">
        <v>3348</v>
      </c>
      <c r="N645" t="s">
        <v>56</v>
      </c>
      <c r="O645" t="s">
        <v>1937</v>
      </c>
      <c r="P645" t="s">
        <v>665</v>
      </c>
      <c r="Q645" t="s">
        <v>153</v>
      </c>
      <c r="R645" t="s">
        <v>3349</v>
      </c>
      <c r="S645" t="s">
        <v>39</v>
      </c>
      <c r="T645" t="s">
        <v>107</v>
      </c>
      <c r="U645" t="s">
        <v>277</v>
      </c>
      <c r="V645" t="s">
        <v>79</v>
      </c>
    </row>
    <row r="646" spans="1:22" x14ac:dyDescent="0.3">
      <c r="A646" t="s">
        <v>3350</v>
      </c>
      <c r="B646" t="s">
        <v>3351</v>
      </c>
      <c r="C646" t="s">
        <v>3352</v>
      </c>
      <c r="D646" t="s">
        <v>3353</v>
      </c>
      <c r="E646" t="s">
        <v>65</v>
      </c>
      <c r="F646" t="s">
        <v>66</v>
      </c>
      <c r="G646" t="s">
        <v>103</v>
      </c>
      <c r="H646" t="s">
        <v>268</v>
      </c>
      <c r="I646" t="s">
        <v>69</v>
      </c>
      <c r="J646" t="s">
        <v>30</v>
      </c>
      <c r="K646" t="s">
        <v>71</v>
      </c>
      <c r="L646" t="s">
        <v>105</v>
      </c>
      <c r="M646" t="s">
        <v>1725</v>
      </c>
      <c r="N646" t="s">
        <v>384</v>
      </c>
      <c r="O646" t="s">
        <v>359</v>
      </c>
      <c r="P646" t="s">
        <v>153</v>
      </c>
      <c r="Q646" t="s">
        <v>583</v>
      </c>
      <c r="R646" t="s">
        <v>3354</v>
      </c>
      <c r="S646" t="s">
        <v>97</v>
      </c>
      <c r="T646" t="s">
        <v>59</v>
      </c>
      <c r="U646" t="s">
        <v>362</v>
      </c>
      <c r="V646" t="s">
        <v>79</v>
      </c>
    </row>
    <row r="647" spans="1:22" x14ac:dyDescent="0.3">
      <c r="A647" t="s">
        <v>3355</v>
      </c>
      <c r="B647" t="s">
        <v>1949</v>
      </c>
      <c r="C647" t="s">
        <v>1950</v>
      </c>
      <c r="D647" t="s">
        <v>3356</v>
      </c>
      <c r="E647" t="s">
        <v>730</v>
      </c>
      <c r="F647" t="s">
        <v>26</v>
      </c>
      <c r="G647" t="s">
        <v>103</v>
      </c>
      <c r="H647" t="s">
        <v>68</v>
      </c>
      <c r="I647" t="s">
        <v>69</v>
      </c>
      <c r="J647" t="s">
        <v>30</v>
      </c>
      <c r="K647" t="s">
        <v>215</v>
      </c>
      <c r="L647" t="s">
        <v>362</v>
      </c>
      <c r="M647" t="s">
        <v>3357</v>
      </c>
      <c r="N647" t="s">
        <v>179</v>
      </c>
      <c r="O647" t="s">
        <v>3357</v>
      </c>
      <c r="P647" t="s">
        <v>2484</v>
      </c>
      <c r="Q647" t="s">
        <v>1248</v>
      </c>
      <c r="R647" t="s">
        <v>3358</v>
      </c>
      <c r="S647" t="s">
        <v>39</v>
      </c>
      <c r="T647" t="s">
        <v>602</v>
      </c>
      <c r="U647" t="s">
        <v>288</v>
      </c>
      <c r="V647" t="s">
        <v>114</v>
      </c>
    </row>
    <row r="648" spans="1:22" x14ac:dyDescent="0.3">
      <c r="A648" t="s">
        <v>3359</v>
      </c>
      <c r="B648" t="s">
        <v>2135</v>
      </c>
      <c r="C648" t="s">
        <v>2136</v>
      </c>
      <c r="D648" t="s">
        <v>3360</v>
      </c>
      <c r="E648" t="s">
        <v>244</v>
      </c>
      <c r="F648" t="s">
        <v>244</v>
      </c>
      <c r="G648" t="s">
        <v>67</v>
      </c>
      <c r="H648" t="s">
        <v>214</v>
      </c>
      <c r="I648" t="s">
        <v>69</v>
      </c>
      <c r="J648" t="s">
        <v>30</v>
      </c>
      <c r="K648" t="s">
        <v>31</v>
      </c>
      <c r="L648" t="s">
        <v>400</v>
      </c>
      <c r="M648" t="s">
        <v>3361</v>
      </c>
      <c r="N648" t="s">
        <v>448</v>
      </c>
      <c r="O648" t="s">
        <v>3362</v>
      </c>
      <c r="P648" t="s">
        <v>2526</v>
      </c>
      <c r="Q648" t="s">
        <v>2143</v>
      </c>
      <c r="R648" t="s">
        <v>1570</v>
      </c>
      <c r="S648" t="s">
        <v>182</v>
      </c>
      <c r="T648" t="s">
        <v>55</v>
      </c>
      <c r="U648" t="s">
        <v>472</v>
      </c>
      <c r="V648" t="s">
        <v>79</v>
      </c>
    </row>
    <row r="649" spans="1:22" x14ac:dyDescent="0.3">
      <c r="A649" t="s">
        <v>3363</v>
      </c>
      <c r="B649" t="s">
        <v>962</v>
      </c>
      <c r="C649" t="s">
        <v>963</v>
      </c>
      <c r="D649" t="s">
        <v>1580</v>
      </c>
      <c r="E649" t="s">
        <v>244</v>
      </c>
      <c r="F649" t="s">
        <v>244</v>
      </c>
      <c r="G649" t="s">
        <v>48</v>
      </c>
      <c r="H649" t="s">
        <v>104</v>
      </c>
      <c r="I649" t="s">
        <v>29</v>
      </c>
      <c r="J649" t="s">
        <v>30</v>
      </c>
      <c r="K649" t="s">
        <v>293</v>
      </c>
      <c r="L649" t="s">
        <v>400</v>
      </c>
      <c r="M649" t="s">
        <v>3364</v>
      </c>
      <c r="N649" t="s">
        <v>361</v>
      </c>
      <c r="O649" t="s">
        <v>205</v>
      </c>
      <c r="P649" t="s">
        <v>1403</v>
      </c>
      <c r="Q649" t="s">
        <v>164</v>
      </c>
      <c r="R649" t="s">
        <v>3365</v>
      </c>
      <c r="S649" t="s">
        <v>79</v>
      </c>
      <c r="T649" t="s">
        <v>782</v>
      </c>
      <c r="U649" t="s">
        <v>41</v>
      </c>
      <c r="V649" t="s">
        <v>58</v>
      </c>
    </row>
    <row r="650" spans="1:22" x14ac:dyDescent="0.3">
      <c r="A650" t="s">
        <v>3366</v>
      </c>
      <c r="B650" t="s">
        <v>510</v>
      </c>
      <c r="C650" t="s">
        <v>511</v>
      </c>
      <c r="D650" t="s">
        <v>512</v>
      </c>
      <c r="E650" t="s">
        <v>282</v>
      </c>
      <c r="F650" t="s">
        <v>282</v>
      </c>
      <c r="G650" t="s">
        <v>27</v>
      </c>
      <c r="H650" t="s">
        <v>88</v>
      </c>
      <c r="I650" t="s">
        <v>69</v>
      </c>
      <c r="J650" t="s">
        <v>70</v>
      </c>
      <c r="K650" t="s">
        <v>71</v>
      </c>
      <c r="L650" t="s">
        <v>201</v>
      </c>
      <c r="M650" t="s">
        <v>419</v>
      </c>
      <c r="N650" t="s">
        <v>336</v>
      </c>
      <c r="O650" t="s">
        <v>1942</v>
      </c>
      <c r="P650" t="s">
        <v>192</v>
      </c>
      <c r="Q650" t="s">
        <v>1434</v>
      </c>
      <c r="R650" t="s">
        <v>3367</v>
      </c>
      <c r="S650" t="s">
        <v>97</v>
      </c>
      <c r="T650" t="s">
        <v>724</v>
      </c>
      <c r="U650" t="s">
        <v>238</v>
      </c>
      <c r="V650" t="s">
        <v>114</v>
      </c>
    </row>
    <row r="651" spans="1:22" x14ac:dyDescent="0.3">
      <c r="A651" t="s">
        <v>3368</v>
      </c>
      <c r="B651" t="s">
        <v>1722</v>
      </c>
      <c r="C651" t="s">
        <v>1723</v>
      </c>
      <c r="D651" t="s">
        <v>690</v>
      </c>
      <c r="E651" t="s">
        <v>378</v>
      </c>
      <c r="F651" t="s">
        <v>282</v>
      </c>
      <c r="G651" t="s">
        <v>147</v>
      </c>
      <c r="H651" t="s">
        <v>49</v>
      </c>
      <c r="I651" t="s">
        <v>69</v>
      </c>
      <c r="J651" t="s">
        <v>162</v>
      </c>
      <c r="K651" t="s">
        <v>245</v>
      </c>
      <c r="L651" t="s">
        <v>466</v>
      </c>
      <c r="M651" t="s">
        <v>636</v>
      </c>
      <c r="N651" t="s">
        <v>170</v>
      </c>
      <c r="O651" t="s">
        <v>1449</v>
      </c>
      <c r="P651" t="s">
        <v>1406</v>
      </c>
      <c r="Q651" t="s">
        <v>237</v>
      </c>
      <c r="R651" t="s">
        <v>3369</v>
      </c>
      <c r="S651" t="s">
        <v>97</v>
      </c>
      <c r="T651" t="s">
        <v>80</v>
      </c>
      <c r="U651" t="s">
        <v>300</v>
      </c>
      <c r="V651" t="s">
        <v>114</v>
      </c>
    </row>
    <row r="652" spans="1:22" x14ac:dyDescent="0.3">
      <c r="A652" t="s">
        <v>3370</v>
      </c>
      <c r="B652" t="s">
        <v>1263</v>
      </c>
      <c r="C652" t="s">
        <v>1264</v>
      </c>
      <c r="D652" t="s">
        <v>3371</v>
      </c>
      <c r="E652" t="s">
        <v>244</v>
      </c>
      <c r="F652" t="s">
        <v>244</v>
      </c>
      <c r="G652" t="s">
        <v>580</v>
      </c>
      <c r="H652" t="s">
        <v>68</v>
      </c>
      <c r="I652" t="s">
        <v>29</v>
      </c>
      <c r="J652" t="s">
        <v>162</v>
      </c>
      <c r="K652" t="s">
        <v>293</v>
      </c>
      <c r="L652" t="s">
        <v>119</v>
      </c>
      <c r="M652" t="s">
        <v>3372</v>
      </c>
      <c r="N652" t="s">
        <v>406</v>
      </c>
      <c r="O652" t="s">
        <v>3373</v>
      </c>
      <c r="P652" t="s">
        <v>2973</v>
      </c>
      <c r="Q652" t="s">
        <v>946</v>
      </c>
      <c r="R652" t="s">
        <v>3374</v>
      </c>
      <c r="S652" t="s">
        <v>182</v>
      </c>
      <c r="T652" t="s">
        <v>774</v>
      </c>
      <c r="U652" t="s">
        <v>373</v>
      </c>
      <c r="V652" t="s">
        <v>42</v>
      </c>
    </row>
    <row r="653" spans="1:22" x14ac:dyDescent="0.3">
      <c r="A653" t="s">
        <v>3375</v>
      </c>
      <c r="B653" t="s">
        <v>825</v>
      </c>
      <c r="C653" t="s">
        <v>826</v>
      </c>
      <c r="D653" t="s">
        <v>1439</v>
      </c>
      <c r="E653" t="s">
        <v>47</v>
      </c>
      <c r="F653" t="s">
        <v>26</v>
      </c>
      <c r="G653" t="s">
        <v>48</v>
      </c>
      <c r="H653" t="s">
        <v>229</v>
      </c>
      <c r="I653" t="s">
        <v>29</v>
      </c>
      <c r="J653" t="s">
        <v>30</v>
      </c>
      <c r="K653" t="s">
        <v>31</v>
      </c>
      <c r="L653" t="s">
        <v>177</v>
      </c>
      <c r="M653" t="s">
        <v>1669</v>
      </c>
      <c r="N653" t="s">
        <v>369</v>
      </c>
      <c r="O653" t="s">
        <v>3376</v>
      </c>
      <c r="P653" t="s">
        <v>2112</v>
      </c>
      <c r="Q653" t="s">
        <v>734</v>
      </c>
      <c r="R653" t="s">
        <v>3377</v>
      </c>
      <c r="S653" t="s">
        <v>97</v>
      </c>
      <c r="T653" t="s">
        <v>107</v>
      </c>
      <c r="U653" t="s">
        <v>98</v>
      </c>
      <c r="V653" t="s">
        <v>79</v>
      </c>
    </row>
    <row r="654" spans="1:22" x14ac:dyDescent="0.3">
      <c r="A654" t="s">
        <v>3378</v>
      </c>
      <c r="B654" t="s">
        <v>1226</v>
      </c>
      <c r="C654" t="s">
        <v>1227</v>
      </c>
      <c r="D654" t="s">
        <v>3379</v>
      </c>
      <c r="E654" t="s">
        <v>893</v>
      </c>
      <c r="F654" t="s">
        <v>188</v>
      </c>
      <c r="G654" t="s">
        <v>147</v>
      </c>
      <c r="H654" t="s">
        <v>68</v>
      </c>
      <c r="I654" t="s">
        <v>29</v>
      </c>
      <c r="J654" t="s">
        <v>30</v>
      </c>
      <c r="K654" t="s">
        <v>50</v>
      </c>
      <c r="L654" t="s">
        <v>111</v>
      </c>
      <c r="M654" t="s">
        <v>1051</v>
      </c>
      <c r="N654" t="s">
        <v>179</v>
      </c>
      <c r="O654" t="s">
        <v>1051</v>
      </c>
      <c r="P654" t="s">
        <v>1430</v>
      </c>
      <c r="Q654" t="s">
        <v>1303</v>
      </c>
      <c r="R654" t="s">
        <v>3380</v>
      </c>
      <c r="S654" t="s">
        <v>126</v>
      </c>
      <c r="T654" t="s">
        <v>40</v>
      </c>
      <c r="U654" t="s">
        <v>128</v>
      </c>
      <c r="V654" t="s">
        <v>42</v>
      </c>
    </row>
    <row r="655" spans="1:22" x14ac:dyDescent="0.3">
      <c r="A655" t="s">
        <v>3381</v>
      </c>
      <c r="B655" t="s">
        <v>1452</v>
      </c>
      <c r="C655" t="s">
        <v>1453</v>
      </c>
      <c r="D655" t="s">
        <v>3382</v>
      </c>
      <c r="E655" t="s">
        <v>87</v>
      </c>
      <c r="F655" t="s">
        <v>26</v>
      </c>
      <c r="G655" t="s">
        <v>213</v>
      </c>
      <c r="H655" t="s">
        <v>214</v>
      </c>
      <c r="I655" t="s">
        <v>29</v>
      </c>
      <c r="J655" t="s">
        <v>30</v>
      </c>
      <c r="K655" t="s">
        <v>200</v>
      </c>
      <c r="L655" t="s">
        <v>561</v>
      </c>
      <c r="M655" t="s">
        <v>3383</v>
      </c>
      <c r="N655" t="s">
        <v>92</v>
      </c>
      <c r="O655" t="s">
        <v>283</v>
      </c>
      <c r="P655" t="s">
        <v>2461</v>
      </c>
      <c r="Q655" t="s">
        <v>1395</v>
      </c>
      <c r="R655" t="s">
        <v>3384</v>
      </c>
      <c r="S655" t="s">
        <v>79</v>
      </c>
      <c r="T655" t="s">
        <v>1642</v>
      </c>
      <c r="U655" t="s">
        <v>472</v>
      </c>
      <c r="V655" t="s">
        <v>58</v>
      </c>
    </row>
    <row r="656" spans="1:22" x14ac:dyDescent="0.3">
      <c r="A656" t="s">
        <v>3385</v>
      </c>
      <c r="B656" t="s">
        <v>1662</v>
      </c>
      <c r="C656" t="s">
        <v>1663</v>
      </c>
      <c r="D656" t="s">
        <v>2072</v>
      </c>
      <c r="E656" t="s">
        <v>244</v>
      </c>
      <c r="F656" t="s">
        <v>244</v>
      </c>
      <c r="G656" t="s">
        <v>580</v>
      </c>
      <c r="H656" t="s">
        <v>104</v>
      </c>
      <c r="I656" t="s">
        <v>29</v>
      </c>
      <c r="J656" t="s">
        <v>70</v>
      </c>
      <c r="K656" t="s">
        <v>200</v>
      </c>
      <c r="L656" t="s">
        <v>163</v>
      </c>
      <c r="M656" t="s">
        <v>3386</v>
      </c>
      <c r="N656" t="s">
        <v>782</v>
      </c>
      <c r="O656" t="s">
        <v>3387</v>
      </c>
      <c r="P656" t="s">
        <v>2609</v>
      </c>
      <c r="Q656" t="s">
        <v>1681</v>
      </c>
      <c r="R656" t="s">
        <v>3388</v>
      </c>
      <c r="S656" t="s">
        <v>39</v>
      </c>
      <c r="T656" t="s">
        <v>666</v>
      </c>
      <c r="U656" t="s">
        <v>537</v>
      </c>
      <c r="V656" t="s">
        <v>42</v>
      </c>
    </row>
    <row r="657" spans="1:22" x14ac:dyDescent="0.3">
      <c r="A657" t="s">
        <v>3389</v>
      </c>
      <c r="B657" t="s">
        <v>2523</v>
      </c>
      <c r="C657" t="s">
        <v>2524</v>
      </c>
      <c r="D657" t="s">
        <v>3390</v>
      </c>
      <c r="E657" t="s">
        <v>1321</v>
      </c>
      <c r="F657" t="s">
        <v>228</v>
      </c>
      <c r="G657" t="s">
        <v>213</v>
      </c>
      <c r="H657" t="s">
        <v>49</v>
      </c>
      <c r="I657" t="s">
        <v>29</v>
      </c>
      <c r="J657" t="s">
        <v>30</v>
      </c>
      <c r="K657" t="s">
        <v>230</v>
      </c>
      <c r="L657" t="s">
        <v>902</v>
      </c>
      <c r="M657" t="s">
        <v>3391</v>
      </c>
      <c r="N657" t="s">
        <v>179</v>
      </c>
      <c r="O657" t="s">
        <v>3391</v>
      </c>
      <c r="P657" t="s">
        <v>1315</v>
      </c>
      <c r="Q657" t="s">
        <v>2819</v>
      </c>
      <c r="R657" t="s">
        <v>3392</v>
      </c>
      <c r="S657" t="s">
        <v>79</v>
      </c>
      <c r="T657" t="s">
        <v>233</v>
      </c>
      <c r="U657" t="s">
        <v>744</v>
      </c>
      <c r="V657" t="s">
        <v>82</v>
      </c>
    </row>
    <row r="658" spans="1:22" x14ac:dyDescent="0.3">
      <c r="A658" t="s">
        <v>3393</v>
      </c>
      <c r="B658" t="s">
        <v>2504</v>
      </c>
      <c r="C658" t="s">
        <v>2505</v>
      </c>
      <c r="D658" t="s">
        <v>1351</v>
      </c>
      <c r="E658" t="s">
        <v>282</v>
      </c>
      <c r="F658" t="s">
        <v>282</v>
      </c>
      <c r="G658" t="s">
        <v>213</v>
      </c>
      <c r="H658" t="s">
        <v>214</v>
      </c>
      <c r="I658" t="s">
        <v>69</v>
      </c>
      <c r="J658" t="s">
        <v>30</v>
      </c>
      <c r="K658" t="s">
        <v>71</v>
      </c>
      <c r="L658" t="s">
        <v>258</v>
      </c>
      <c r="M658" t="s">
        <v>2434</v>
      </c>
      <c r="N658" t="s">
        <v>369</v>
      </c>
      <c r="O658" t="s">
        <v>791</v>
      </c>
      <c r="P658" t="s">
        <v>1864</v>
      </c>
      <c r="Q658" t="s">
        <v>2378</v>
      </c>
      <c r="R658" t="s">
        <v>3394</v>
      </c>
      <c r="S658" t="s">
        <v>182</v>
      </c>
      <c r="T658" t="s">
        <v>328</v>
      </c>
      <c r="U658" t="s">
        <v>41</v>
      </c>
      <c r="V658" t="s">
        <v>42</v>
      </c>
    </row>
    <row r="659" spans="1:22" x14ac:dyDescent="0.3">
      <c r="A659" t="s">
        <v>3395</v>
      </c>
      <c r="B659" t="s">
        <v>3015</v>
      </c>
      <c r="C659" t="s">
        <v>3016</v>
      </c>
      <c r="D659" t="s">
        <v>3396</v>
      </c>
      <c r="E659" t="s">
        <v>66</v>
      </c>
      <c r="F659" t="s">
        <v>66</v>
      </c>
      <c r="G659" t="s">
        <v>27</v>
      </c>
      <c r="H659" t="s">
        <v>104</v>
      </c>
      <c r="I659" t="s">
        <v>69</v>
      </c>
      <c r="J659" t="s">
        <v>30</v>
      </c>
      <c r="K659" t="s">
        <v>293</v>
      </c>
      <c r="L659" t="s">
        <v>333</v>
      </c>
      <c r="M659" t="s">
        <v>3397</v>
      </c>
      <c r="N659" t="s">
        <v>1303</v>
      </c>
      <c r="O659" t="s">
        <v>1283</v>
      </c>
      <c r="P659" t="s">
        <v>1604</v>
      </c>
      <c r="Q659" t="s">
        <v>3398</v>
      </c>
      <c r="R659" t="s">
        <v>3399</v>
      </c>
      <c r="S659" t="s">
        <v>182</v>
      </c>
      <c r="T659" t="s">
        <v>191</v>
      </c>
      <c r="U659" t="s">
        <v>238</v>
      </c>
      <c r="V659" t="s">
        <v>82</v>
      </c>
    </row>
    <row r="660" spans="1:22" x14ac:dyDescent="0.3">
      <c r="A660" t="s">
        <v>3400</v>
      </c>
      <c r="B660" t="s">
        <v>1535</v>
      </c>
      <c r="C660" t="s">
        <v>1536</v>
      </c>
      <c r="D660" t="s">
        <v>2035</v>
      </c>
      <c r="E660" t="s">
        <v>133</v>
      </c>
      <c r="F660" t="s">
        <v>134</v>
      </c>
      <c r="G660" t="s">
        <v>27</v>
      </c>
      <c r="H660" t="s">
        <v>68</v>
      </c>
      <c r="I660" t="s">
        <v>69</v>
      </c>
      <c r="J660" t="s">
        <v>30</v>
      </c>
      <c r="K660" t="s">
        <v>31</v>
      </c>
      <c r="L660" t="s">
        <v>189</v>
      </c>
      <c r="M660" t="s">
        <v>3401</v>
      </c>
      <c r="O660" t="s">
        <v>3402</v>
      </c>
      <c r="P660" t="s">
        <v>1473</v>
      </c>
      <c r="Q660" t="s">
        <v>2501</v>
      </c>
      <c r="R660" t="s">
        <v>3403</v>
      </c>
      <c r="S660" t="s">
        <v>97</v>
      </c>
      <c r="T660" t="s">
        <v>127</v>
      </c>
      <c r="U660" t="s">
        <v>362</v>
      </c>
      <c r="V660" t="s">
        <v>79</v>
      </c>
    </row>
    <row r="661" spans="1:22" x14ac:dyDescent="0.3">
      <c r="A661" t="s">
        <v>3404</v>
      </c>
      <c r="B661" t="s">
        <v>595</v>
      </c>
      <c r="C661" t="s">
        <v>596</v>
      </c>
      <c r="D661" t="s">
        <v>1552</v>
      </c>
      <c r="E661" t="s">
        <v>780</v>
      </c>
      <c r="F661" t="s">
        <v>282</v>
      </c>
      <c r="G661" t="s">
        <v>67</v>
      </c>
      <c r="H661" t="s">
        <v>49</v>
      </c>
      <c r="I661" t="s">
        <v>29</v>
      </c>
      <c r="J661" t="s">
        <v>30</v>
      </c>
      <c r="K661" t="s">
        <v>293</v>
      </c>
      <c r="L661" t="s">
        <v>72</v>
      </c>
      <c r="M661" t="s">
        <v>636</v>
      </c>
      <c r="N661" t="s">
        <v>179</v>
      </c>
      <c r="O661" t="s">
        <v>636</v>
      </c>
      <c r="P661" t="s">
        <v>164</v>
      </c>
      <c r="Q661" t="s">
        <v>359</v>
      </c>
      <c r="R661" t="s">
        <v>3405</v>
      </c>
      <c r="S661" t="s">
        <v>58</v>
      </c>
      <c r="T661" t="s">
        <v>183</v>
      </c>
      <c r="U661" t="s">
        <v>300</v>
      </c>
      <c r="V661" t="s">
        <v>82</v>
      </c>
    </row>
    <row r="662" spans="1:22" x14ac:dyDescent="0.3">
      <c r="A662" t="s">
        <v>3406</v>
      </c>
      <c r="B662" t="s">
        <v>746</v>
      </c>
      <c r="C662" t="s">
        <v>747</v>
      </c>
      <c r="D662" t="s">
        <v>1168</v>
      </c>
      <c r="E662" t="s">
        <v>188</v>
      </c>
      <c r="F662" t="s">
        <v>188</v>
      </c>
      <c r="G662" t="s">
        <v>213</v>
      </c>
      <c r="H662" t="s">
        <v>68</v>
      </c>
      <c r="I662" t="s">
        <v>69</v>
      </c>
      <c r="J662" t="s">
        <v>30</v>
      </c>
      <c r="K662" t="s">
        <v>293</v>
      </c>
      <c r="L662" t="s">
        <v>362</v>
      </c>
      <c r="M662" t="s">
        <v>3407</v>
      </c>
      <c r="N662" t="s">
        <v>179</v>
      </c>
      <c r="O662" t="s">
        <v>3407</v>
      </c>
      <c r="P662" t="s">
        <v>1596</v>
      </c>
      <c r="Q662" t="s">
        <v>2537</v>
      </c>
      <c r="R662" t="s">
        <v>3408</v>
      </c>
      <c r="S662" t="s">
        <v>39</v>
      </c>
      <c r="T662" t="s">
        <v>482</v>
      </c>
      <c r="U662" t="s">
        <v>98</v>
      </c>
      <c r="V662" t="s">
        <v>79</v>
      </c>
    </row>
    <row r="663" spans="1:22" x14ac:dyDescent="0.3">
      <c r="A663" t="s">
        <v>3409</v>
      </c>
      <c r="B663" t="s">
        <v>1232</v>
      </c>
      <c r="C663" t="s">
        <v>1233</v>
      </c>
      <c r="D663" t="s">
        <v>389</v>
      </c>
      <c r="E663" t="s">
        <v>87</v>
      </c>
      <c r="F663" t="s">
        <v>26</v>
      </c>
      <c r="G663" t="s">
        <v>48</v>
      </c>
      <c r="H663" t="s">
        <v>49</v>
      </c>
      <c r="I663" t="s">
        <v>29</v>
      </c>
      <c r="J663" t="s">
        <v>30</v>
      </c>
      <c r="K663" t="s">
        <v>245</v>
      </c>
      <c r="L663" t="s">
        <v>148</v>
      </c>
      <c r="M663" t="s">
        <v>3410</v>
      </c>
      <c r="N663" t="s">
        <v>259</v>
      </c>
      <c r="O663" t="s">
        <v>2967</v>
      </c>
      <c r="P663" t="s">
        <v>1600</v>
      </c>
      <c r="Q663" t="s">
        <v>564</v>
      </c>
      <c r="R663" t="s">
        <v>3411</v>
      </c>
      <c r="S663" t="s">
        <v>97</v>
      </c>
      <c r="T663" t="s">
        <v>724</v>
      </c>
      <c r="U663" t="s">
        <v>423</v>
      </c>
      <c r="V663" t="s">
        <v>82</v>
      </c>
    </row>
    <row r="664" spans="1:22" x14ac:dyDescent="0.3">
      <c r="A664" t="s">
        <v>3412</v>
      </c>
      <c r="B664" t="s">
        <v>3413</v>
      </c>
      <c r="C664" t="s">
        <v>3414</v>
      </c>
      <c r="D664" t="s">
        <v>1594</v>
      </c>
      <c r="E664" t="s">
        <v>133</v>
      </c>
      <c r="F664" t="s">
        <v>134</v>
      </c>
      <c r="G664" t="s">
        <v>48</v>
      </c>
      <c r="H664" t="s">
        <v>49</v>
      </c>
      <c r="I664" t="s">
        <v>69</v>
      </c>
      <c r="J664" t="s">
        <v>30</v>
      </c>
      <c r="K664" t="s">
        <v>215</v>
      </c>
      <c r="L664" t="s">
        <v>111</v>
      </c>
      <c r="M664" t="s">
        <v>822</v>
      </c>
      <c r="N664" t="s">
        <v>142</v>
      </c>
      <c r="O664" t="s">
        <v>2527</v>
      </c>
      <c r="P664" t="s">
        <v>1096</v>
      </c>
      <c r="Q664" t="s">
        <v>310</v>
      </c>
      <c r="R664" t="s">
        <v>3380</v>
      </c>
      <c r="S664" t="s">
        <v>58</v>
      </c>
      <c r="T664" t="s">
        <v>165</v>
      </c>
      <c r="U664" t="s">
        <v>98</v>
      </c>
      <c r="V664" t="s">
        <v>114</v>
      </c>
    </row>
    <row r="665" spans="1:22" x14ac:dyDescent="0.3">
      <c r="A665" t="s">
        <v>3415</v>
      </c>
      <c r="B665" t="s">
        <v>3148</v>
      </c>
      <c r="C665" t="s">
        <v>3149</v>
      </c>
      <c r="D665" t="s">
        <v>3115</v>
      </c>
      <c r="E665" t="s">
        <v>730</v>
      </c>
      <c r="F665" t="s">
        <v>26</v>
      </c>
      <c r="G665" t="s">
        <v>213</v>
      </c>
      <c r="H665" t="s">
        <v>49</v>
      </c>
      <c r="I665" t="s">
        <v>69</v>
      </c>
      <c r="J665" t="s">
        <v>30</v>
      </c>
      <c r="K665" t="s">
        <v>245</v>
      </c>
      <c r="L665" t="s">
        <v>135</v>
      </c>
      <c r="M665" t="s">
        <v>1872</v>
      </c>
      <c r="N665" t="s">
        <v>1013</v>
      </c>
      <c r="O665" t="s">
        <v>2180</v>
      </c>
      <c r="P665" t="s">
        <v>347</v>
      </c>
      <c r="Q665" t="s">
        <v>645</v>
      </c>
      <c r="R665" t="s">
        <v>3416</v>
      </c>
      <c r="S665" t="s">
        <v>182</v>
      </c>
      <c r="T665" t="s">
        <v>770</v>
      </c>
      <c r="U665" t="s">
        <v>60</v>
      </c>
      <c r="V665" t="s">
        <v>79</v>
      </c>
    </row>
    <row r="666" spans="1:22" x14ac:dyDescent="0.3">
      <c r="A666" t="s">
        <v>3417</v>
      </c>
      <c r="B666" t="s">
        <v>3056</v>
      </c>
      <c r="C666" t="s">
        <v>3057</v>
      </c>
      <c r="D666" t="s">
        <v>3418</v>
      </c>
      <c r="E666" t="s">
        <v>227</v>
      </c>
      <c r="F666" t="s">
        <v>228</v>
      </c>
      <c r="G666" t="s">
        <v>118</v>
      </c>
      <c r="H666" t="s">
        <v>268</v>
      </c>
      <c r="I666" t="s">
        <v>69</v>
      </c>
      <c r="J666" t="s">
        <v>30</v>
      </c>
      <c r="K666" t="s">
        <v>71</v>
      </c>
      <c r="L666" t="s">
        <v>32</v>
      </c>
      <c r="M666" t="s">
        <v>3419</v>
      </c>
      <c r="N666" t="s">
        <v>179</v>
      </c>
      <c r="O666" t="s">
        <v>3419</v>
      </c>
      <c r="P666" t="s">
        <v>2648</v>
      </c>
      <c r="Q666" t="s">
        <v>3420</v>
      </c>
      <c r="R666" t="s">
        <v>3421</v>
      </c>
      <c r="S666" t="s">
        <v>79</v>
      </c>
      <c r="T666" t="s">
        <v>1773</v>
      </c>
      <c r="U666" t="s">
        <v>373</v>
      </c>
      <c r="V666" t="s">
        <v>82</v>
      </c>
    </row>
    <row r="667" spans="1:22" x14ac:dyDescent="0.3">
      <c r="A667" t="s">
        <v>3422</v>
      </c>
      <c r="B667" t="s">
        <v>3423</v>
      </c>
      <c r="C667" t="s">
        <v>3424</v>
      </c>
      <c r="D667" t="s">
        <v>3425</v>
      </c>
      <c r="E667" t="s">
        <v>228</v>
      </c>
      <c r="F667" t="s">
        <v>228</v>
      </c>
      <c r="G667" t="s">
        <v>580</v>
      </c>
      <c r="H667" t="s">
        <v>214</v>
      </c>
      <c r="I667" t="s">
        <v>29</v>
      </c>
      <c r="J667" t="s">
        <v>30</v>
      </c>
      <c r="K667" t="s">
        <v>293</v>
      </c>
      <c r="L667" t="s">
        <v>1049</v>
      </c>
      <c r="M667" t="s">
        <v>2967</v>
      </c>
      <c r="N667" t="s">
        <v>3012</v>
      </c>
      <c r="O667" t="s">
        <v>2333</v>
      </c>
      <c r="P667" t="s">
        <v>1888</v>
      </c>
      <c r="Q667" t="s">
        <v>208</v>
      </c>
      <c r="R667" t="s">
        <v>3426</v>
      </c>
      <c r="S667" t="s">
        <v>58</v>
      </c>
      <c r="T667" t="s">
        <v>648</v>
      </c>
      <c r="U667" t="s">
        <v>394</v>
      </c>
      <c r="V667" t="s">
        <v>114</v>
      </c>
    </row>
    <row r="668" spans="1:22" x14ac:dyDescent="0.3">
      <c r="A668" t="s">
        <v>3427</v>
      </c>
      <c r="B668" t="s">
        <v>185</v>
      </c>
      <c r="C668" t="s">
        <v>186</v>
      </c>
      <c r="D668" t="s">
        <v>2943</v>
      </c>
      <c r="E668" t="s">
        <v>893</v>
      </c>
      <c r="F668" t="s">
        <v>188</v>
      </c>
      <c r="G668" t="s">
        <v>103</v>
      </c>
      <c r="H668" t="s">
        <v>104</v>
      </c>
      <c r="I668" t="s">
        <v>29</v>
      </c>
      <c r="J668" t="s">
        <v>70</v>
      </c>
      <c r="K668" t="s">
        <v>71</v>
      </c>
      <c r="L668" t="s">
        <v>691</v>
      </c>
      <c r="M668" t="s">
        <v>3428</v>
      </c>
      <c r="N668" t="s">
        <v>179</v>
      </c>
      <c r="O668" t="s">
        <v>3428</v>
      </c>
      <c r="P668" t="s">
        <v>3429</v>
      </c>
      <c r="Q668" t="s">
        <v>2501</v>
      </c>
      <c r="R668" t="s">
        <v>3430</v>
      </c>
      <c r="S668" t="s">
        <v>58</v>
      </c>
      <c r="T668" t="s">
        <v>604</v>
      </c>
      <c r="U668" t="s">
        <v>394</v>
      </c>
      <c r="V668" t="s">
        <v>58</v>
      </c>
    </row>
    <row r="669" spans="1:22" x14ac:dyDescent="0.3">
      <c r="A669" t="s">
        <v>3431</v>
      </c>
      <c r="B669" t="s">
        <v>2191</v>
      </c>
      <c r="C669" t="s">
        <v>2192</v>
      </c>
      <c r="D669" t="s">
        <v>3432</v>
      </c>
      <c r="E669" t="s">
        <v>780</v>
      </c>
      <c r="F669" t="s">
        <v>282</v>
      </c>
      <c r="G669" t="s">
        <v>147</v>
      </c>
      <c r="H669" t="s">
        <v>28</v>
      </c>
      <c r="I669" t="s">
        <v>29</v>
      </c>
      <c r="J669" t="s">
        <v>70</v>
      </c>
      <c r="K669" t="s">
        <v>245</v>
      </c>
      <c r="L669" t="s">
        <v>362</v>
      </c>
      <c r="M669" t="s">
        <v>709</v>
      </c>
      <c r="N669" t="s">
        <v>179</v>
      </c>
      <c r="O669" t="s">
        <v>709</v>
      </c>
      <c r="P669" t="s">
        <v>635</v>
      </c>
      <c r="Q669" t="s">
        <v>805</v>
      </c>
      <c r="R669" t="s">
        <v>3433</v>
      </c>
      <c r="S669" t="s">
        <v>97</v>
      </c>
      <c r="T669" t="s">
        <v>92</v>
      </c>
      <c r="U669" t="s">
        <v>171</v>
      </c>
      <c r="V669" t="s">
        <v>114</v>
      </c>
    </row>
    <row r="670" spans="1:22" x14ac:dyDescent="0.3">
      <c r="A670" t="s">
        <v>3434</v>
      </c>
      <c r="B670" t="s">
        <v>3435</v>
      </c>
      <c r="C670" t="s">
        <v>3436</v>
      </c>
      <c r="D670" t="s">
        <v>3017</v>
      </c>
      <c r="E670" t="s">
        <v>133</v>
      </c>
      <c r="F670" t="s">
        <v>134</v>
      </c>
      <c r="G670" t="s">
        <v>147</v>
      </c>
      <c r="H670" t="s">
        <v>28</v>
      </c>
      <c r="I670" t="s">
        <v>29</v>
      </c>
      <c r="J670" t="s">
        <v>162</v>
      </c>
      <c r="K670" t="s">
        <v>31</v>
      </c>
      <c r="L670" t="s">
        <v>1295</v>
      </c>
      <c r="M670" t="s">
        <v>2404</v>
      </c>
      <c r="N670" t="s">
        <v>306</v>
      </c>
      <c r="O670" t="s">
        <v>2067</v>
      </c>
      <c r="P670" t="s">
        <v>1490</v>
      </c>
      <c r="Q670" t="s">
        <v>1302</v>
      </c>
      <c r="R670" t="s">
        <v>3437</v>
      </c>
      <c r="S670" t="s">
        <v>39</v>
      </c>
      <c r="T670" t="s">
        <v>751</v>
      </c>
      <c r="U670" t="s">
        <v>407</v>
      </c>
      <c r="V670" t="s">
        <v>42</v>
      </c>
    </row>
    <row r="671" spans="1:22" x14ac:dyDescent="0.3">
      <c r="A671" t="s">
        <v>3438</v>
      </c>
      <c r="B671" t="s">
        <v>2443</v>
      </c>
      <c r="C671" t="s">
        <v>2444</v>
      </c>
      <c r="D671" t="s">
        <v>1574</v>
      </c>
      <c r="E671" t="s">
        <v>780</v>
      </c>
      <c r="F671" t="s">
        <v>282</v>
      </c>
      <c r="G671" t="s">
        <v>580</v>
      </c>
      <c r="H671" t="s">
        <v>104</v>
      </c>
      <c r="I671" t="s">
        <v>69</v>
      </c>
      <c r="J671" t="s">
        <v>30</v>
      </c>
      <c r="K671" t="s">
        <v>293</v>
      </c>
      <c r="L671" t="s">
        <v>269</v>
      </c>
      <c r="M671" t="s">
        <v>149</v>
      </c>
      <c r="N671" t="s">
        <v>168</v>
      </c>
      <c r="O671" t="s">
        <v>497</v>
      </c>
      <c r="P671" t="s">
        <v>368</v>
      </c>
      <c r="Q671" t="s">
        <v>56</v>
      </c>
      <c r="R671" t="s">
        <v>3439</v>
      </c>
      <c r="S671" t="s">
        <v>58</v>
      </c>
      <c r="T671" t="s">
        <v>170</v>
      </c>
      <c r="U671" t="s">
        <v>128</v>
      </c>
      <c r="V671" t="s">
        <v>79</v>
      </c>
    </row>
    <row r="672" spans="1:22" x14ac:dyDescent="0.3">
      <c r="A672" t="s">
        <v>3440</v>
      </c>
      <c r="B672" t="s">
        <v>3028</v>
      </c>
      <c r="C672" t="s">
        <v>3029</v>
      </c>
      <c r="D672" t="s">
        <v>2981</v>
      </c>
      <c r="E672" t="s">
        <v>354</v>
      </c>
      <c r="F672" t="s">
        <v>134</v>
      </c>
      <c r="G672" t="s">
        <v>103</v>
      </c>
      <c r="H672" t="s">
        <v>68</v>
      </c>
      <c r="I672" t="s">
        <v>29</v>
      </c>
      <c r="J672" t="s">
        <v>70</v>
      </c>
      <c r="K672" t="s">
        <v>293</v>
      </c>
      <c r="L672" t="s">
        <v>598</v>
      </c>
      <c r="M672" t="s">
        <v>1634</v>
      </c>
      <c r="N672" t="s">
        <v>600</v>
      </c>
      <c r="O672" t="s">
        <v>1158</v>
      </c>
      <c r="P672" t="s">
        <v>1492</v>
      </c>
      <c r="Q672" t="s">
        <v>392</v>
      </c>
      <c r="R672" t="s">
        <v>3441</v>
      </c>
      <c r="S672" t="s">
        <v>126</v>
      </c>
      <c r="T672" t="s">
        <v>499</v>
      </c>
      <c r="U672" t="s">
        <v>407</v>
      </c>
      <c r="V672" t="s">
        <v>82</v>
      </c>
    </row>
    <row r="673" spans="1:22" x14ac:dyDescent="0.3">
      <c r="A673" t="s">
        <v>3442</v>
      </c>
      <c r="B673" t="s">
        <v>3351</v>
      </c>
      <c r="C673" t="s">
        <v>3352</v>
      </c>
      <c r="D673" t="s">
        <v>3443</v>
      </c>
      <c r="E673" t="s">
        <v>417</v>
      </c>
      <c r="F673" t="s">
        <v>134</v>
      </c>
      <c r="G673" t="s">
        <v>213</v>
      </c>
      <c r="H673" t="s">
        <v>214</v>
      </c>
      <c r="I673" t="s">
        <v>69</v>
      </c>
      <c r="J673" t="s">
        <v>30</v>
      </c>
      <c r="K673" t="s">
        <v>293</v>
      </c>
      <c r="L673" t="s">
        <v>258</v>
      </c>
      <c r="M673" t="s">
        <v>2339</v>
      </c>
      <c r="N673" t="s">
        <v>179</v>
      </c>
      <c r="O673" t="s">
        <v>2339</v>
      </c>
      <c r="P673" t="s">
        <v>976</v>
      </c>
      <c r="Q673" t="s">
        <v>1539</v>
      </c>
      <c r="R673" t="s">
        <v>3444</v>
      </c>
      <c r="S673" t="s">
        <v>182</v>
      </c>
      <c r="T673" t="s">
        <v>34</v>
      </c>
      <c r="U673" t="s">
        <v>394</v>
      </c>
      <c r="V673" t="s">
        <v>58</v>
      </c>
    </row>
    <row r="674" spans="1:22" x14ac:dyDescent="0.3">
      <c r="A674" t="s">
        <v>3445</v>
      </c>
      <c r="B674" t="s">
        <v>1101</v>
      </c>
      <c r="C674" t="s">
        <v>1102</v>
      </c>
      <c r="D674" t="s">
        <v>1763</v>
      </c>
      <c r="E674" t="s">
        <v>672</v>
      </c>
      <c r="F674" t="s">
        <v>244</v>
      </c>
      <c r="G674" t="s">
        <v>213</v>
      </c>
      <c r="H674" t="s">
        <v>229</v>
      </c>
      <c r="I674" t="s">
        <v>69</v>
      </c>
      <c r="J674" t="s">
        <v>162</v>
      </c>
      <c r="K674" t="s">
        <v>71</v>
      </c>
      <c r="L674" t="s">
        <v>258</v>
      </c>
      <c r="M674" t="s">
        <v>1822</v>
      </c>
      <c r="N674" t="s">
        <v>1491</v>
      </c>
      <c r="O674" t="s">
        <v>3446</v>
      </c>
      <c r="P674" t="s">
        <v>1979</v>
      </c>
      <c r="Q674" t="s">
        <v>886</v>
      </c>
      <c r="R674" t="s">
        <v>1407</v>
      </c>
      <c r="S674" t="s">
        <v>97</v>
      </c>
      <c r="T674" t="s">
        <v>604</v>
      </c>
      <c r="U674" t="s">
        <v>373</v>
      </c>
      <c r="V674" t="s">
        <v>79</v>
      </c>
    </row>
    <row r="675" spans="1:22" x14ac:dyDescent="0.3">
      <c r="A675" t="s">
        <v>3447</v>
      </c>
      <c r="B675" t="s">
        <v>3448</v>
      </c>
      <c r="C675" t="s">
        <v>3449</v>
      </c>
      <c r="D675" t="s">
        <v>3214</v>
      </c>
      <c r="E675" t="s">
        <v>243</v>
      </c>
      <c r="F675" t="s">
        <v>244</v>
      </c>
      <c r="G675" t="s">
        <v>147</v>
      </c>
      <c r="H675" t="s">
        <v>268</v>
      </c>
      <c r="I675" t="s">
        <v>69</v>
      </c>
      <c r="J675" t="s">
        <v>162</v>
      </c>
      <c r="K675" t="s">
        <v>200</v>
      </c>
      <c r="L675" t="s">
        <v>90</v>
      </c>
      <c r="M675" t="s">
        <v>1725</v>
      </c>
      <c r="N675" t="s">
        <v>179</v>
      </c>
      <c r="O675" t="s">
        <v>1725</v>
      </c>
      <c r="P675" t="s">
        <v>54</v>
      </c>
      <c r="Q675" t="s">
        <v>56</v>
      </c>
      <c r="R675" t="s">
        <v>1726</v>
      </c>
      <c r="S675" t="s">
        <v>58</v>
      </c>
      <c r="T675" t="s">
        <v>59</v>
      </c>
      <c r="U675" t="s">
        <v>394</v>
      </c>
      <c r="V675" t="s">
        <v>82</v>
      </c>
    </row>
    <row r="676" spans="1:22" x14ac:dyDescent="0.3">
      <c r="A676" t="s">
        <v>3450</v>
      </c>
      <c r="B676" t="s">
        <v>3451</v>
      </c>
      <c r="C676" t="s">
        <v>3452</v>
      </c>
      <c r="D676" t="s">
        <v>1532</v>
      </c>
      <c r="E676" t="s">
        <v>417</v>
      </c>
      <c r="F676" t="s">
        <v>134</v>
      </c>
      <c r="G676" t="s">
        <v>147</v>
      </c>
      <c r="H676" t="s">
        <v>229</v>
      </c>
      <c r="I676" t="s">
        <v>69</v>
      </c>
      <c r="J676" t="s">
        <v>70</v>
      </c>
      <c r="K676" t="s">
        <v>89</v>
      </c>
      <c r="L676" t="s">
        <v>177</v>
      </c>
      <c r="M676" t="s">
        <v>2339</v>
      </c>
      <c r="N676" t="s">
        <v>518</v>
      </c>
      <c r="O676" t="s">
        <v>2660</v>
      </c>
      <c r="P676" t="s">
        <v>3397</v>
      </c>
      <c r="Q676" t="s">
        <v>203</v>
      </c>
      <c r="R676" t="s">
        <v>3453</v>
      </c>
      <c r="S676" t="s">
        <v>39</v>
      </c>
      <c r="T676" t="s">
        <v>237</v>
      </c>
      <c r="U676" t="s">
        <v>472</v>
      </c>
      <c r="V676" t="s">
        <v>42</v>
      </c>
    </row>
    <row r="677" spans="1:22" x14ac:dyDescent="0.3">
      <c r="A677" t="s">
        <v>3454</v>
      </c>
      <c r="B677" t="s">
        <v>2089</v>
      </c>
      <c r="C677" t="s">
        <v>2090</v>
      </c>
      <c r="D677" t="s">
        <v>3455</v>
      </c>
      <c r="E677" t="s">
        <v>176</v>
      </c>
      <c r="F677" t="s">
        <v>161</v>
      </c>
      <c r="G677" t="s">
        <v>27</v>
      </c>
      <c r="H677" t="s">
        <v>49</v>
      </c>
      <c r="I677" t="s">
        <v>69</v>
      </c>
      <c r="J677" t="s">
        <v>30</v>
      </c>
      <c r="K677" t="s">
        <v>293</v>
      </c>
      <c r="L677" t="s">
        <v>658</v>
      </c>
      <c r="M677" t="s">
        <v>504</v>
      </c>
      <c r="N677" t="s">
        <v>384</v>
      </c>
      <c r="O677" t="s">
        <v>3456</v>
      </c>
      <c r="P677" t="s">
        <v>1260</v>
      </c>
      <c r="Q677" t="s">
        <v>1827</v>
      </c>
      <c r="R677" t="s">
        <v>3457</v>
      </c>
      <c r="S677" t="s">
        <v>79</v>
      </c>
      <c r="T677" t="s">
        <v>299</v>
      </c>
      <c r="U677" t="s">
        <v>277</v>
      </c>
      <c r="V677" t="s">
        <v>82</v>
      </c>
    </row>
    <row r="678" spans="1:22" x14ac:dyDescent="0.3">
      <c r="A678" t="s">
        <v>3458</v>
      </c>
      <c r="B678" t="s">
        <v>1741</v>
      </c>
      <c r="C678" t="s">
        <v>1742</v>
      </c>
      <c r="D678" t="s">
        <v>2466</v>
      </c>
      <c r="E678" t="s">
        <v>133</v>
      </c>
      <c r="F678" t="s">
        <v>134</v>
      </c>
      <c r="G678" t="s">
        <v>103</v>
      </c>
      <c r="H678" t="s">
        <v>229</v>
      </c>
      <c r="I678" t="s">
        <v>69</v>
      </c>
      <c r="J678" t="s">
        <v>70</v>
      </c>
      <c r="K678" t="s">
        <v>245</v>
      </c>
      <c r="L678" t="s">
        <v>1295</v>
      </c>
      <c r="M678" t="s">
        <v>767</v>
      </c>
      <c r="N678" t="s">
        <v>150</v>
      </c>
      <c r="O678" t="s">
        <v>2765</v>
      </c>
      <c r="P678" t="s">
        <v>908</v>
      </c>
      <c r="Q678" t="s">
        <v>137</v>
      </c>
      <c r="R678" t="s">
        <v>1919</v>
      </c>
      <c r="S678" t="s">
        <v>126</v>
      </c>
      <c r="T678" t="s">
        <v>695</v>
      </c>
      <c r="U678" t="s">
        <v>3459</v>
      </c>
      <c r="V678" t="s">
        <v>82</v>
      </c>
    </row>
    <row r="679" spans="1:22" x14ac:dyDescent="0.3">
      <c r="A679" t="s">
        <v>3460</v>
      </c>
      <c r="B679" t="s">
        <v>1733</v>
      </c>
      <c r="C679" t="s">
        <v>1734</v>
      </c>
      <c r="D679" t="s">
        <v>2587</v>
      </c>
      <c r="E679" t="s">
        <v>161</v>
      </c>
      <c r="F679" t="s">
        <v>161</v>
      </c>
      <c r="G679" t="s">
        <v>580</v>
      </c>
      <c r="H679" t="s">
        <v>104</v>
      </c>
      <c r="I679" t="s">
        <v>29</v>
      </c>
      <c r="J679" t="s">
        <v>30</v>
      </c>
      <c r="K679" t="s">
        <v>89</v>
      </c>
      <c r="L679" t="s">
        <v>294</v>
      </c>
      <c r="M679" t="s">
        <v>1937</v>
      </c>
      <c r="N679" t="s">
        <v>168</v>
      </c>
      <c r="O679" t="s">
        <v>1176</v>
      </c>
      <c r="P679" t="s">
        <v>1254</v>
      </c>
      <c r="Q679" t="s">
        <v>1043</v>
      </c>
      <c r="R679" t="s">
        <v>3461</v>
      </c>
      <c r="S679" t="s">
        <v>58</v>
      </c>
      <c r="T679" t="s">
        <v>621</v>
      </c>
      <c r="U679" t="s">
        <v>171</v>
      </c>
      <c r="V679" t="s">
        <v>58</v>
      </c>
    </row>
    <row r="680" spans="1:22" x14ac:dyDescent="0.3">
      <c r="A680" t="s">
        <v>3462</v>
      </c>
      <c r="B680" t="s">
        <v>2187</v>
      </c>
      <c r="C680" t="s">
        <v>2188</v>
      </c>
      <c r="D680" t="s">
        <v>3463</v>
      </c>
      <c r="E680" t="s">
        <v>267</v>
      </c>
      <c r="F680" t="s">
        <v>66</v>
      </c>
      <c r="G680" t="s">
        <v>27</v>
      </c>
      <c r="H680" t="s">
        <v>49</v>
      </c>
      <c r="I680" t="s">
        <v>69</v>
      </c>
      <c r="J680" t="s">
        <v>70</v>
      </c>
      <c r="K680" t="s">
        <v>215</v>
      </c>
      <c r="L680" t="s">
        <v>1382</v>
      </c>
      <c r="M680" t="s">
        <v>3464</v>
      </c>
      <c r="N680" t="s">
        <v>179</v>
      </c>
      <c r="O680" t="s">
        <v>3464</v>
      </c>
      <c r="P680" t="s">
        <v>3465</v>
      </c>
      <c r="Q680" t="s">
        <v>1527</v>
      </c>
      <c r="R680" t="s">
        <v>3281</v>
      </c>
      <c r="S680" t="s">
        <v>58</v>
      </c>
      <c r="T680" t="s">
        <v>1864</v>
      </c>
      <c r="U680" t="s">
        <v>171</v>
      </c>
      <c r="V680" t="s">
        <v>42</v>
      </c>
    </row>
    <row r="681" spans="1:22" x14ac:dyDescent="0.3">
      <c r="A681" t="s">
        <v>3466</v>
      </c>
      <c r="B681" t="s">
        <v>2675</v>
      </c>
      <c r="C681" t="s">
        <v>2676</v>
      </c>
      <c r="D681" t="s">
        <v>3467</v>
      </c>
      <c r="E681" t="s">
        <v>26</v>
      </c>
      <c r="F681" t="s">
        <v>26</v>
      </c>
      <c r="G681" t="s">
        <v>27</v>
      </c>
      <c r="H681" t="s">
        <v>68</v>
      </c>
      <c r="I681" t="s">
        <v>69</v>
      </c>
      <c r="J681" t="s">
        <v>257</v>
      </c>
      <c r="K681" t="s">
        <v>230</v>
      </c>
      <c r="L681" t="s">
        <v>2171</v>
      </c>
      <c r="M681" t="s">
        <v>968</v>
      </c>
      <c r="N681" t="s">
        <v>107</v>
      </c>
      <c r="O681" t="s">
        <v>850</v>
      </c>
      <c r="P681" t="s">
        <v>850</v>
      </c>
      <c r="Q681" t="s">
        <v>179</v>
      </c>
      <c r="R681" t="s">
        <v>179</v>
      </c>
      <c r="S681" t="s">
        <v>126</v>
      </c>
      <c r="T681" t="s">
        <v>461</v>
      </c>
      <c r="U681" t="s">
        <v>171</v>
      </c>
      <c r="V681" t="s">
        <v>42</v>
      </c>
    </row>
    <row r="682" spans="1:22" x14ac:dyDescent="0.3">
      <c r="A682" t="s">
        <v>3468</v>
      </c>
      <c r="B682" t="s">
        <v>2122</v>
      </c>
      <c r="C682" t="s">
        <v>2123</v>
      </c>
      <c r="D682" t="s">
        <v>3291</v>
      </c>
      <c r="E682" t="s">
        <v>228</v>
      </c>
      <c r="F682" t="s">
        <v>228</v>
      </c>
      <c r="G682" t="s">
        <v>67</v>
      </c>
      <c r="H682" t="s">
        <v>28</v>
      </c>
      <c r="I682" t="s">
        <v>69</v>
      </c>
      <c r="J682" t="s">
        <v>30</v>
      </c>
      <c r="K682" t="s">
        <v>31</v>
      </c>
      <c r="L682" t="s">
        <v>201</v>
      </c>
      <c r="M682" t="s">
        <v>804</v>
      </c>
      <c r="N682" t="s">
        <v>448</v>
      </c>
      <c r="O682" t="s">
        <v>1634</v>
      </c>
      <c r="P682" t="s">
        <v>358</v>
      </c>
      <c r="Q682" t="s">
        <v>751</v>
      </c>
      <c r="R682" t="s">
        <v>3469</v>
      </c>
      <c r="S682" t="s">
        <v>97</v>
      </c>
      <c r="T682" t="s">
        <v>499</v>
      </c>
      <c r="U682" t="s">
        <v>508</v>
      </c>
      <c r="V682" t="s">
        <v>58</v>
      </c>
    </row>
    <row r="683" spans="1:22" x14ac:dyDescent="0.3">
      <c r="A683" t="s">
        <v>3470</v>
      </c>
      <c r="B683" t="s">
        <v>787</v>
      </c>
      <c r="C683" t="s">
        <v>788</v>
      </c>
      <c r="D683" t="s">
        <v>3071</v>
      </c>
      <c r="E683" t="s">
        <v>228</v>
      </c>
      <c r="F683" t="s">
        <v>228</v>
      </c>
      <c r="G683" t="s">
        <v>67</v>
      </c>
      <c r="I683" t="s">
        <v>69</v>
      </c>
      <c r="J683" t="s">
        <v>30</v>
      </c>
      <c r="K683" t="s">
        <v>200</v>
      </c>
      <c r="L683" t="s">
        <v>561</v>
      </c>
      <c r="M683" t="s">
        <v>2295</v>
      </c>
      <c r="N683" t="s">
        <v>406</v>
      </c>
      <c r="O683" t="s">
        <v>1170</v>
      </c>
      <c r="P683" t="s">
        <v>822</v>
      </c>
      <c r="Q683" t="s">
        <v>3471</v>
      </c>
      <c r="R683" t="s">
        <v>466</v>
      </c>
      <c r="S683" t="s">
        <v>39</v>
      </c>
      <c r="T683" t="s">
        <v>321</v>
      </c>
      <c r="U683" t="s">
        <v>171</v>
      </c>
      <c r="V683" t="s">
        <v>42</v>
      </c>
    </row>
    <row r="684" spans="1:22" x14ac:dyDescent="0.3">
      <c r="A684" t="s">
        <v>3472</v>
      </c>
      <c r="B684" t="s">
        <v>2915</v>
      </c>
      <c r="C684" t="s">
        <v>2916</v>
      </c>
      <c r="D684" t="s">
        <v>2076</v>
      </c>
      <c r="E684" t="s">
        <v>417</v>
      </c>
      <c r="F684" t="s">
        <v>134</v>
      </c>
      <c r="G684" t="s">
        <v>118</v>
      </c>
      <c r="H684" t="s">
        <v>214</v>
      </c>
      <c r="I684" t="s">
        <v>69</v>
      </c>
      <c r="J684" t="s">
        <v>30</v>
      </c>
      <c r="K684" t="s">
        <v>215</v>
      </c>
      <c r="L684" t="s">
        <v>983</v>
      </c>
      <c r="M684" t="s">
        <v>733</v>
      </c>
      <c r="N684" t="s">
        <v>440</v>
      </c>
      <c r="O684" t="s">
        <v>371</v>
      </c>
      <c r="P684" t="s">
        <v>459</v>
      </c>
      <c r="Q684" t="s">
        <v>208</v>
      </c>
      <c r="R684" t="s">
        <v>3473</v>
      </c>
      <c r="S684" t="s">
        <v>182</v>
      </c>
      <c r="T684" t="s">
        <v>369</v>
      </c>
      <c r="U684" t="s">
        <v>300</v>
      </c>
      <c r="V684" t="s">
        <v>58</v>
      </c>
    </row>
    <row r="685" spans="1:22" x14ac:dyDescent="0.3">
      <c r="A685" t="s">
        <v>3474</v>
      </c>
      <c r="B685" t="s">
        <v>3103</v>
      </c>
      <c r="C685" t="s">
        <v>3104</v>
      </c>
      <c r="D685" t="s">
        <v>3475</v>
      </c>
      <c r="E685" t="s">
        <v>780</v>
      </c>
      <c r="F685" t="s">
        <v>282</v>
      </c>
      <c r="G685" t="s">
        <v>213</v>
      </c>
      <c r="H685" t="s">
        <v>268</v>
      </c>
      <c r="I685" t="s">
        <v>69</v>
      </c>
      <c r="J685" t="s">
        <v>162</v>
      </c>
      <c r="K685" t="s">
        <v>71</v>
      </c>
      <c r="L685" t="s">
        <v>362</v>
      </c>
      <c r="M685" t="s">
        <v>1705</v>
      </c>
      <c r="N685" t="s">
        <v>252</v>
      </c>
      <c r="O685" t="s">
        <v>2440</v>
      </c>
      <c r="P685" t="s">
        <v>1260</v>
      </c>
      <c r="Q685" t="s">
        <v>95</v>
      </c>
      <c r="R685" t="s">
        <v>3476</v>
      </c>
      <c r="S685" t="s">
        <v>79</v>
      </c>
      <c r="T685" t="s">
        <v>529</v>
      </c>
      <c r="U685" t="s">
        <v>373</v>
      </c>
      <c r="V685" t="s">
        <v>79</v>
      </c>
    </row>
    <row r="686" spans="1:22" x14ac:dyDescent="0.3">
      <c r="A686" t="s">
        <v>3477</v>
      </c>
      <c r="B686" t="s">
        <v>1186</v>
      </c>
      <c r="C686" t="s">
        <v>1187</v>
      </c>
      <c r="D686" t="s">
        <v>3478</v>
      </c>
      <c r="E686" t="s">
        <v>399</v>
      </c>
      <c r="F686" t="s">
        <v>188</v>
      </c>
      <c r="G686" t="s">
        <v>213</v>
      </c>
      <c r="H686" t="s">
        <v>68</v>
      </c>
      <c r="I686" t="s">
        <v>29</v>
      </c>
      <c r="J686" t="s">
        <v>30</v>
      </c>
      <c r="K686" t="s">
        <v>71</v>
      </c>
      <c r="L686" t="s">
        <v>1295</v>
      </c>
      <c r="M686" t="s">
        <v>563</v>
      </c>
      <c r="N686" t="s">
        <v>966</v>
      </c>
      <c r="O686" t="s">
        <v>552</v>
      </c>
      <c r="P686" t="s">
        <v>404</v>
      </c>
      <c r="Q686" t="s">
        <v>734</v>
      </c>
      <c r="R686" t="s">
        <v>3479</v>
      </c>
      <c r="S686" t="s">
        <v>97</v>
      </c>
      <c r="T686" t="s">
        <v>165</v>
      </c>
      <c r="U686" t="s">
        <v>867</v>
      </c>
      <c r="V686" t="s">
        <v>58</v>
      </c>
    </row>
    <row r="687" spans="1:22" x14ac:dyDescent="0.3">
      <c r="A687" t="s">
        <v>3480</v>
      </c>
      <c r="B687" t="s">
        <v>763</v>
      </c>
      <c r="C687" t="s">
        <v>764</v>
      </c>
      <c r="D687" t="s">
        <v>3481</v>
      </c>
      <c r="E687" t="s">
        <v>66</v>
      </c>
      <c r="F687" t="s">
        <v>66</v>
      </c>
      <c r="G687" t="s">
        <v>147</v>
      </c>
      <c r="H687" t="s">
        <v>229</v>
      </c>
      <c r="I687" t="s">
        <v>29</v>
      </c>
      <c r="J687" t="s">
        <v>30</v>
      </c>
      <c r="K687" t="s">
        <v>71</v>
      </c>
      <c r="L687" t="s">
        <v>1382</v>
      </c>
      <c r="M687" t="s">
        <v>1063</v>
      </c>
      <c r="N687" t="s">
        <v>191</v>
      </c>
      <c r="O687" t="s">
        <v>1456</v>
      </c>
      <c r="P687" t="s">
        <v>218</v>
      </c>
      <c r="Q687" t="s">
        <v>1099</v>
      </c>
      <c r="R687" t="s">
        <v>696</v>
      </c>
      <c r="S687" t="s">
        <v>182</v>
      </c>
      <c r="T687" t="s">
        <v>1013</v>
      </c>
      <c r="U687" t="s">
        <v>362</v>
      </c>
      <c r="V687" t="s">
        <v>114</v>
      </c>
    </row>
    <row r="688" spans="1:22" x14ac:dyDescent="0.3">
      <c r="A688" t="s">
        <v>3482</v>
      </c>
      <c r="B688" t="s">
        <v>396</v>
      </c>
      <c r="C688" t="s">
        <v>397</v>
      </c>
      <c r="D688" t="s">
        <v>1207</v>
      </c>
      <c r="E688" t="s">
        <v>378</v>
      </c>
      <c r="F688" t="s">
        <v>282</v>
      </c>
      <c r="G688" t="s">
        <v>147</v>
      </c>
      <c r="H688" t="s">
        <v>229</v>
      </c>
      <c r="I688" t="s">
        <v>29</v>
      </c>
      <c r="J688" t="s">
        <v>30</v>
      </c>
      <c r="K688" t="s">
        <v>71</v>
      </c>
      <c r="L688" t="s">
        <v>400</v>
      </c>
      <c r="M688" t="s">
        <v>296</v>
      </c>
      <c r="N688" t="s">
        <v>183</v>
      </c>
      <c r="O688" t="s">
        <v>1114</v>
      </c>
      <c r="P688" t="s">
        <v>1403</v>
      </c>
      <c r="Q688" t="s">
        <v>59</v>
      </c>
      <c r="R688" t="s">
        <v>3483</v>
      </c>
      <c r="S688" t="s">
        <v>126</v>
      </c>
      <c r="T688" t="s">
        <v>567</v>
      </c>
      <c r="U688" t="s">
        <v>362</v>
      </c>
      <c r="V688" t="s">
        <v>114</v>
      </c>
    </row>
    <row r="689" spans="1:22" x14ac:dyDescent="0.3">
      <c r="A689" t="s">
        <v>3484</v>
      </c>
      <c r="B689" t="s">
        <v>777</v>
      </c>
      <c r="C689" t="s">
        <v>778</v>
      </c>
      <c r="D689" t="s">
        <v>3485</v>
      </c>
      <c r="E689" t="s">
        <v>188</v>
      </c>
      <c r="F689" t="s">
        <v>188</v>
      </c>
      <c r="G689" t="s">
        <v>147</v>
      </c>
      <c r="I689" t="s">
        <v>69</v>
      </c>
      <c r="J689" t="s">
        <v>30</v>
      </c>
      <c r="K689" t="s">
        <v>71</v>
      </c>
      <c r="L689" t="s">
        <v>598</v>
      </c>
      <c r="M689" t="s">
        <v>2710</v>
      </c>
      <c r="N689" t="s">
        <v>308</v>
      </c>
      <c r="O689" t="s">
        <v>723</v>
      </c>
      <c r="P689" t="s">
        <v>3486</v>
      </c>
      <c r="Q689" t="s">
        <v>752</v>
      </c>
      <c r="R689" t="s">
        <v>3487</v>
      </c>
      <c r="S689" t="s">
        <v>58</v>
      </c>
      <c r="T689" t="s">
        <v>735</v>
      </c>
      <c r="U689" t="s">
        <v>362</v>
      </c>
      <c r="V689" t="s">
        <v>114</v>
      </c>
    </row>
    <row r="690" spans="1:22" x14ac:dyDescent="0.3">
      <c r="A690" t="s">
        <v>3488</v>
      </c>
      <c r="B690" t="s">
        <v>1373</v>
      </c>
      <c r="C690" t="s">
        <v>1374</v>
      </c>
      <c r="D690" t="s">
        <v>3489</v>
      </c>
      <c r="E690" t="s">
        <v>378</v>
      </c>
      <c r="F690" t="s">
        <v>282</v>
      </c>
      <c r="G690" t="s">
        <v>118</v>
      </c>
      <c r="H690" t="s">
        <v>268</v>
      </c>
      <c r="I690" t="s">
        <v>29</v>
      </c>
      <c r="J690" t="s">
        <v>257</v>
      </c>
      <c r="K690" t="s">
        <v>293</v>
      </c>
      <c r="L690" t="s">
        <v>105</v>
      </c>
      <c r="M690" t="s">
        <v>3490</v>
      </c>
      <c r="N690" t="s">
        <v>735</v>
      </c>
      <c r="O690" t="s">
        <v>3491</v>
      </c>
      <c r="P690" t="s">
        <v>3391</v>
      </c>
      <c r="Q690" t="s">
        <v>1237</v>
      </c>
      <c r="R690" t="s">
        <v>3492</v>
      </c>
      <c r="S690" t="s">
        <v>58</v>
      </c>
      <c r="T690" t="s">
        <v>908</v>
      </c>
      <c r="U690" t="s">
        <v>407</v>
      </c>
      <c r="V690" t="s">
        <v>82</v>
      </c>
    </row>
    <row r="691" spans="1:22" x14ac:dyDescent="0.3">
      <c r="A691" t="s">
        <v>3493</v>
      </c>
      <c r="B691" t="s">
        <v>1960</v>
      </c>
      <c r="C691" t="s">
        <v>1961</v>
      </c>
      <c r="D691" t="s">
        <v>1271</v>
      </c>
      <c r="E691" t="s">
        <v>228</v>
      </c>
      <c r="F691" t="s">
        <v>228</v>
      </c>
      <c r="G691" t="s">
        <v>580</v>
      </c>
      <c r="H691" t="s">
        <v>88</v>
      </c>
      <c r="I691" t="s">
        <v>69</v>
      </c>
      <c r="J691" t="s">
        <v>30</v>
      </c>
      <c r="K691" t="s">
        <v>245</v>
      </c>
      <c r="L691" t="s">
        <v>731</v>
      </c>
      <c r="M691" t="s">
        <v>2764</v>
      </c>
      <c r="N691" t="s">
        <v>2501</v>
      </c>
      <c r="O691" t="s">
        <v>2950</v>
      </c>
      <c r="P691" t="s">
        <v>430</v>
      </c>
      <c r="Q691" t="s">
        <v>921</v>
      </c>
      <c r="R691" t="s">
        <v>3494</v>
      </c>
      <c r="S691" t="s">
        <v>79</v>
      </c>
      <c r="T691" t="s">
        <v>751</v>
      </c>
      <c r="U691" t="s">
        <v>362</v>
      </c>
      <c r="V691" t="s">
        <v>58</v>
      </c>
    </row>
    <row r="692" spans="1:22" x14ac:dyDescent="0.3">
      <c r="A692" t="s">
        <v>3495</v>
      </c>
      <c r="B692" t="s">
        <v>3496</v>
      </c>
      <c r="C692" t="s">
        <v>3497</v>
      </c>
      <c r="D692" t="s">
        <v>1933</v>
      </c>
      <c r="E692" t="s">
        <v>47</v>
      </c>
      <c r="F692" t="s">
        <v>26</v>
      </c>
      <c r="G692" t="s">
        <v>580</v>
      </c>
      <c r="H692" t="s">
        <v>229</v>
      </c>
      <c r="I692" t="s">
        <v>29</v>
      </c>
      <c r="J692" t="s">
        <v>30</v>
      </c>
      <c r="K692" t="s">
        <v>200</v>
      </c>
      <c r="L692" t="s">
        <v>812</v>
      </c>
      <c r="M692" t="s">
        <v>3498</v>
      </c>
      <c r="N692" t="s">
        <v>1509</v>
      </c>
      <c r="O692" t="s">
        <v>813</v>
      </c>
      <c r="P692" t="s">
        <v>3499</v>
      </c>
      <c r="Q692" t="s">
        <v>759</v>
      </c>
      <c r="R692" t="s">
        <v>3500</v>
      </c>
      <c r="S692" t="s">
        <v>39</v>
      </c>
      <c r="T692" t="s">
        <v>347</v>
      </c>
      <c r="U692" t="s">
        <v>508</v>
      </c>
      <c r="V692" t="s">
        <v>82</v>
      </c>
    </row>
    <row r="693" spans="1:22" x14ac:dyDescent="0.3">
      <c r="A693" t="s">
        <v>3501</v>
      </c>
      <c r="B693" t="s">
        <v>3502</v>
      </c>
      <c r="C693" t="s">
        <v>3503</v>
      </c>
      <c r="D693" t="s">
        <v>212</v>
      </c>
      <c r="E693" t="s">
        <v>342</v>
      </c>
      <c r="F693" t="s">
        <v>244</v>
      </c>
      <c r="G693" t="s">
        <v>67</v>
      </c>
      <c r="H693" t="s">
        <v>49</v>
      </c>
      <c r="I693" t="s">
        <v>69</v>
      </c>
      <c r="J693" t="s">
        <v>30</v>
      </c>
      <c r="K693" t="s">
        <v>31</v>
      </c>
      <c r="L693" t="s">
        <v>1503</v>
      </c>
      <c r="M693" t="s">
        <v>2216</v>
      </c>
      <c r="N693" t="s">
        <v>170</v>
      </c>
      <c r="O693" t="s">
        <v>1272</v>
      </c>
      <c r="P693" t="s">
        <v>1106</v>
      </c>
      <c r="Q693" t="s">
        <v>881</v>
      </c>
      <c r="R693" t="s">
        <v>3504</v>
      </c>
      <c r="S693" t="s">
        <v>39</v>
      </c>
      <c r="T693" t="s">
        <v>361</v>
      </c>
      <c r="U693" t="s">
        <v>128</v>
      </c>
      <c r="V693" t="s">
        <v>42</v>
      </c>
    </row>
    <row r="694" spans="1:22" x14ac:dyDescent="0.3">
      <c r="A694" t="s">
        <v>3505</v>
      </c>
      <c r="B694" t="s">
        <v>2426</v>
      </c>
      <c r="C694" t="s">
        <v>2427</v>
      </c>
      <c r="D694" t="s">
        <v>3506</v>
      </c>
      <c r="E694" t="s">
        <v>780</v>
      </c>
      <c r="F694" t="s">
        <v>282</v>
      </c>
      <c r="G694" t="s">
        <v>103</v>
      </c>
      <c r="H694" t="s">
        <v>214</v>
      </c>
      <c r="I694" t="s">
        <v>69</v>
      </c>
      <c r="J694" t="s">
        <v>257</v>
      </c>
      <c r="K694" t="s">
        <v>89</v>
      </c>
      <c r="M694" t="s">
        <v>421</v>
      </c>
      <c r="N694" t="s">
        <v>1162</v>
      </c>
      <c r="O694" t="s">
        <v>1778</v>
      </c>
      <c r="P694" t="s">
        <v>959</v>
      </c>
      <c r="Q694" t="s">
        <v>180</v>
      </c>
      <c r="R694" t="s">
        <v>3507</v>
      </c>
      <c r="S694" t="s">
        <v>126</v>
      </c>
      <c r="T694" t="s">
        <v>165</v>
      </c>
      <c r="U694" t="s">
        <v>472</v>
      </c>
      <c r="V694" t="s">
        <v>58</v>
      </c>
    </row>
    <row r="695" spans="1:22" x14ac:dyDescent="0.3">
      <c r="A695" t="s">
        <v>3508</v>
      </c>
      <c r="B695" t="s">
        <v>3509</v>
      </c>
      <c r="C695" t="s">
        <v>3510</v>
      </c>
      <c r="D695" t="s">
        <v>3511</v>
      </c>
      <c r="E695" t="s">
        <v>672</v>
      </c>
      <c r="F695" t="s">
        <v>244</v>
      </c>
      <c r="G695" t="s">
        <v>118</v>
      </c>
      <c r="H695" t="s">
        <v>28</v>
      </c>
      <c r="I695" t="s">
        <v>69</v>
      </c>
      <c r="J695" t="s">
        <v>30</v>
      </c>
      <c r="K695" t="s">
        <v>200</v>
      </c>
      <c r="L695" t="s">
        <v>691</v>
      </c>
      <c r="M695" t="s">
        <v>1778</v>
      </c>
      <c r="N695" t="s">
        <v>613</v>
      </c>
      <c r="O695" t="s">
        <v>1997</v>
      </c>
      <c r="P695" t="s">
        <v>565</v>
      </c>
      <c r="Q695" t="s">
        <v>347</v>
      </c>
      <c r="R695" t="s">
        <v>3512</v>
      </c>
      <c r="S695" t="s">
        <v>126</v>
      </c>
      <c r="T695" t="s">
        <v>183</v>
      </c>
      <c r="U695" t="s">
        <v>128</v>
      </c>
      <c r="V695" t="s">
        <v>42</v>
      </c>
    </row>
    <row r="696" spans="1:22" x14ac:dyDescent="0.3">
      <c r="A696" t="s">
        <v>3513</v>
      </c>
      <c r="B696" t="s">
        <v>951</v>
      </c>
      <c r="C696" t="s">
        <v>952</v>
      </c>
      <c r="D696" t="s">
        <v>3514</v>
      </c>
      <c r="E696" t="s">
        <v>267</v>
      </c>
      <c r="F696" t="s">
        <v>66</v>
      </c>
      <c r="G696" t="s">
        <v>27</v>
      </c>
      <c r="H696" t="s">
        <v>49</v>
      </c>
      <c r="I696" t="s">
        <v>69</v>
      </c>
      <c r="J696" t="s">
        <v>257</v>
      </c>
      <c r="K696" t="s">
        <v>230</v>
      </c>
      <c r="L696" t="s">
        <v>598</v>
      </c>
      <c r="M696" t="s">
        <v>334</v>
      </c>
      <c r="N696" t="s">
        <v>2673</v>
      </c>
      <c r="O696" t="s">
        <v>977</v>
      </c>
      <c r="P696" t="s">
        <v>600</v>
      </c>
      <c r="Q696" t="s">
        <v>986</v>
      </c>
      <c r="R696" t="s">
        <v>3515</v>
      </c>
      <c r="S696" t="s">
        <v>97</v>
      </c>
      <c r="T696" t="s">
        <v>142</v>
      </c>
      <c r="U696" t="s">
        <v>867</v>
      </c>
      <c r="V696" t="s">
        <v>79</v>
      </c>
    </row>
    <row r="697" spans="1:22" x14ac:dyDescent="0.3">
      <c r="A697" t="s">
        <v>3516</v>
      </c>
      <c r="B697" t="s">
        <v>3517</v>
      </c>
      <c r="C697" t="s">
        <v>3518</v>
      </c>
      <c r="D697" t="s">
        <v>608</v>
      </c>
      <c r="E697" t="s">
        <v>160</v>
      </c>
      <c r="F697" t="s">
        <v>161</v>
      </c>
      <c r="G697" t="s">
        <v>48</v>
      </c>
      <c r="H697" t="s">
        <v>28</v>
      </c>
      <c r="I697" t="s">
        <v>69</v>
      </c>
      <c r="J697" t="s">
        <v>30</v>
      </c>
      <c r="K697" t="s">
        <v>230</v>
      </c>
      <c r="L697" t="s">
        <v>653</v>
      </c>
      <c r="M697" t="s">
        <v>1364</v>
      </c>
      <c r="N697" t="s">
        <v>335</v>
      </c>
      <c r="O697" t="s">
        <v>590</v>
      </c>
      <c r="P697" t="s">
        <v>1996</v>
      </c>
      <c r="Q697" t="s">
        <v>1000</v>
      </c>
      <c r="R697" t="s">
        <v>3519</v>
      </c>
      <c r="S697" t="s">
        <v>79</v>
      </c>
      <c r="T697" t="s">
        <v>604</v>
      </c>
      <c r="U697" t="s">
        <v>472</v>
      </c>
      <c r="V697" t="s">
        <v>58</v>
      </c>
    </row>
    <row r="698" spans="1:22" x14ac:dyDescent="0.3">
      <c r="A698" t="s">
        <v>3520</v>
      </c>
      <c r="B698" t="s">
        <v>1459</v>
      </c>
      <c r="C698" t="s">
        <v>1460</v>
      </c>
      <c r="D698" t="s">
        <v>3521</v>
      </c>
      <c r="E698" t="s">
        <v>87</v>
      </c>
      <c r="F698" t="s">
        <v>26</v>
      </c>
      <c r="G698" t="s">
        <v>27</v>
      </c>
      <c r="H698" t="s">
        <v>28</v>
      </c>
      <c r="I698" t="s">
        <v>29</v>
      </c>
      <c r="J698" t="s">
        <v>30</v>
      </c>
      <c r="K698" t="s">
        <v>230</v>
      </c>
      <c r="L698" t="s">
        <v>90</v>
      </c>
      <c r="M698" t="s">
        <v>3522</v>
      </c>
      <c r="N698" t="s">
        <v>80</v>
      </c>
      <c r="O698" t="s">
        <v>358</v>
      </c>
      <c r="P698" t="s">
        <v>1177</v>
      </c>
      <c r="Q698" t="s">
        <v>753</v>
      </c>
      <c r="R698" t="s">
        <v>3523</v>
      </c>
      <c r="S698" t="s">
        <v>39</v>
      </c>
      <c r="T698" t="s">
        <v>92</v>
      </c>
      <c r="U698" t="s">
        <v>568</v>
      </c>
      <c r="V698" t="s">
        <v>42</v>
      </c>
    </row>
    <row r="699" spans="1:22" x14ac:dyDescent="0.3">
      <c r="A699" t="s">
        <v>3524</v>
      </c>
      <c r="B699" t="s">
        <v>144</v>
      </c>
      <c r="C699" t="s">
        <v>145</v>
      </c>
      <c r="D699" t="s">
        <v>1197</v>
      </c>
      <c r="E699" t="s">
        <v>161</v>
      </c>
      <c r="F699" t="s">
        <v>161</v>
      </c>
      <c r="G699" t="s">
        <v>213</v>
      </c>
      <c r="H699" t="s">
        <v>49</v>
      </c>
      <c r="I699" t="s">
        <v>69</v>
      </c>
      <c r="J699" t="s">
        <v>30</v>
      </c>
      <c r="K699" t="s">
        <v>200</v>
      </c>
      <c r="L699" t="s">
        <v>333</v>
      </c>
      <c r="M699" t="s">
        <v>3525</v>
      </c>
      <c r="N699" t="s">
        <v>308</v>
      </c>
      <c r="O699" t="s">
        <v>2541</v>
      </c>
      <c r="P699" t="s">
        <v>381</v>
      </c>
      <c r="Q699" t="s">
        <v>1872</v>
      </c>
      <c r="R699" t="s">
        <v>3526</v>
      </c>
      <c r="S699" t="s">
        <v>79</v>
      </c>
      <c r="T699" t="s">
        <v>461</v>
      </c>
      <c r="U699" t="s">
        <v>171</v>
      </c>
      <c r="V699" t="s">
        <v>79</v>
      </c>
    </row>
    <row r="700" spans="1:22" x14ac:dyDescent="0.3">
      <c r="A700" t="s">
        <v>3527</v>
      </c>
      <c r="B700" t="s">
        <v>2146</v>
      </c>
      <c r="C700" t="s">
        <v>2147</v>
      </c>
      <c r="D700" t="s">
        <v>3528</v>
      </c>
      <c r="E700" t="s">
        <v>65</v>
      </c>
      <c r="F700" t="s">
        <v>66</v>
      </c>
      <c r="G700" t="s">
        <v>67</v>
      </c>
      <c r="H700" t="s">
        <v>214</v>
      </c>
      <c r="I700" t="s">
        <v>69</v>
      </c>
      <c r="J700" t="s">
        <v>70</v>
      </c>
      <c r="K700" t="s">
        <v>293</v>
      </c>
      <c r="L700" t="s">
        <v>246</v>
      </c>
      <c r="M700" t="s">
        <v>2108</v>
      </c>
      <c r="N700" t="s">
        <v>179</v>
      </c>
      <c r="O700" t="s">
        <v>2108</v>
      </c>
      <c r="P700" t="s">
        <v>1539</v>
      </c>
      <c r="Q700" t="s">
        <v>334</v>
      </c>
      <c r="R700" t="s">
        <v>3529</v>
      </c>
      <c r="S700" t="s">
        <v>182</v>
      </c>
      <c r="T700" t="s">
        <v>770</v>
      </c>
      <c r="U700" t="s">
        <v>423</v>
      </c>
      <c r="V700" t="s">
        <v>79</v>
      </c>
    </row>
    <row r="701" spans="1:22" x14ac:dyDescent="0.3">
      <c r="A701" t="s">
        <v>3530</v>
      </c>
      <c r="B701" t="s">
        <v>2219</v>
      </c>
      <c r="C701" t="s">
        <v>2220</v>
      </c>
      <c r="D701" t="s">
        <v>3531</v>
      </c>
      <c r="E701" t="s">
        <v>354</v>
      </c>
      <c r="F701" t="s">
        <v>134</v>
      </c>
      <c r="G701" t="s">
        <v>27</v>
      </c>
      <c r="H701" t="s">
        <v>268</v>
      </c>
      <c r="I701" t="s">
        <v>29</v>
      </c>
      <c r="J701" t="s">
        <v>30</v>
      </c>
      <c r="K701" t="s">
        <v>71</v>
      </c>
      <c r="L701" t="s">
        <v>487</v>
      </c>
      <c r="M701" t="s">
        <v>1377</v>
      </c>
      <c r="N701" t="s">
        <v>334</v>
      </c>
      <c r="O701" t="s">
        <v>930</v>
      </c>
      <c r="P701" t="s">
        <v>478</v>
      </c>
      <c r="Q701" t="s">
        <v>2819</v>
      </c>
      <c r="R701" t="s">
        <v>3532</v>
      </c>
      <c r="S701" t="s">
        <v>58</v>
      </c>
      <c r="T701" t="s">
        <v>921</v>
      </c>
      <c r="U701" t="s">
        <v>394</v>
      </c>
      <c r="V701" t="s">
        <v>114</v>
      </c>
    </row>
    <row r="702" spans="1:22" x14ac:dyDescent="0.3">
      <c r="A702" t="s">
        <v>3533</v>
      </c>
      <c r="B702" t="s">
        <v>845</v>
      </c>
      <c r="C702" t="s">
        <v>846</v>
      </c>
      <c r="D702" t="s">
        <v>2076</v>
      </c>
      <c r="E702" t="s">
        <v>780</v>
      </c>
      <c r="F702" t="s">
        <v>282</v>
      </c>
      <c r="G702" t="s">
        <v>580</v>
      </c>
      <c r="H702" t="s">
        <v>104</v>
      </c>
      <c r="I702" t="s">
        <v>69</v>
      </c>
      <c r="J702" t="s">
        <v>30</v>
      </c>
      <c r="K702" t="s">
        <v>31</v>
      </c>
      <c r="L702" t="s">
        <v>1515</v>
      </c>
      <c r="M702" t="s">
        <v>3534</v>
      </c>
      <c r="N702" t="s">
        <v>529</v>
      </c>
      <c r="O702" t="s">
        <v>1924</v>
      </c>
      <c r="P702" t="s">
        <v>2096</v>
      </c>
      <c r="Q702" t="s">
        <v>1539</v>
      </c>
      <c r="R702" t="s">
        <v>3535</v>
      </c>
      <c r="S702" t="s">
        <v>182</v>
      </c>
      <c r="T702" t="s">
        <v>56</v>
      </c>
      <c r="U702" t="s">
        <v>128</v>
      </c>
      <c r="V702" t="s">
        <v>82</v>
      </c>
    </row>
    <row r="703" spans="1:22" x14ac:dyDescent="0.3">
      <c r="A703" t="s">
        <v>3536</v>
      </c>
      <c r="B703" t="s">
        <v>3537</v>
      </c>
      <c r="C703" t="s">
        <v>3538</v>
      </c>
      <c r="D703" t="s">
        <v>3539</v>
      </c>
      <c r="E703" t="s">
        <v>780</v>
      </c>
      <c r="F703" t="s">
        <v>282</v>
      </c>
      <c r="G703" t="s">
        <v>27</v>
      </c>
      <c r="H703" t="s">
        <v>229</v>
      </c>
      <c r="I703" t="s">
        <v>69</v>
      </c>
      <c r="J703" t="s">
        <v>70</v>
      </c>
      <c r="K703" t="s">
        <v>230</v>
      </c>
      <c r="L703" t="s">
        <v>362</v>
      </c>
      <c r="M703" t="s">
        <v>3540</v>
      </c>
      <c r="N703" t="s">
        <v>179</v>
      </c>
      <c r="O703" t="s">
        <v>3540</v>
      </c>
      <c r="P703" t="s">
        <v>1777</v>
      </c>
      <c r="Q703" t="s">
        <v>3541</v>
      </c>
      <c r="R703" t="s">
        <v>3542</v>
      </c>
      <c r="S703" t="s">
        <v>182</v>
      </c>
      <c r="T703" t="s">
        <v>604</v>
      </c>
      <c r="U703" t="s">
        <v>362</v>
      </c>
      <c r="V703" t="s">
        <v>58</v>
      </c>
    </row>
    <row r="704" spans="1:22" x14ac:dyDescent="0.3">
      <c r="A704" t="s">
        <v>3543</v>
      </c>
      <c r="B704" t="s">
        <v>2627</v>
      </c>
      <c r="C704" t="s">
        <v>2628</v>
      </c>
      <c r="D704" t="s">
        <v>3544</v>
      </c>
      <c r="E704" t="s">
        <v>672</v>
      </c>
      <c r="F704" t="s">
        <v>244</v>
      </c>
      <c r="G704" t="s">
        <v>213</v>
      </c>
      <c r="H704" t="s">
        <v>229</v>
      </c>
      <c r="I704" t="s">
        <v>29</v>
      </c>
      <c r="J704" t="s">
        <v>30</v>
      </c>
      <c r="K704" t="s">
        <v>293</v>
      </c>
      <c r="L704" t="s">
        <v>2370</v>
      </c>
      <c r="M704" t="s">
        <v>1924</v>
      </c>
      <c r="N704" t="s">
        <v>183</v>
      </c>
      <c r="O704" t="s">
        <v>3545</v>
      </c>
      <c r="P704" t="s">
        <v>1140</v>
      </c>
      <c r="Q704" t="s">
        <v>1177</v>
      </c>
      <c r="R704" t="s">
        <v>3546</v>
      </c>
      <c r="S704" t="s">
        <v>79</v>
      </c>
      <c r="T704" t="s">
        <v>80</v>
      </c>
      <c r="U704" t="s">
        <v>385</v>
      </c>
      <c r="V704" t="s">
        <v>42</v>
      </c>
    </row>
    <row r="705" spans="1:22" x14ac:dyDescent="0.3">
      <c r="A705" t="s">
        <v>3547</v>
      </c>
      <c r="B705" t="s">
        <v>2837</v>
      </c>
      <c r="C705" t="s">
        <v>2838</v>
      </c>
      <c r="D705" t="s">
        <v>3548</v>
      </c>
      <c r="E705" t="s">
        <v>65</v>
      </c>
      <c r="F705" t="s">
        <v>66</v>
      </c>
      <c r="G705" t="s">
        <v>27</v>
      </c>
      <c r="H705" t="s">
        <v>49</v>
      </c>
      <c r="I705" t="s">
        <v>69</v>
      </c>
      <c r="J705" t="s">
        <v>30</v>
      </c>
      <c r="K705" t="s">
        <v>215</v>
      </c>
      <c r="L705" t="s">
        <v>1156</v>
      </c>
      <c r="M705" t="s">
        <v>1085</v>
      </c>
      <c r="N705" t="s">
        <v>179</v>
      </c>
      <c r="O705" t="s">
        <v>1085</v>
      </c>
      <c r="P705" t="s">
        <v>2279</v>
      </c>
      <c r="Q705" t="s">
        <v>1430</v>
      </c>
      <c r="R705" t="s">
        <v>3142</v>
      </c>
      <c r="S705" t="s">
        <v>97</v>
      </c>
      <c r="T705" t="s">
        <v>621</v>
      </c>
      <c r="U705" t="s">
        <v>472</v>
      </c>
      <c r="V705" t="s">
        <v>114</v>
      </c>
    </row>
    <row r="706" spans="1:22" x14ac:dyDescent="0.3">
      <c r="A706" t="s">
        <v>3549</v>
      </c>
      <c r="B706" t="s">
        <v>240</v>
      </c>
      <c r="C706" t="s">
        <v>241</v>
      </c>
      <c r="D706" t="s">
        <v>2858</v>
      </c>
      <c r="E706" t="s">
        <v>87</v>
      </c>
      <c r="F706" t="s">
        <v>26</v>
      </c>
      <c r="G706" t="s">
        <v>67</v>
      </c>
      <c r="H706" t="s">
        <v>268</v>
      </c>
      <c r="I706" t="s">
        <v>69</v>
      </c>
      <c r="J706" t="s">
        <v>30</v>
      </c>
      <c r="K706" t="s">
        <v>50</v>
      </c>
      <c r="L706" t="s">
        <v>1915</v>
      </c>
      <c r="M706" t="s">
        <v>382</v>
      </c>
      <c r="N706" t="s">
        <v>179</v>
      </c>
      <c r="O706" t="s">
        <v>382</v>
      </c>
      <c r="P706" t="s">
        <v>77</v>
      </c>
      <c r="Q706" t="s">
        <v>34</v>
      </c>
      <c r="R706" t="s">
        <v>3550</v>
      </c>
      <c r="S706" t="s">
        <v>97</v>
      </c>
      <c r="T706" t="s">
        <v>1230</v>
      </c>
      <c r="U706" t="s">
        <v>60</v>
      </c>
      <c r="V706" t="s">
        <v>82</v>
      </c>
    </row>
    <row r="707" spans="1:22" x14ac:dyDescent="0.3">
      <c r="A707" t="s">
        <v>3551</v>
      </c>
      <c r="B707" t="s">
        <v>1349</v>
      </c>
      <c r="C707" t="s">
        <v>1350</v>
      </c>
      <c r="D707" t="s">
        <v>3552</v>
      </c>
      <c r="E707" t="s">
        <v>26</v>
      </c>
      <c r="F707" t="s">
        <v>26</v>
      </c>
      <c r="G707" t="s">
        <v>213</v>
      </c>
      <c r="H707" t="s">
        <v>268</v>
      </c>
      <c r="I707" t="s">
        <v>69</v>
      </c>
      <c r="J707" t="s">
        <v>70</v>
      </c>
      <c r="K707" t="s">
        <v>215</v>
      </c>
      <c r="L707" t="s">
        <v>937</v>
      </c>
      <c r="M707" t="s">
        <v>931</v>
      </c>
      <c r="N707" t="s">
        <v>112</v>
      </c>
      <c r="O707" t="s">
        <v>1430</v>
      </c>
      <c r="P707" t="s">
        <v>1043</v>
      </c>
      <c r="Q707" t="s">
        <v>252</v>
      </c>
      <c r="R707" t="s">
        <v>3553</v>
      </c>
      <c r="S707" t="s">
        <v>126</v>
      </c>
      <c r="T707" t="s">
        <v>1099</v>
      </c>
      <c r="U707" t="s">
        <v>238</v>
      </c>
      <c r="V707" t="s">
        <v>79</v>
      </c>
    </row>
    <row r="708" spans="1:22" x14ac:dyDescent="0.3">
      <c r="A708" t="s">
        <v>3554</v>
      </c>
      <c r="B708" t="s">
        <v>1857</v>
      </c>
      <c r="C708" t="s">
        <v>1858</v>
      </c>
      <c r="D708" t="s">
        <v>3544</v>
      </c>
      <c r="E708" t="s">
        <v>160</v>
      </c>
      <c r="F708" t="s">
        <v>161</v>
      </c>
      <c r="G708" t="s">
        <v>103</v>
      </c>
      <c r="H708" t="s">
        <v>49</v>
      </c>
      <c r="I708" t="s">
        <v>69</v>
      </c>
      <c r="J708" t="s">
        <v>30</v>
      </c>
      <c r="K708" t="s">
        <v>89</v>
      </c>
      <c r="L708" t="s">
        <v>1139</v>
      </c>
      <c r="M708" t="s">
        <v>151</v>
      </c>
      <c r="N708" t="s">
        <v>237</v>
      </c>
      <c r="O708" t="s">
        <v>381</v>
      </c>
      <c r="P708" t="s">
        <v>828</v>
      </c>
      <c r="Q708" t="s">
        <v>308</v>
      </c>
      <c r="R708" t="s">
        <v>3555</v>
      </c>
      <c r="S708" t="s">
        <v>182</v>
      </c>
      <c r="T708" t="s">
        <v>448</v>
      </c>
      <c r="U708" t="s">
        <v>472</v>
      </c>
      <c r="V708" t="s">
        <v>58</v>
      </c>
    </row>
    <row r="709" spans="1:22" x14ac:dyDescent="0.3">
      <c r="A709" t="s">
        <v>3556</v>
      </c>
      <c r="B709" t="s">
        <v>3557</v>
      </c>
      <c r="C709" t="s">
        <v>3558</v>
      </c>
      <c r="D709" t="s">
        <v>3559</v>
      </c>
      <c r="E709" t="s">
        <v>47</v>
      </c>
      <c r="F709" t="s">
        <v>26</v>
      </c>
      <c r="G709" t="s">
        <v>147</v>
      </c>
      <c r="H709" t="s">
        <v>214</v>
      </c>
      <c r="I709" t="s">
        <v>69</v>
      </c>
      <c r="J709" t="s">
        <v>30</v>
      </c>
      <c r="K709" t="s">
        <v>89</v>
      </c>
      <c r="L709" t="s">
        <v>1049</v>
      </c>
      <c r="M709" t="s">
        <v>611</v>
      </c>
      <c r="N709" t="s">
        <v>40</v>
      </c>
      <c r="O709" t="s">
        <v>370</v>
      </c>
      <c r="P709" t="s">
        <v>816</v>
      </c>
      <c r="Q709" t="s">
        <v>600</v>
      </c>
      <c r="R709" t="s">
        <v>3560</v>
      </c>
      <c r="S709" t="s">
        <v>126</v>
      </c>
      <c r="T709" t="s">
        <v>448</v>
      </c>
      <c r="U709" t="s">
        <v>238</v>
      </c>
      <c r="V709" t="s">
        <v>82</v>
      </c>
    </row>
    <row r="710" spans="1:22" x14ac:dyDescent="0.3">
      <c r="A710" t="s">
        <v>3561</v>
      </c>
      <c r="B710" t="s">
        <v>330</v>
      </c>
      <c r="C710" t="s">
        <v>331</v>
      </c>
      <c r="D710" t="s">
        <v>3562</v>
      </c>
      <c r="E710" t="s">
        <v>438</v>
      </c>
      <c r="F710" t="s">
        <v>188</v>
      </c>
      <c r="G710" t="s">
        <v>213</v>
      </c>
      <c r="H710" t="s">
        <v>268</v>
      </c>
      <c r="I710" t="s">
        <v>29</v>
      </c>
      <c r="J710" t="s">
        <v>70</v>
      </c>
      <c r="K710" t="s">
        <v>50</v>
      </c>
      <c r="L710" t="s">
        <v>1382</v>
      </c>
      <c r="M710" t="s">
        <v>1635</v>
      </c>
      <c r="N710" t="s">
        <v>179</v>
      </c>
      <c r="O710" t="s">
        <v>1635</v>
      </c>
      <c r="P710" t="s">
        <v>1302</v>
      </c>
      <c r="Q710" t="s">
        <v>326</v>
      </c>
      <c r="R710" t="s">
        <v>3563</v>
      </c>
      <c r="S710" t="s">
        <v>39</v>
      </c>
      <c r="T710" t="s">
        <v>170</v>
      </c>
      <c r="U710" t="s">
        <v>60</v>
      </c>
      <c r="V710" t="s">
        <v>42</v>
      </c>
    </row>
    <row r="711" spans="1:22" x14ac:dyDescent="0.3">
      <c r="A711" t="s">
        <v>3564</v>
      </c>
      <c r="B711" t="s">
        <v>1501</v>
      </c>
      <c r="C711" t="s">
        <v>1502</v>
      </c>
      <c r="D711" t="s">
        <v>1974</v>
      </c>
      <c r="E711" t="s">
        <v>417</v>
      </c>
      <c r="F711" t="s">
        <v>134</v>
      </c>
      <c r="G711" t="s">
        <v>213</v>
      </c>
      <c r="H711" t="s">
        <v>49</v>
      </c>
      <c r="I711" t="s">
        <v>29</v>
      </c>
      <c r="J711" t="s">
        <v>70</v>
      </c>
      <c r="K711" t="s">
        <v>71</v>
      </c>
      <c r="L711" t="s">
        <v>51</v>
      </c>
      <c r="M711" t="s">
        <v>3565</v>
      </c>
      <c r="N711" t="s">
        <v>710</v>
      </c>
      <c r="O711" t="s">
        <v>3566</v>
      </c>
      <c r="P711" t="s">
        <v>3567</v>
      </c>
      <c r="Q711" t="s">
        <v>692</v>
      </c>
      <c r="R711" t="s">
        <v>2419</v>
      </c>
      <c r="S711" t="s">
        <v>79</v>
      </c>
      <c r="T711" t="s">
        <v>1141</v>
      </c>
      <c r="U711" t="s">
        <v>128</v>
      </c>
      <c r="V711" t="s">
        <v>42</v>
      </c>
    </row>
    <row r="712" spans="1:22" x14ac:dyDescent="0.3">
      <c r="A712" t="s">
        <v>3568</v>
      </c>
      <c r="B712" t="s">
        <v>1245</v>
      </c>
      <c r="C712" t="s">
        <v>1246</v>
      </c>
      <c r="D712" t="s">
        <v>3569</v>
      </c>
      <c r="E712" t="s">
        <v>161</v>
      </c>
      <c r="F712" t="s">
        <v>161</v>
      </c>
      <c r="G712" t="s">
        <v>48</v>
      </c>
      <c r="H712" t="s">
        <v>88</v>
      </c>
      <c r="I712" t="s">
        <v>69</v>
      </c>
      <c r="J712" t="s">
        <v>30</v>
      </c>
      <c r="K712" t="s">
        <v>89</v>
      </c>
      <c r="L712" t="s">
        <v>1693</v>
      </c>
      <c r="M712" t="s">
        <v>178</v>
      </c>
      <c r="N712" t="s">
        <v>142</v>
      </c>
      <c r="O712" t="s">
        <v>1413</v>
      </c>
      <c r="P712" t="s">
        <v>949</v>
      </c>
      <c r="Q712" t="s">
        <v>583</v>
      </c>
      <c r="R712" t="s">
        <v>207</v>
      </c>
      <c r="S712" t="s">
        <v>79</v>
      </c>
      <c r="T712" t="s">
        <v>321</v>
      </c>
      <c r="U712" t="s">
        <v>373</v>
      </c>
      <c r="V712" t="s">
        <v>42</v>
      </c>
    </row>
    <row r="713" spans="1:22" x14ac:dyDescent="0.3">
      <c r="A713" t="s">
        <v>3570</v>
      </c>
      <c r="B713" t="s">
        <v>1578</v>
      </c>
      <c r="C713" t="s">
        <v>1579</v>
      </c>
      <c r="D713" t="s">
        <v>1042</v>
      </c>
      <c r="E713" t="s">
        <v>672</v>
      </c>
      <c r="F713" t="s">
        <v>244</v>
      </c>
      <c r="G713" t="s">
        <v>27</v>
      </c>
      <c r="H713" t="s">
        <v>268</v>
      </c>
      <c r="I713" t="s">
        <v>69</v>
      </c>
      <c r="J713" t="s">
        <v>30</v>
      </c>
      <c r="K713" t="s">
        <v>50</v>
      </c>
      <c r="L713" t="s">
        <v>428</v>
      </c>
      <c r="M713" t="s">
        <v>2536</v>
      </c>
      <c r="N713" t="s">
        <v>461</v>
      </c>
      <c r="O713" t="s">
        <v>1651</v>
      </c>
      <c r="P713" t="s">
        <v>535</v>
      </c>
      <c r="Q713" t="s">
        <v>2307</v>
      </c>
      <c r="R713" t="s">
        <v>3571</v>
      </c>
      <c r="S713" t="s">
        <v>39</v>
      </c>
      <c r="T713" t="s">
        <v>433</v>
      </c>
      <c r="U713" t="s">
        <v>394</v>
      </c>
      <c r="V713" t="s">
        <v>42</v>
      </c>
    </row>
    <row r="714" spans="1:22" x14ac:dyDescent="0.3">
      <c r="A714" t="s">
        <v>3572</v>
      </c>
      <c r="B714" t="s">
        <v>3509</v>
      </c>
      <c r="C714" t="s">
        <v>3510</v>
      </c>
      <c r="D714" t="s">
        <v>3318</v>
      </c>
      <c r="E714" t="s">
        <v>267</v>
      </c>
      <c r="F714" t="s">
        <v>66</v>
      </c>
      <c r="G714" t="s">
        <v>103</v>
      </c>
      <c r="H714" t="s">
        <v>49</v>
      </c>
      <c r="I714" t="s">
        <v>69</v>
      </c>
      <c r="J714" t="s">
        <v>70</v>
      </c>
      <c r="K714" t="s">
        <v>89</v>
      </c>
      <c r="L714" t="s">
        <v>216</v>
      </c>
      <c r="M714" t="s">
        <v>527</v>
      </c>
      <c r="N714" t="s">
        <v>183</v>
      </c>
      <c r="O714" t="s">
        <v>959</v>
      </c>
      <c r="P714" t="s">
        <v>452</v>
      </c>
      <c r="Q714" t="s">
        <v>326</v>
      </c>
      <c r="R714" t="s">
        <v>3573</v>
      </c>
      <c r="S714" t="s">
        <v>79</v>
      </c>
      <c r="T714" t="s">
        <v>59</v>
      </c>
      <c r="U714" t="s">
        <v>277</v>
      </c>
      <c r="V714" t="s">
        <v>82</v>
      </c>
    </row>
    <row r="715" spans="1:22" x14ac:dyDescent="0.3">
      <c r="A715" t="s">
        <v>3574</v>
      </c>
      <c r="B715" t="s">
        <v>1701</v>
      </c>
      <c r="C715" t="s">
        <v>1702</v>
      </c>
      <c r="D715" t="s">
        <v>1003</v>
      </c>
      <c r="E715" t="s">
        <v>243</v>
      </c>
      <c r="F715" t="s">
        <v>244</v>
      </c>
      <c r="G715" t="s">
        <v>118</v>
      </c>
      <c r="H715" t="s">
        <v>68</v>
      </c>
      <c r="I715" t="s">
        <v>29</v>
      </c>
      <c r="J715" t="s">
        <v>1482</v>
      </c>
      <c r="K715" t="s">
        <v>230</v>
      </c>
      <c r="L715" t="s">
        <v>658</v>
      </c>
      <c r="M715" t="s">
        <v>848</v>
      </c>
      <c r="N715" t="s">
        <v>600</v>
      </c>
      <c r="O715" t="s">
        <v>1990</v>
      </c>
      <c r="P715" t="s">
        <v>2180</v>
      </c>
      <c r="Q715" t="s">
        <v>166</v>
      </c>
      <c r="R715" t="s">
        <v>3575</v>
      </c>
      <c r="S715" t="s">
        <v>182</v>
      </c>
      <c r="T715" t="s">
        <v>56</v>
      </c>
      <c r="U715" t="s">
        <v>171</v>
      </c>
      <c r="V715" t="s">
        <v>58</v>
      </c>
    </row>
    <row r="716" spans="1:22" x14ac:dyDescent="0.3">
      <c r="A716" t="s">
        <v>3576</v>
      </c>
      <c r="B716" t="s">
        <v>3577</v>
      </c>
      <c r="C716" t="s">
        <v>3578</v>
      </c>
      <c r="D716" t="s">
        <v>3247</v>
      </c>
      <c r="E716" t="s">
        <v>134</v>
      </c>
      <c r="F716" t="s">
        <v>134</v>
      </c>
      <c r="G716" t="s">
        <v>103</v>
      </c>
      <c r="H716" t="s">
        <v>49</v>
      </c>
      <c r="I716" t="s">
        <v>69</v>
      </c>
      <c r="J716" t="s">
        <v>30</v>
      </c>
      <c r="K716" t="s">
        <v>89</v>
      </c>
      <c r="L716" t="s">
        <v>189</v>
      </c>
      <c r="M716" t="s">
        <v>523</v>
      </c>
      <c r="N716" t="s">
        <v>179</v>
      </c>
      <c r="O716" t="s">
        <v>523</v>
      </c>
      <c r="P716" t="s">
        <v>3579</v>
      </c>
      <c r="Q716" t="s">
        <v>582</v>
      </c>
      <c r="R716" t="s">
        <v>3580</v>
      </c>
      <c r="S716" t="s">
        <v>126</v>
      </c>
      <c r="T716" t="s">
        <v>139</v>
      </c>
      <c r="U716" t="s">
        <v>128</v>
      </c>
      <c r="V716" t="s">
        <v>114</v>
      </c>
    </row>
    <row r="717" spans="1:22" x14ac:dyDescent="0.3">
      <c r="A717" t="s">
        <v>3581</v>
      </c>
      <c r="B717" t="s">
        <v>3300</v>
      </c>
      <c r="C717" t="s">
        <v>3301</v>
      </c>
      <c r="D717" t="s">
        <v>1375</v>
      </c>
      <c r="E717" t="s">
        <v>672</v>
      </c>
      <c r="F717" t="s">
        <v>244</v>
      </c>
      <c r="G717" t="s">
        <v>118</v>
      </c>
      <c r="H717" t="s">
        <v>68</v>
      </c>
      <c r="I717" t="s">
        <v>69</v>
      </c>
      <c r="J717" t="s">
        <v>162</v>
      </c>
      <c r="K717" t="s">
        <v>31</v>
      </c>
      <c r="L717" t="s">
        <v>1394</v>
      </c>
      <c r="M717" t="s">
        <v>3582</v>
      </c>
      <c r="N717" t="s">
        <v>392</v>
      </c>
      <c r="O717" t="s">
        <v>3583</v>
      </c>
      <c r="P717" t="s">
        <v>3584</v>
      </c>
      <c r="Q717" t="s">
        <v>1074</v>
      </c>
      <c r="R717" t="s">
        <v>3585</v>
      </c>
      <c r="S717" t="s">
        <v>58</v>
      </c>
      <c r="T717" t="s">
        <v>1000</v>
      </c>
      <c r="U717" t="s">
        <v>373</v>
      </c>
      <c r="V717" t="s">
        <v>42</v>
      </c>
    </row>
    <row r="718" spans="1:22" x14ac:dyDescent="0.3">
      <c r="A718" t="s">
        <v>3586</v>
      </c>
      <c r="B718" t="s">
        <v>474</v>
      </c>
      <c r="C718" t="s">
        <v>475</v>
      </c>
      <c r="D718" t="s">
        <v>3587</v>
      </c>
      <c r="E718" t="s">
        <v>227</v>
      </c>
      <c r="F718" t="s">
        <v>228</v>
      </c>
      <c r="G718" t="s">
        <v>48</v>
      </c>
      <c r="H718" t="s">
        <v>104</v>
      </c>
      <c r="I718" t="s">
        <v>69</v>
      </c>
      <c r="J718" t="s">
        <v>30</v>
      </c>
      <c r="K718" t="s">
        <v>200</v>
      </c>
      <c r="L718" t="s">
        <v>333</v>
      </c>
      <c r="M718" t="s">
        <v>469</v>
      </c>
      <c r="N718" t="s">
        <v>326</v>
      </c>
      <c r="O718" t="s">
        <v>1283</v>
      </c>
      <c r="P718" t="s">
        <v>2319</v>
      </c>
      <c r="Q718" t="s">
        <v>206</v>
      </c>
      <c r="R718" t="s">
        <v>3588</v>
      </c>
      <c r="S718" t="s">
        <v>126</v>
      </c>
      <c r="T718" t="s">
        <v>782</v>
      </c>
      <c r="U718" t="s">
        <v>472</v>
      </c>
      <c r="V718" t="s">
        <v>42</v>
      </c>
    </row>
    <row r="719" spans="1:22" x14ac:dyDescent="0.3">
      <c r="A719" t="s">
        <v>3589</v>
      </c>
      <c r="B719" t="s">
        <v>1386</v>
      </c>
      <c r="C719" t="s">
        <v>1387</v>
      </c>
      <c r="D719" t="s">
        <v>2459</v>
      </c>
      <c r="E719" t="s">
        <v>780</v>
      </c>
      <c r="F719" t="s">
        <v>282</v>
      </c>
      <c r="G719" t="s">
        <v>67</v>
      </c>
      <c r="H719" t="s">
        <v>88</v>
      </c>
      <c r="I719" t="s">
        <v>29</v>
      </c>
      <c r="J719" t="s">
        <v>30</v>
      </c>
      <c r="K719" t="s">
        <v>71</v>
      </c>
      <c r="L719" t="s">
        <v>90</v>
      </c>
      <c r="M719" t="s">
        <v>872</v>
      </c>
      <c r="N719" t="s">
        <v>179</v>
      </c>
      <c r="O719" t="s">
        <v>872</v>
      </c>
      <c r="P719" t="s">
        <v>3007</v>
      </c>
      <c r="Q719" t="s">
        <v>675</v>
      </c>
      <c r="R719" t="s">
        <v>3590</v>
      </c>
      <c r="S719" t="s">
        <v>39</v>
      </c>
      <c r="T719" t="s">
        <v>252</v>
      </c>
      <c r="U719" t="s">
        <v>288</v>
      </c>
      <c r="V719" t="s">
        <v>82</v>
      </c>
    </row>
    <row r="720" spans="1:22" x14ac:dyDescent="0.3">
      <c r="A720" t="s">
        <v>3591</v>
      </c>
      <c r="B720" t="s">
        <v>2775</v>
      </c>
      <c r="C720" t="s">
        <v>2776</v>
      </c>
      <c r="D720" t="s">
        <v>3592</v>
      </c>
      <c r="E720" t="s">
        <v>378</v>
      </c>
      <c r="F720" t="s">
        <v>282</v>
      </c>
      <c r="G720" t="s">
        <v>67</v>
      </c>
      <c r="H720" t="s">
        <v>214</v>
      </c>
      <c r="I720" t="s">
        <v>29</v>
      </c>
      <c r="J720" t="s">
        <v>30</v>
      </c>
      <c r="K720" t="s">
        <v>230</v>
      </c>
      <c r="L720" t="s">
        <v>551</v>
      </c>
      <c r="M720" t="s">
        <v>2391</v>
      </c>
      <c r="N720" t="s">
        <v>321</v>
      </c>
      <c r="O720" t="s">
        <v>2641</v>
      </c>
      <c r="P720" t="s">
        <v>73</v>
      </c>
      <c r="Q720" t="s">
        <v>1183</v>
      </c>
      <c r="R720" t="s">
        <v>3593</v>
      </c>
      <c r="S720" t="s">
        <v>79</v>
      </c>
      <c r="T720" t="s">
        <v>392</v>
      </c>
      <c r="U720" t="s">
        <v>98</v>
      </c>
      <c r="V720" t="s">
        <v>58</v>
      </c>
    </row>
    <row r="721" spans="1:22" x14ac:dyDescent="0.3">
      <c r="A721" t="s">
        <v>3594</v>
      </c>
      <c r="B721" t="s">
        <v>3595</v>
      </c>
      <c r="C721" t="s">
        <v>3596</v>
      </c>
      <c r="D721" t="s">
        <v>3597</v>
      </c>
      <c r="E721" t="s">
        <v>161</v>
      </c>
      <c r="F721" t="s">
        <v>161</v>
      </c>
      <c r="G721" t="s">
        <v>118</v>
      </c>
      <c r="H721" t="s">
        <v>68</v>
      </c>
      <c r="I721" t="s">
        <v>29</v>
      </c>
      <c r="J721" t="s">
        <v>162</v>
      </c>
      <c r="K721" t="s">
        <v>31</v>
      </c>
      <c r="L721" t="s">
        <v>653</v>
      </c>
      <c r="M721" t="s">
        <v>703</v>
      </c>
      <c r="N721" t="s">
        <v>695</v>
      </c>
      <c r="O721" t="s">
        <v>873</v>
      </c>
      <c r="P721" t="s">
        <v>544</v>
      </c>
      <c r="Q721" t="s">
        <v>792</v>
      </c>
      <c r="R721" t="s">
        <v>3598</v>
      </c>
      <c r="S721" t="s">
        <v>39</v>
      </c>
      <c r="T721" t="s">
        <v>183</v>
      </c>
      <c r="U721" t="s">
        <v>238</v>
      </c>
      <c r="V721" t="s">
        <v>79</v>
      </c>
    </row>
    <row r="722" spans="1:22" x14ac:dyDescent="0.3">
      <c r="A722" t="s">
        <v>3599</v>
      </c>
      <c r="B722" t="s">
        <v>1251</v>
      </c>
      <c r="C722" t="s">
        <v>1252</v>
      </c>
      <c r="D722" t="s">
        <v>1345</v>
      </c>
      <c r="E722" t="s">
        <v>26</v>
      </c>
      <c r="F722" t="s">
        <v>26</v>
      </c>
      <c r="G722" t="s">
        <v>27</v>
      </c>
      <c r="H722" t="s">
        <v>68</v>
      </c>
      <c r="I722" t="s">
        <v>69</v>
      </c>
      <c r="J722" t="s">
        <v>70</v>
      </c>
      <c r="K722" t="s">
        <v>50</v>
      </c>
      <c r="L722" t="s">
        <v>2429</v>
      </c>
      <c r="M722" t="s">
        <v>3600</v>
      </c>
      <c r="N722" t="s">
        <v>37</v>
      </c>
      <c r="O722" t="s">
        <v>3601</v>
      </c>
      <c r="P722" t="s">
        <v>3602</v>
      </c>
      <c r="Q722" t="s">
        <v>752</v>
      </c>
      <c r="R722" t="s">
        <v>3492</v>
      </c>
      <c r="S722" t="s">
        <v>58</v>
      </c>
      <c r="T722" t="s">
        <v>1183</v>
      </c>
      <c r="U722" t="s">
        <v>155</v>
      </c>
      <c r="V722" t="s">
        <v>79</v>
      </c>
    </row>
    <row r="723" spans="1:22" x14ac:dyDescent="0.3">
      <c r="A723" t="s">
        <v>3603</v>
      </c>
      <c r="B723" t="s">
        <v>1945</v>
      </c>
      <c r="C723" t="s">
        <v>1946</v>
      </c>
      <c r="D723" t="s">
        <v>3604</v>
      </c>
      <c r="E723" t="s">
        <v>47</v>
      </c>
      <c r="F723" t="s">
        <v>26</v>
      </c>
      <c r="G723" t="s">
        <v>118</v>
      </c>
      <c r="H723" t="s">
        <v>49</v>
      </c>
      <c r="I723" t="s">
        <v>69</v>
      </c>
      <c r="J723" t="s">
        <v>30</v>
      </c>
      <c r="K723" t="s">
        <v>89</v>
      </c>
      <c r="L723" t="s">
        <v>51</v>
      </c>
      <c r="M723" t="s">
        <v>2600</v>
      </c>
      <c r="N723" t="s">
        <v>168</v>
      </c>
      <c r="O723" t="s">
        <v>1889</v>
      </c>
      <c r="P723" t="s">
        <v>3486</v>
      </c>
      <c r="Q723" t="s">
        <v>984</v>
      </c>
      <c r="R723" t="s">
        <v>3605</v>
      </c>
      <c r="S723" t="s">
        <v>182</v>
      </c>
      <c r="T723" t="s">
        <v>299</v>
      </c>
      <c r="U723" t="s">
        <v>472</v>
      </c>
      <c r="V723" t="s">
        <v>79</v>
      </c>
    </row>
    <row r="724" spans="1:22" x14ac:dyDescent="0.3">
      <c r="A724" t="s">
        <v>3606</v>
      </c>
      <c r="B724" t="s">
        <v>956</v>
      </c>
      <c r="C724" t="s">
        <v>957</v>
      </c>
      <c r="D724" t="s">
        <v>3267</v>
      </c>
      <c r="E724" t="s">
        <v>87</v>
      </c>
      <c r="F724" t="s">
        <v>26</v>
      </c>
      <c r="G724" t="s">
        <v>48</v>
      </c>
      <c r="H724" t="s">
        <v>229</v>
      </c>
      <c r="I724" t="s">
        <v>29</v>
      </c>
      <c r="J724" t="s">
        <v>30</v>
      </c>
      <c r="K724" t="s">
        <v>245</v>
      </c>
      <c r="L724" t="s">
        <v>32</v>
      </c>
      <c r="M724" t="s">
        <v>1169</v>
      </c>
      <c r="N724" t="s">
        <v>655</v>
      </c>
      <c r="O724" t="s">
        <v>1170</v>
      </c>
      <c r="P724" t="s">
        <v>1864</v>
      </c>
      <c r="Q724" t="s">
        <v>1725</v>
      </c>
      <c r="R724" t="s">
        <v>3607</v>
      </c>
      <c r="S724" t="s">
        <v>58</v>
      </c>
      <c r="T724" t="s">
        <v>710</v>
      </c>
      <c r="U724" t="s">
        <v>98</v>
      </c>
      <c r="V724" t="s">
        <v>58</v>
      </c>
    </row>
    <row r="725" spans="1:22" x14ac:dyDescent="0.3">
      <c r="A725" t="s">
        <v>3608</v>
      </c>
      <c r="B725" t="s">
        <v>660</v>
      </c>
      <c r="C725" t="s">
        <v>661</v>
      </c>
      <c r="D725" t="s">
        <v>1995</v>
      </c>
      <c r="E725" t="s">
        <v>161</v>
      </c>
      <c r="F725" t="s">
        <v>161</v>
      </c>
      <c r="G725" t="s">
        <v>27</v>
      </c>
      <c r="H725" t="s">
        <v>104</v>
      </c>
      <c r="I725" t="s">
        <v>69</v>
      </c>
      <c r="J725" t="s">
        <v>30</v>
      </c>
      <c r="K725" t="s">
        <v>230</v>
      </c>
      <c r="L725" t="s">
        <v>246</v>
      </c>
      <c r="M725" t="s">
        <v>1039</v>
      </c>
      <c r="N725" t="s">
        <v>440</v>
      </c>
      <c r="O725" t="s">
        <v>781</v>
      </c>
      <c r="P725" t="s">
        <v>554</v>
      </c>
      <c r="Q725" t="s">
        <v>180</v>
      </c>
      <c r="R725" t="s">
        <v>3609</v>
      </c>
      <c r="S725" t="s">
        <v>126</v>
      </c>
      <c r="T725" t="s">
        <v>37</v>
      </c>
      <c r="U725" t="s">
        <v>171</v>
      </c>
      <c r="V725" t="s">
        <v>79</v>
      </c>
    </row>
    <row r="726" spans="1:22" x14ac:dyDescent="0.3">
      <c r="A726" t="s">
        <v>3610</v>
      </c>
      <c r="B726" t="s">
        <v>795</v>
      </c>
      <c r="C726" t="s">
        <v>796</v>
      </c>
      <c r="D726" t="s">
        <v>3135</v>
      </c>
      <c r="E726" t="s">
        <v>378</v>
      </c>
      <c r="F726" t="s">
        <v>282</v>
      </c>
      <c r="G726" t="s">
        <v>147</v>
      </c>
      <c r="H726" t="s">
        <v>104</v>
      </c>
      <c r="I726" t="s">
        <v>29</v>
      </c>
      <c r="J726" t="s">
        <v>30</v>
      </c>
      <c r="K726" t="s">
        <v>71</v>
      </c>
      <c r="L726" t="s">
        <v>148</v>
      </c>
      <c r="M726" t="s">
        <v>357</v>
      </c>
      <c r="N726" t="s">
        <v>237</v>
      </c>
      <c r="O726" t="s">
        <v>2236</v>
      </c>
      <c r="P726" t="s">
        <v>781</v>
      </c>
      <c r="Q726" t="s">
        <v>782</v>
      </c>
      <c r="R726" t="s">
        <v>3611</v>
      </c>
      <c r="S726" t="s">
        <v>58</v>
      </c>
      <c r="T726" t="s">
        <v>37</v>
      </c>
      <c r="U726" t="s">
        <v>373</v>
      </c>
      <c r="V726" t="s">
        <v>42</v>
      </c>
    </row>
    <row r="727" spans="1:22" x14ac:dyDescent="0.3">
      <c r="A727" t="s">
        <v>3612</v>
      </c>
      <c r="B727" t="s">
        <v>2213</v>
      </c>
      <c r="C727" t="s">
        <v>2214</v>
      </c>
      <c r="D727" t="s">
        <v>1772</v>
      </c>
      <c r="E727" t="s">
        <v>228</v>
      </c>
      <c r="F727" t="s">
        <v>228</v>
      </c>
      <c r="G727" t="s">
        <v>27</v>
      </c>
      <c r="H727" t="s">
        <v>214</v>
      </c>
      <c r="I727" t="s">
        <v>69</v>
      </c>
      <c r="J727" t="s">
        <v>30</v>
      </c>
      <c r="K727" t="s">
        <v>215</v>
      </c>
      <c r="L727" t="s">
        <v>487</v>
      </c>
      <c r="M727" t="s">
        <v>784</v>
      </c>
      <c r="N727" t="s">
        <v>448</v>
      </c>
      <c r="O727" t="s">
        <v>886</v>
      </c>
      <c r="P727" t="s">
        <v>344</v>
      </c>
      <c r="Q727" t="s">
        <v>567</v>
      </c>
      <c r="R727" t="s">
        <v>3613</v>
      </c>
      <c r="S727" t="s">
        <v>58</v>
      </c>
      <c r="T727" t="s">
        <v>1162</v>
      </c>
      <c r="U727" t="s">
        <v>537</v>
      </c>
      <c r="V727" t="s">
        <v>114</v>
      </c>
    </row>
    <row r="728" spans="1:22" x14ac:dyDescent="0.3">
      <c r="A728" t="s">
        <v>3614</v>
      </c>
      <c r="B728" t="s">
        <v>839</v>
      </c>
      <c r="C728" t="s">
        <v>840</v>
      </c>
      <c r="D728" t="s">
        <v>1439</v>
      </c>
      <c r="E728" t="s">
        <v>267</v>
      </c>
      <c r="F728" t="s">
        <v>66</v>
      </c>
      <c r="G728" t="s">
        <v>118</v>
      </c>
      <c r="H728" t="s">
        <v>88</v>
      </c>
      <c r="I728" t="s">
        <v>69</v>
      </c>
      <c r="J728" t="s">
        <v>30</v>
      </c>
      <c r="K728" t="s">
        <v>245</v>
      </c>
      <c r="L728" t="s">
        <v>189</v>
      </c>
      <c r="M728" t="s">
        <v>469</v>
      </c>
      <c r="N728" t="s">
        <v>179</v>
      </c>
      <c r="O728" t="s">
        <v>469</v>
      </c>
      <c r="P728" t="s">
        <v>2527</v>
      </c>
      <c r="Q728" t="s">
        <v>1456</v>
      </c>
      <c r="R728" t="s">
        <v>3615</v>
      </c>
      <c r="S728" t="s">
        <v>39</v>
      </c>
      <c r="T728" t="s">
        <v>384</v>
      </c>
      <c r="U728" t="s">
        <v>423</v>
      </c>
      <c r="V728" t="s">
        <v>79</v>
      </c>
    </row>
    <row r="729" spans="1:22" x14ac:dyDescent="0.3">
      <c r="A729" t="s">
        <v>3616</v>
      </c>
      <c r="B729" t="s">
        <v>1851</v>
      </c>
      <c r="C729" t="s">
        <v>1852</v>
      </c>
      <c r="D729" t="s">
        <v>1363</v>
      </c>
      <c r="E729" t="s">
        <v>730</v>
      </c>
      <c r="F729" t="s">
        <v>26</v>
      </c>
      <c r="G729" t="s">
        <v>580</v>
      </c>
      <c r="H729" t="s">
        <v>88</v>
      </c>
      <c r="I729" t="s">
        <v>69</v>
      </c>
      <c r="J729" t="s">
        <v>162</v>
      </c>
      <c r="K729" t="s">
        <v>215</v>
      </c>
      <c r="L729" t="s">
        <v>906</v>
      </c>
      <c r="M729" t="s">
        <v>506</v>
      </c>
      <c r="N729" t="s">
        <v>2673</v>
      </c>
      <c r="O729" t="s">
        <v>1177</v>
      </c>
      <c r="P729" t="s">
        <v>1665</v>
      </c>
      <c r="Q729" t="s">
        <v>92</v>
      </c>
      <c r="R729" t="s">
        <v>3617</v>
      </c>
      <c r="S729" t="s">
        <v>39</v>
      </c>
      <c r="T729" t="s">
        <v>165</v>
      </c>
      <c r="U729" t="s">
        <v>568</v>
      </c>
      <c r="V729" t="s">
        <v>114</v>
      </c>
    </row>
    <row r="730" spans="1:22" x14ac:dyDescent="0.3">
      <c r="A730" t="s">
        <v>3618</v>
      </c>
      <c r="B730" t="s">
        <v>631</v>
      </c>
      <c r="C730" t="s">
        <v>632</v>
      </c>
      <c r="D730" t="s">
        <v>1508</v>
      </c>
      <c r="E730" t="s">
        <v>65</v>
      </c>
      <c r="F730" t="s">
        <v>66</v>
      </c>
      <c r="G730" t="s">
        <v>48</v>
      </c>
      <c r="H730" t="s">
        <v>214</v>
      </c>
      <c r="I730" t="s">
        <v>69</v>
      </c>
      <c r="J730" t="s">
        <v>30</v>
      </c>
      <c r="K730" t="s">
        <v>245</v>
      </c>
      <c r="L730" t="s">
        <v>177</v>
      </c>
      <c r="M730" t="s">
        <v>3619</v>
      </c>
      <c r="N730" t="s">
        <v>179</v>
      </c>
      <c r="O730" t="s">
        <v>3619</v>
      </c>
      <c r="P730" t="s">
        <v>234</v>
      </c>
      <c r="Q730" t="s">
        <v>1647</v>
      </c>
      <c r="R730" t="s">
        <v>3620</v>
      </c>
      <c r="S730" t="s">
        <v>39</v>
      </c>
      <c r="T730" t="s">
        <v>74</v>
      </c>
      <c r="U730" t="s">
        <v>171</v>
      </c>
      <c r="V730" t="s">
        <v>58</v>
      </c>
    </row>
    <row r="731" spans="1:22" x14ac:dyDescent="0.3">
      <c r="A731" t="s">
        <v>3621</v>
      </c>
      <c r="B731" t="s">
        <v>501</v>
      </c>
      <c r="C731" t="s">
        <v>502</v>
      </c>
      <c r="D731" t="s">
        <v>1111</v>
      </c>
      <c r="E731" t="s">
        <v>780</v>
      </c>
      <c r="F731" t="s">
        <v>282</v>
      </c>
      <c r="G731" t="s">
        <v>213</v>
      </c>
      <c r="H731" t="s">
        <v>88</v>
      </c>
      <c r="I731" t="s">
        <v>69</v>
      </c>
      <c r="J731" t="s">
        <v>30</v>
      </c>
      <c r="K731" t="s">
        <v>50</v>
      </c>
      <c r="L731" t="s">
        <v>1295</v>
      </c>
      <c r="M731" t="s">
        <v>842</v>
      </c>
      <c r="N731" t="s">
        <v>448</v>
      </c>
      <c r="O731" t="s">
        <v>1864</v>
      </c>
      <c r="P731" t="s">
        <v>1725</v>
      </c>
      <c r="Q731" t="s">
        <v>328</v>
      </c>
      <c r="R731" t="s">
        <v>3622</v>
      </c>
      <c r="S731" t="s">
        <v>58</v>
      </c>
      <c r="T731" t="s">
        <v>150</v>
      </c>
      <c r="U731" t="s">
        <v>238</v>
      </c>
      <c r="V731" t="s">
        <v>82</v>
      </c>
    </row>
    <row r="732" spans="1:22" x14ac:dyDescent="0.3">
      <c r="A732" t="s">
        <v>3623</v>
      </c>
      <c r="B732" t="s">
        <v>3118</v>
      </c>
      <c r="C732" t="s">
        <v>3119</v>
      </c>
      <c r="D732" t="s">
        <v>3624</v>
      </c>
      <c r="E732" t="s">
        <v>780</v>
      </c>
      <c r="F732" t="s">
        <v>282</v>
      </c>
      <c r="G732" t="s">
        <v>118</v>
      </c>
      <c r="H732" t="s">
        <v>88</v>
      </c>
      <c r="I732" t="s">
        <v>69</v>
      </c>
      <c r="J732" t="s">
        <v>70</v>
      </c>
      <c r="K732" t="s">
        <v>215</v>
      </c>
      <c r="L732" t="s">
        <v>1139</v>
      </c>
      <c r="M732" t="s">
        <v>1089</v>
      </c>
      <c r="N732" t="s">
        <v>583</v>
      </c>
      <c r="O732" t="s">
        <v>2982</v>
      </c>
      <c r="P732" t="s">
        <v>931</v>
      </c>
      <c r="Q732" t="s">
        <v>666</v>
      </c>
      <c r="R732" t="s">
        <v>3275</v>
      </c>
      <c r="S732" t="s">
        <v>39</v>
      </c>
      <c r="T732" t="s">
        <v>604</v>
      </c>
      <c r="U732" t="s">
        <v>171</v>
      </c>
      <c r="V732" t="s">
        <v>58</v>
      </c>
    </row>
    <row r="733" spans="1:22" x14ac:dyDescent="0.3">
      <c r="A733" t="s">
        <v>3625</v>
      </c>
      <c r="B733" t="s">
        <v>1501</v>
      </c>
      <c r="C733" t="s">
        <v>1502</v>
      </c>
      <c r="D733" t="s">
        <v>3626</v>
      </c>
      <c r="E733" t="s">
        <v>244</v>
      </c>
      <c r="F733" t="s">
        <v>244</v>
      </c>
      <c r="G733" t="s">
        <v>118</v>
      </c>
      <c r="H733" t="s">
        <v>28</v>
      </c>
      <c r="I733" t="s">
        <v>29</v>
      </c>
      <c r="J733" t="s">
        <v>70</v>
      </c>
      <c r="K733" t="s">
        <v>215</v>
      </c>
      <c r="L733" t="s">
        <v>812</v>
      </c>
      <c r="M733" t="s">
        <v>76</v>
      </c>
      <c r="N733" t="s">
        <v>770</v>
      </c>
      <c r="O733" t="s">
        <v>347</v>
      </c>
      <c r="P733" t="s">
        <v>1642</v>
      </c>
      <c r="Q733" t="s">
        <v>613</v>
      </c>
      <c r="R733" t="s">
        <v>3627</v>
      </c>
      <c r="S733" t="s">
        <v>39</v>
      </c>
      <c r="T733" t="s">
        <v>59</v>
      </c>
      <c r="U733" t="s">
        <v>171</v>
      </c>
      <c r="V733" t="s">
        <v>79</v>
      </c>
    </row>
    <row r="734" spans="1:22" x14ac:dyDescent="0.3">
      <c r="A734" t="s">
        <v>3628</v>
      </c>
      <c r="B734" t="s">
        <v>1861</v>
      </c>
      <c r="C734" t="s">
        <v>1862</v>
      </c>
      <c r="D734" t="s">
        <v>3629</v>
      </c>
      <c r="E734" t="s">
        <v>893</v>
      </c>
      <c r="F734" t="s">
        <v>188</v>
      </c>
      <c r="G734" t="s">
        <v>103</v>
      </c>
      <c r="H734" t="s">
        <v>49</v>
      </c>
      <c r="I734" t="s">
        <v>69</v>
      </c>
      <c r="J734" t="s">
        <v>30</v>
      </c>
      <c r="K734" t="s">
        <v>215</v>
      </c>
      <c r="L734" t="s">
        <v>561</v>
      </c>
      <c r="M734" t="s">
        <v>1647</v>
      </c>
      <c r="N734" t="s">
        <v>179</v>
      </c>
      <c r="O734" t="s">
        <v>1647</v>
      </c>
      <c r="P734" t="s">
        <v>75</v>
      </c>
      <c r="Q734" t="s">
        <v>406</v>
      </c>
      <c r="R734" t="s">
        <v>3630</v>
      </c>
      <c r="S734" t="s">
        <v>97</v>
      </c>
      <c r="T734" t="s">
        <v>529</v>
      </c>
      <c r="U734" t="s">
        <v>128</v>
      </c>
      <c r="V734" t="s">
        <v>82</v>
      </c>
    </row>
    <row r="735" spans="1:22" x14ac:dyDescent="0.3">
      <c r="A735" t="s">
        <v>3631</v>
      </c>
      <c r="B735" t="s">
        <v>845</v>
      </c>
      <c r="C735" t="s">
        <v>846</v>
      </c>
      <c r="D735" t="s">
        <v>159</v>
      </c>
      <c r="E735" t="s">
        <v>47</v>
      </c>
      <c r="F735" t="s">
        <v>26</v>
      </c>
      <c r="G735" t="s">
        <v>147</v>
      </c>
      <c r="H735" t="s">
        <v>229</v>
      </c>
      <c r="I735" t="s">
        <v>69</v>
      </c>
      <c r="J735" t="s">
        <v>30</v>
      </c>
      <c r="K735" t="s">
        <v>230</v>
      </c>
      <c r="L735" t="s">
        <v>1049</v>
      </c>
      <c r="M735" t="s">
        <v>3632</v>
      </c>
      <c r="N735" t="s">
        <v>179</v>
      </c>
      <c r="O735" t="s">
        <v>3632</v>
      </c>
      <c r="P735" t="s">
        <v>2143</v>
      </c>
      <c r="Q735" t="s">
        <v>666</v>
      </c>
      <c r="R735" t="s">
        <v>3633</v>
      </c>
      <c r="S735" t="s">
        <v>39</v>
      </c>
      <c r="T735" t="s">
        <v>328</v>
      </c>
      <c r="U735" t="s">
        <v>98</v>
      </c>
      <c r="V735" t="s">
        <v>79</v>
      </c>
    </row>
    <row r="736" spans="1:22" x14ac:dyDescent="0.3">
      <c r="A736" t="s">
        <v>3634</v>
      </c>
      <c r="B736" t="s">
        <v>2938</v>
      </c>
      <c r="C736" t="s">
        <v>2939</v>
      </c>
      <c r="D736" t="s">
        <v>3635</v>
      </c>
      <c r="E736" t="s">
        <v>160</v>
      </c>
      <c r="F736" t="s">
        <v>161</v>
      </c>
      <c r="G736" t="s">
        <v>580</v>
      </c>
      <c r="I736" t="s">
        <v>69</v>
      </c>
      <c r="J736" t="s">
        <v>30</v>
      </c>
      <c r="K736" t="s">
        <v>200</v>
      </c>
      <c r="L736" t="s">
        <v>1394</v>
      </c>
      <c r="M736" t="s">
        <v>93</v>
      </c>
      <c r="N736" t="s">
        <v>529</v>
      </c>
      <c r="O736" t="s">
        <v>1273</v>
      </c>
      <c r="P736" t="s">
        <v>1539</v>
      </c>
      <c r="Q736" t="s">
        <v>1141</v>
      </c>
      <c r="R736" t="s">
        <v>3636</v>
      </c>
      <c r="S736" t="s">
        <v>126</v>
      </c>
      <c r="T736" t="s">
        <v>150</v>
      </c>
      <c r="U736" t="s">
        <v>171</v>
      </c>
      <c r="V736" t="s">
        <v>79</v>
      </c>
    </row>
    <row r="737" spans="1:22" x14ac:dyDescent="0.3">
      <c r="A737" t="s">
        <v>3637</v>
      </c>
      <c r="B737" t="s">
        <v>3638</v>
      </c>
      <c r="C737" t="s">
        <v>3639</v>
      </c>
      <c r="D737" t="s">
        <v>3640</v>
      </c>
      <c r="E737" t="s">
        <v>176</v>
      </c>
      <c r="F737" t="s">
        <v>161</v>
      </c>
      <c r="G737" t="s">
        <v>103</v>
      </c>
      <c r="H737" t="s">
        <v>229</v>
      </c>
      <c r="I737" t="s">
        <v>29</v>
      </c>
      <c r="J737" t="s">
        <v>70</v>
      </c>
      <c r="K737" t="s">
        <v>89</v>
      </c>
      <c r="L737" t="s">
        <v>561</v>
      </c>
      <c r="M737" t="s">
        <v>2793</v>
      </c>
      <c r="N737" t="s">
        <v>179</v>
      </c>
      <c r="O737" t="s">
        <v>2793</v>
      </c>
      <c r="P737" t="s">
        <v>850</v>
      </c>
      <c r="Q737" t="s">
        <v>2108</v>
      </c>
      <c r="R737" t="s">
        <v>3641</v>
      </c>
      <c r="S737" t="s">
        <v>58</v>
      </c>
      <c r="T737" t="s">
        <v>1116</v>
      </c>
      <c r="V737" t="s">
        <v>58</v>
      </c>
    </row>
    <row r="738" spans="1:22" x14ac:dyDescent="0.3">
      <c r="A738" t="s">
        <v>3642</v>
      </c>
      <c r="B738" t="s">
        <v>2277</v>
      </c>
      <c r="C738" t="s">
        <v>2278</v>
      </c>
      <c r="D738" t="s">
        <v>3643</v>
      </c>
      <c r="E738" t="s">
        <v>399</v>
      </c>
      <c r="F738" t="s">
        <v>188</v>
      </c>
      <c r="G738" t="s">
        <v>103</v>
      </c>
      <c r="H738" t="s">
        <v>214</v>
      </c>
      <c r="I738" t="s">
        <v>29</v>
      </c>
      <c r="J738" t="s">
        <v>30</v>
      </c>
      <c r="K738" t="s">
        <v>230</v>
      </c>
      <c r="L738" t="s">
        <v>333</v>
      </c>
      <c r="M738" t="s">
        <v>1214</v>
      </c>
      <c r="N738" t="s">
        <v>628</v>
      </c>
      <c r="O738" t="s">
        <v>2024</v>
      </c>
      <c r="P738" t="s">
        <v>804</v>
      </c>
      <c r="Q738" t="s">
        <v>3644</v>
      </c>
      <c r="R738" t="s">
        <v>3645</v>
      </c>
      <c r="S738" t="s">
        <v>97</v>
      </c>
      <c r="T738" t="s">
        <v>191</v>
      </c>
      <c r="U738" t="s">
        <v>171</v>
      </c>
      <c r="V738" t="s">
        <v>42</v>
      </c>
    </row>
    <row r="739" spans="1:22" x14ac:dyDescent="0.3">
      <c r="A739" t="s">
        <v>3646</v>
      </c>
      <c r="B739" t="s">
        <v>1186</v>
      </c>
      <c r="C739" t="s">
        <v>1187</v>
      </c>
      <c r="D739" t="s">
        <v>3331</v>
      </c>
      <c r="E739" t="s">
        <v>354</v>
      </c>
      <c r="F739" t="s">
        <v>134</v>
      </c>
      <c r="G739" t="s">
        <v>103</v>
      </c>
      <c r="H739" t="s">
        <v>104</v>
      </c>
      <c r="I739" t="s">
        <v>29</v>
      </c>
      <c r="J739" t="s">
        <v>30</v>
      </c>
      <c r="K739" t="s">
        <v>293</v>
      </c>
      <c r="L739" t="s">
        <v>682</v>
      </c>
      <c r="M739" t="s">
        <v>1396</v>
      </c>
      <c r="N739" t="s">
        <v>328</v>
      </c>
      <c r="O739" t="s">
        <v>152</v>
      </c>
      <c r="P739" t="s">
        <v>1112</v>
      </c>
      <c r="Q739" t="s">
        <v>1642</v>
      </c>
      <c r="R739" t="s">
        <v>3647</v>
      </c>
      <c r="S739" t="s">
        <v>97</v>
      </c>
      <c r="T739" t="s">
        <v>150</v>
      </c>
      <c r="U739" t="s">
        <v>155</v>
      </c>
      <c r="V739" t="s">
        <v>58</v>
      </c>
    </row>
    <row r="740" spans="1:22" x14ac:dyDescent="0.3">
      <c r="A740" t="s">
        <v>3648</v>
      </c>
      <c r="B740" t="s">
        <v>2173</v>
      </c>
      <c r="C740" t="s">
        <v>2174</v>
      </c>
      <c r="D740" t="s">
        <v>1339</v>
      </c>
      <c r="E740" t="s">
        <v>730</v>
      </c>
      <c r="F740" t="s">
        <v>26</v>
      </c>
      <c r="G740" t="s">
        <v>48</v>
      </c>
      <c r="H740" t="s">
        <v>49</v>
      </c>
      <c r="I740" t="s">
        <v>69</v>
      </c>
      <c r="J740" t="s">
        <v>30</v>
      </c>
      <c r="K740" t="s">
        <v>230</v>
      </c>
      <c r="L740" t="s">
        <v>561</v>
      </c>
      <c r="M740" t="s">
        <v>2997</v>
      </c>
      <c r="N740" t="s">
        <v>896</v>
      </c>
      <c r="O740" t="s">
        <v>1011</v>
      </c>
      <c r="P740" t="s">
        <v>921</v>
      </c>
      <c r="Q740" t="s">
        <v>252</v>
      </c>
      <c r="R740" t="s">
        <v>3649</v>
      </c>
      <c r="S740" t="s">
        <v>126</v>
      </c>
      <c r="T740" t="s">
        <v>440</v>
      </c>
      <c r="U740" t="s">
        <v>407</v>
      </c>
      <c r="V740" t="s">
        <v>42</v>
      </c>
    </row>
    <row r="741" spans="1:22" x14ac:dyDescent="0.3">
      <c r="A741" t="s">
        <v>3650</v>
      </c>
      <c r="B741" t="s">
        <v>3577</v>
      </c>
      <c r="C741" t="s">
        <v>3578</v>
      </c>
      <c r="D741" t="s">
        <v>3006</v>
      </c>
      <c r="E741" t="s">
        <v>65</v>
      </c>
      <c r="F741" t="s">
        <v>66</v>
      </c>
      <c r="G741" t="s">
        <v>103</v>
      </c>
      <c r="H741" t="s">
        <v>28</v>
      </c>
      <c r="I741" t="s">
        <v>69</v>
      </c>
      <c r="J741" t="s">
        <v>70</v>
      </c>
      <c r="K741" t="s">
        <v>200</v>
      </c>
      <c r="L741" t="s">
        <v>1211</v>
      </c>
      <c r="M741" t="s">
        <v>3420</v>
      </c>
      <c r="N741" t="s">
        <v>1112</v>
      </c>
      <c r="O741" t="s">
        <v>1907</v>
      </c>
      <c r="P741" t="s">
        <v>3651</v>
      </c>
      <c r="Q741" t="s">
        <v>655</v>
      </c>
      <c r="R741" t="s">
        <v>3652</v>
      </c>
      <c r="S741" t="s">
        <v>58</v>
      </c>
      <c r="T741" t="s">
        <v>1043</v>
      </c>
      <c r="U741" t="s">
        <v>300</v>
      </c>
      <c r="V741" t="s">
        <v>82</v>
      </c>
    </row>
    <row r="742" spans="1:22" x14ac:dyDescent="0.3">
      <c r="A742" t="s">
        <v>3653</v>
      </c>
      <c r="B742" t="s">
        <v>130</v>
      </c>
      <c r="C742" t="s">
        <v>131</v>
      </c>
      <c r="D742" t="s">
        <v>2455</v>
      </c>
      <c r="E742" t="s">
        <v>378</v>
      </c>
      <c r="F742" t="s">
        <v>282</v>
      </c>
      <c r="G742" t="s">
        <v>213</v>
      </c>
      <c r="H742" t="s">
        <v>214</v>
      </c>
      <c r="I742" t="s">
        <v>69</v>
      </c>
      <c r="J742" t="s">
        <v>162</v>
      </c>
      <c r="K742" t="s">
        <v>71</v>
      </c>
      <c r="L742" t="s">
        <v>1394</v>
      </c>
      <c r="M742" t="s">
        <v>2660</v>
      </c>
      <c r="N742" t="s">
        <v>179</v>
      </c>
      <c r="O742" t="s">
        <v>2660</v>
      </c>
      <c r="P742" t="s">
        <v>2549</v>
      </c>
      <c r="Q742" t="s">
        <v>1725</v>
      </c>
      <c r="R742" t="s">
        <v>3127</v>
      </c>
      <c r="S742" t="s">
        <v>79</v>
      </c>
      <c r="T742" t="s">
        <v>92</v>
      </c>
      <c r="U742" t="s">
        <v>128</v>
      </c>
      <c r="V742" t="s">
        <v>79</v>
      </c>
    </row>
    <row r="743" spans="1:22" x14ac:dyDescent="0.3">
      <c r="A743" t="s">
        <v>3654</v>
      </c>
      <c r="B743" t="s">
        <v>615</v>
      </c>
      <c r="C743" t="s">
        <v>616</v>
      </c>
      <c r="D743" t="s">
        <v>3655</v>
      </c>
      <c r="E743" t="s">
        <v>267</v>
      </c>
      <c r="F743" t="s">
        <v>66</v>
      </c>
      <c r="G743" t="s">
        <v>147</v>
      </c>
      <c r="H743" t="s">
        <v>49</v>
      </c>
      <c r="I743" t="s">
        <v>69</v>
      </c>
      <c r="J743" t="s">
        <v>162</v>
      </c>
      <c r="K743" t="s">
        <v>200</v>
      </c>
      <c r="L743" t="s">
        <v>691</v>
      </c>
      <c r="M743" t="s">
        <v>3656</v>
      </c>
      <c r="N743" t="s">
        <v>461</v>
      </c>
      <c r="O743" t="s">
        <v>285</v>
      </c>
      <c r="P743" t="s">
        <v>2378</v>
      </c>
      <c r="Q743" t="s">
        <v>3486</v>
      </c>
      <c r="R743" t="s">
        <v>3657</v>
      </c>
      <c r="S743" t="s">
        <v>126</v>
      </c>
      <c r="T743" t="s">
        <v>183</v>
      </c>
      <c r="U743" t="s">
        <v>407</v>
      </c>
      <c r="V743" t="s">
        <v>79</v>
      </c>
    </row>
    <row r="744" spans="1:22" x14ac:dyDescent="0.3">
      <c r="A744" t="s">
        <v>3658</v>
      </c>
      <c r="B744" t="s">
        <v>1409</v>
      </c>
      <c r="C744" t="s">
        <v>1410</v>
      </c>
      <c r="D744" t="s">
        <v>3291</v>
      </c>
      <c r="E744" t="s">
        <v>1321</v>
      </c>
      <c r="F744" t="s">
        <v>228</v>
      </c>
      <c r="G744" t="s">
        <v>118</v>
      </c>
      <c r="H744" t="s">
        <v>104</v>
      </c>
      <c r="I744" t="s">
        <v>29</v>
      </c>
      <c r="J744" t="s">
        <v>162</v>
      </c>
      <c r="K744" t="s">
        <v>230</v>
      </c>
      <c r="L744" t="s">
        <v>906</v>
      </c>
      <c r="M744" t="s">
        <v>2435</v>
      </c>
      <c r="N744" t="s">
        <v>543</v>
      </c>
      <c r="O744" t="s">
        <v>3522</v>
      </c>
      <c r="P744" t="s">
        <v>1011</v>
      </c>
      <c r="Q744" t="s">
        <v>1011</v>
      </c>
      <c r="R744" t="s">
        <v>201</v>
      </c>
      <c r="S744" t="s">
        <v>97</v>
      </c>
      <c r="T744" t="s">
        <v>583</v>
      </c>
      <c r="U744" t="s">
        <v>373</v>
      </c>
      <c r="V744" t="s">
        <v>114</v>
      </c>
    </row>
    <row r="745" spans="1:22" x14ac:dyDescent="0.3">
      <c r="A745" t="s">
        <v>3659</v>
      </c>
      <c r="B745" t="s">
        <v>860</v>
      </c>
      <c r="C745" t="s">
        <v>861</v>
      </c>
      <c r="D745" t="s">
        <v>1818</v>
      </c>
      <c r="E745" t="s">
        <v>160</v>
      </c>
      <c r="F745" t="s">
        <v>161</v>
      </c>
      <c r="G745" t="s">
        <v>103</v>
      </c>
      <c r="H745" t="s">
        <v>28</v>
      </c>
      <c r="I745" t="s">
        <v>29</v>
      </c>
      <c r="J745" t="s">
        <v>30</v>
      </c>
      <c r="K745" t="s">
        <v>71</v>
      </c>
      <c r="L745" t="s">
        <v>937</v>
      </c>
      <c r="M745" t="s">
        <v>542</v>
      </c>
      <c r="N745" t="s">
        <v>179</v>
      </c>
      <c r="O745" t="s">
        <v>542</v>
      </c>
      <c r="P745" t="s">
        <v>581</v>
      </c>
      <c r="Q745" t="s">
        <v>949</v>
      </c>
      <c r="R745" t="s">
        <v>1023</v>
      </c>
      <c r="S745" t="s">
        <v>79</v>
      </c>
      <c r="T745" t="s">
        <v>80</v>
      </c>
      <c r="U745" t="s">
        <v>171</v>
      </c>
      <c r="V745" t="s">
        <v>42</v>
      </c>
    </row>
    <row r="746" spans="1:22" x14ac:dyDescent="0.3">
      <c r="A746" t="s">
        <v>3660</v>
      </c>
      <c r="B746" t="s">
        <v>548</v>
      </c>
      <c r="C746" t="s">
        <v>549</v>
      </c>
      <c r="D746" t="s">
        <v>3661</v>
      </c>
      <c r="E746" t="s">
        <v>634</v>
      </c>
      <c r="F746" t="s">
        <v>228</v>
      </c>
      <c r="G746" t="s">
        <v>580</v>
      </c>
      <c r="H746" t="s">
        <v>214</v>
      </c>
      <c r="I746" t="s">
        <v>29</v>
      </c>
      <c r="J746" t="s">
        <v>70</v>
      </c>
      <c r="K746" t="s">
        <v>31</v>
      </c>
      <c r="L746" t="s">
        <v>534</v>
      </c>
      <c r="M746" t="s">
        <v>52</v>
      </c>
      <c r="N746" t="s">
        <v>53</v>
      </c>
      <c r="O746" t="s">
        <v>54</v>
      </c>
      <c r="P746" t="s">
        <v>252</v>
      </c>
      <c r="Q746" t="s">
        <v>966</v>
      </c>
      <c r="R746" t="s">
        <v>3662</v>
      </c>
      <c r="S746" t="s">
        <v>182</v>
      </c>
      <c r="T746" t="s">
        <v>543</v>
      </c>
      <c r="U746" t="s">
        <v>300</v>
      </c>
      <c r="V746" t="s">
        <v>79</v>
      </c>
    </row>
    <row r="747" spans="1:22" x14ac:dyDescent="0.3">
      <c r="A747" t="s">
        <v>3663</v>
      </c>
      <c r="B747" t="s">
        <v>3351</v>
      </c>
      <c r="C747" t="s">
        <v>3352</v>
      </c>
      <c r="D747" t="s">
        <v>3664</v>
      </c>
      <c r="E747" t="s">
        <v>176</v>
      </c>
      <c r="F747" t="s">
        <v>161</v>
      </c>
      <c r="G747" t="s">
        <v>147</v>
      </c>
      <c r="H747" t="s">
        <v>268</v>
      </c>
      <c r="I747" t="s">
        <v>69</v>
      </c>
      <c r="J747" t="s">
        <v>30</v>
      </c>
      <c r="K747" t="s">
        <v>31</v>
      </c>
      <c r="L747" t="s">
        <v>2171</v>
      </c>
      <c r="M747" t="s">
        <v>525</v>
      </c>
      <c r="N747" t="s">
        <v>179</v>
      </c>
      <c r="O747" t="s">
        <v>525</v>
      </c>
      <c r="P747" t="s">
        <v>752</v>
      </c>
      <c r="Q747" t="s">
        <v>2997</v>
      </c>
      <c r="R747" t="s">
        <v>3665</v>
      </c>
      <c r="S747" t="s">
        <v>126</v>
      </c>
      <c r="T747" t="s">
        <v>567</v>
      </c>
      <c r="U747" t="s">
        <v>238</v>
      </c>
      <c r="V747" t="s">
        <v>58</v>
      </c>
    </row>
    <row r="748" spans="1:22" x14ac:dyDescent="0.3">
      <c r="A748" t="s">
        <v>3666</v>
      </c>
      <c r="B748" t="s">
        <v>173</v>
      </c>
      <c r="C748" t="s">
        <v>174</v>
      </c>
      <c r="D748" t="s">
        <v>3667</v>
      </c>
      <c r="E748" t="s">
        <v>228</v>
      </c>
      <c r="F748" t="s">
        <v>228</v>
      </c>
      <c r="G748" t="s">
        <v>27</v>
      </c>
      <c r="H748" t="s">
        <v>229</v>
      </c>
      <c r="I748" t="s">
        <v>69</v>
      </c>
      <c r="J748" t="s">
        <v>70</v>
      </c>
      <c r="K748" t="s">
        <v>245</v>
      </c>
      <c r="L748" t="s">
        <v>111</v>
      </c>
      <c r="M748" t="s">
        <v>3348</v>
      </c>
      <c r="N748" t="s">
        <v>56</v>
      </c>
      <c r="O748" t="s">
        <v>1937</v>
      </c>
      <c r="P748" t="s">
        <v>1114</v>
      </c>
      <c r="Q748" t="s">
        <v>344</v>
      </c>
      <c r="R748" t="s">
        <v>3668</v>
      </c>
      <c r="S748" t="s">
        <v>182</v>
      </c>
      <c r="T748" t="s">
        <v>328</v>
      </c>
      <c r="U748" t="s">
        <v>423</v>
      </c>
      <c r="V748" t="s">
        <v>82</v>
      </c>
    </row>
    <row r="749" spans="1:22" x14ac:dyDescent="0.3">
      <c r="A749" t="s">
        <v>3669</v>
      </c>
      <c r="B749" t="s">
        <v>3670</v>
      </c>
      <c r="C749" t="s">
        <v>3671</v>
      </c>
      <c r="D749" t="s">
        <v>2946</v>
      </c>
      <c r="E749" t="s">
        <v>47</v>
      </c>
      <c r="F749" t="s">
        <v>26</v>
      </c>
      <c r="G749" t="s">
        <v>103</v>
      </c>
      <c r="H749" t="s">
        <v>104</v>
      </c>
      <c r="I749" t="s">
        <v>69</v>
      </c>
      <c r="J749" t="s">
        <v>30</v>
      </c>
      <c r="K749" t="s">
        <v>89</v>
      </c>
      <c r="L749" t="s">
        <v>902</v>
      </c>
      <c r="M749" t="s">
        <v>123</v>
      </c>
      <c r="N749" t="s">
        <v>1043</v>
      </c>
      <c r="O749" t="s">
        <v>220</v>
      </c>
      <c r="P749" t="s">
        <v>609</v>
      </c>
      <c r="Q749" t="s">
        <v>499</v>
      </c>
      <c r="R749" t="s">
        <v>3672</v>
      </c>
      <c r="S749" t="s">
        <v>182</v>
      </c>
      <c r="T749" t="s">
        <v>121</v>
      </c>
      <c r="U749" t="s">
        <v>362</v>
      </c>
      <c r="V749" t="s">
        <v>58</v>
      </c>
    </row>
    <row r="750" spans="1:22" x14ac:dyDescent="0.3">
      <c r="A750" t="s">
        <v>3673</v>
      </c>
      <c r="B750" t="s">
        <v>2885</v>
      </c>
      <c r="C750" t="s">
        <v>2886</v>
      </c>
      <c r="D750" t="s">
        <v>2030</v>
      </c>
      <c r="E750" t="s">
        <v>26</v>
      </c>
      <c r="F750" t="s">
        <v>26</v>
      </c>
      <c r="G750" t="s">
        <v>103</v>
      </c>
      <c r="H750" t="s">
        <v>104</v>
      </c>
      <c r="I750" t="s">
        <v>69</v>
      </c>
      <c r="J750" t="s">
        <v>30</v>
      </c>
      <c r="K750" t="s">
        <v>50</v>
      </c>
      <c r="L750" t="s">
        <v>189</v>
      </c>
      <c r="M750" t="s">
        <v>3674</v>
      </c>
      <c r="N750" t="s">
        <v>260</v>
      </c>
      <c r="O750" t="s">
        <v>2067</v>
      </c>
      <c r="P750" t="s">
        <v>1543</v>
      </c>
      <c r="Q750" t="s">
        <v>881</v>
      </c>
      <c r="R750" t="s">
        <v>3675</v>
      </c>
      <c r="S750" t="s">
        <v>126</v>
      </c>
      <c r="T750" t="s">
        <v>40</v>
      </c>
      <c r="U750" t="s">
        <v>288</v>
      </c>
      <c r="V750" t="s">
        <v>82</v>
      </c>
    </row>
    <row r="751" spans="1:22" x14ac:dyDescent="0.3">
      <c r="A751" t="s">
        <v>3676</v>
      </c>
      <c r="B751" t="s">
        <v>577</v>
      </c>
      <c r="C751" t="s">
        <v>578</v>
      </c>
      <c r="D751" t="s">
        <v>3677</v>
      </c>
      <c r="E751" t="s">
        <v>176</v>
      </c>
      <c r="F751" t="s">
        <v>161</v>
      </c>
      <c r="G751" t="s">
        <v>213</v>
      </c>
      <c r="H751" t="s">
        <v>49</v>
      </c>
      <c r="I751" t="s">
        <v>69</v>
      </c>
      <c r="J751" t="s">
        <v>30</v>
      </c>
      <c r="K751" t="s">
        <v>200</v>
      </c>
      <c r="L751" t="s">
        <v>269</v>
      </c>
      <c r="M751" t="s">
        <v>1433</v>
      </c>
      <c r="N751" t="s">
        <v>179</v>
      </c>
      <c r="O751" t="s">
        <v>1433</v>
      </c>
      <c r="P751" t="s">
        <v>52</v>
      </c>
      <c r="Q751" t="s">
        <v>252</v>
      </c>
      <c r="R751" t="s">
        <v>3678</v>
      </c>
      <c r="S751" t="s">
        <v>126</v>
      </c>
      <c r="T751" t="s">
        <v>1013</v>
      </c>
      <c r="U751" t="s">
        <v>128</v>
      </c>
      <c r="V751" t="s">
        <v>79</v>
      </c>
    </row>
    <row r="752" spans="1:22" x14ac:dyDescent="0.3">
      <c r="A752" t="s">
        <v>3679</v>
      </c>
      <c r="B752" t="s">
        <v>531</v>
      </c>
      <c r="C752" t="s">
        <v>532</v>
      </c>
      <c r="D752" t="s">
        <v>803</v>
      </c>
      <c r="E752" t="s">
        <v>161</v>
      </c>
      <c r="F752" t="s">
        <v>161</v>
      </c>
      <c r="G752" t="s">
        <v>27</v>
      </c>
      <c r="H752" t="s">
        <v>229</v>
      </c>
      <c r="I752" t="s">
        <v>29</v>
      </c>
      <c r="J752" t="s">
        <v>30</v>
      </c>
      <c r="K752" t="s">
        <v>293</v>
      </c>
      <c r="L752" t="s">
        <v>1394</v>
      </c>
      <c r="M752" t="s">
        <v>1669</v>
      </c>
      <c r="N752" t="s">
        <v>179</v>
      </c>
      <c r="O752" t="s">
        <v>1669</v>
      </c>
      <c r="P752" t="s">
        <v>3007</v>
      </c>
      <c r="Q752" t="s">
        <v>271</v>
      </c>
      <c r="R752" t="s">
        <v>3680</v>
      </c>
      <c r="S752" t="s">
        <v>182</v>
      </c>
      <c r="T752" t="s">
        <v>604</v>
      </c>
      <c r="U752" t="s">
        <v>373</v>
      </c>
      <c r="V752" t="s">
        <v>79</v>
      </c>
    </row>
    <row r="753" spans="1:22" x14ac:dyDescent="0.3">
      <c r="A753" t="s">
        <v>3681</v>
      </c>
      <c r="B753" t="s">
        <v>1912</v>
      </c>
      <c r="C753" t="s">
        <v>1913</v>
      </c>
      <c r="D753" t="s">
        <v>3105</v>
      </c>
      <c r="E753" t="s">
        <v>282</v>
      </c>
      <c r="F753" t="s">
        <v>282</v>
      </c>
      <c r="H753" t="s">
        <v>214</v>
      </c>
      <c r="I753" t="s">
        <v>69</v>
      </c>
      <c r="J753" t="s">
        <v>162</v>
      </c>
      <c r="K753" t="s">
        <v>230</v>
      </c>
      <c r="L753" t="s">
        <v>487</v>
      </c>
      <c r="M753" t="s">
        <v>3145</v>
      </c>
      <c r="N753" t="s">
        <v>1665</v>
      </c>
      <c r="O753" t="s">
        <v>3682</v>
      </c>
      <c r="P753" t="s">
        <v>2684</v>
      </c>
      <c r="Q753" t="s">
        <v>335</v>
      </c>
      <c r="R753" t="s">
        <v>3683</v>
      </c>
      <c r="S753" t="s">
        <v>97</v>
      </c>
      <c r="T753" t="s">
        <v>1303</v>
      </c>
      <c r="U753" t="s">
        <v>171</v>
      </c>
      <c r="V753" t="s">
        <v>82</v>
      </c>
    </row>
    <row r="754" spans="1:22" x14ac:dyDescent="0.3">
      <c r="A754" t="s">
        <v>3684</v>
      </c>
      <c r="B754" t="s">
        <v>3685</v>
      </c>
      <c r="C754" t="s">
        <v>3686</v>
      </c>
      <c r="D754" t="s">
        <v>2076</v>
      </c>
      <c r="E754" t="s">
        <v>267</v>
      </c>
      <c r="F754" t="s">
        <v>66</v>
      </c>
      <c r="G754" t="s">
        <v>147</v>
      </c>
      <c r="H754" t="s">
        <v>49</v>
      </c>
      <c r="I754" t="s">
        <v>29</v>
      </c>
      <c r="J754" t="s">
        <v>162</v>
      </c>
      <c r="K754" t="s">
        <v>293</v>
      </c>
      <c r="L754" t="s">
        <v>51</v>
      </c>
      <c r="M754" t="s">
        <v>1260</v>
      </c>
      <c r="N754" t="s">
        <v>179</v>
      </c>
      <c r="O754" t="s">
        <v>1260</v>
      </c>
      <c r="P754" t="s">
        <v>52</v>
      </c>
      <c r="Q754" t="s">
        <v>529</v>
      </c>
      <c r="R754" t="s">
        <v>3687</v>
      </c>
      <c r="S754" t="s">
        <v>126</v>
      </c>
      <c r="T754" t="s">
        <v>170</v>
      </c>
      <c r="U754" t="s">
        <v>3688</v>
      </c>
      <c r="V754" t="s">
        <v>58</v>
      </c>
    </row>
    <row r="755" spans="1:22" x14ac:dyDescent="0.3">
      <c r="A755" t="s">
        <v>3689</v>
      </c>
      <c r="B755" t="s">
        <v>2104</v>
      </c>
      <c r="C755" t="s">
        <v>2105</v>
      </c>
      <c r="D755" t="s">
        <v>1454</v>
      </c>
      <c r="E755" t="s">
        <v>160</v>
      </c>
      <c r="F755" t="s">
        <v>161</v>
      </c>
      <c r="G755" t="s">
        <v>27</v>
      </c>
      <c r="H755" t="s">
        <v>49</v>
      </c>
      <c r="I755" t="s">
        <v>29</v>
      </c>
      <c r="J755" t="s">
        <v>162</v>
      </c>
      <c r="K755" t="s">
        <v>215</v>
      </c>
      <c r="L755" t="s">
        <v>1295</v>
      </c>
      <c r="M755" t="s">
        <v>3065</v>
      </c>
      <c r="N755" t="s">
        <v>179</v>
      </c>
      <c r="O755" t="s">
        <v>3065</v>
      </c>
      <c r="P755" t="s">
        <v>565</v>
      </c>
      <c r="Q755" t="s">
        <v>3471</v>
      </c>
      <c r="R755" t="s">
        <v>3690</v>
      </c>
      <c r="S755" t="s">
        <v>58</v>
      </c>
      <c r="T755" t="s">
        <v>1230</v>
      </c>
      <c r="U755" t="s">
        <v>349</v>
      </c>
      <c r="V755" t="s">
        <v>79</v>
      </c>
    </row>
    <row r="756" spans="1:22" x14ac:dyDescent="0.3">
      <c r="A756" t="s">
        <v>3691</v>
      </c>
      <c r="B756" t="s">
        <v>669</v>
      </c>
      <c r="C756" t="s">
        <v>670</v>
      </c>
      <c r="D756" t="s">
        <v>3692</v>
      </c>
      <c r="E756" t="s">
        <v>342</v>
      </c>
      <c r="F756" t="s">
        <v>244</v>
      </c>
      <c r="G756" t="s">
        <v>67</v>
      </c>
      <c r="H756" t="s">
        <v>49</v>
      </c>
      <c r="I756" t="s">
        <v>69</v>
      </c>
      <c r="J756" t="s">
        <v>30</v>
      </c>
      <c r="K756" t="s">
        <v>230</v>
      </c>
      <c r="L756" t="s">
        <v>561</v>
      </c>
      <c r="M756" t="s">
        <v>619</v>
      </c>
      <c r="N756" t="s">
        <v>203</v>
      </c>
      <c r="O756" t="s">
        <v>94</v>
      </c>
      <c r="P756" t="s">
        <v>886</v>
      </c>
      <c r="Q756" t="s">
        <v>986</v>
      </c>
      <c r="R756" t="s">
        <v>3693</v>
      </c>
      <c r="S756" t="s">
        <v>79</v>
      </c>
      <c r="T756" t="s">
        <v>695</v>
      </c>
      <c r="U756" t="s">
        <v>179</v>
      </c>
      <c r="V756" t="s">
        <v>79</v>
      </c>
    </row>
    <row r="757" spans="1:22" x14ac:dyDescent="0.3">
      <c r="A757" t="s">
        <v>3694</v>
      </c>
      <c r="B757" t="s">
        <v>3695</v>
      </c>
      <c r="C757" t="s">
        <v>3696</v>
      </c>
      <c r="D757" t="s">
        <v>2480</v>
      </c>
      <c r="E757" t="s">
        <v>438</v>
      </c>
      <c r="F757" t="s">
        <v>188</v>
      </c>
      <c r="G757" t="s">
        <v>27</v>
      </c>
      <c r="H757" t="s">
        <v>214</v>
      </c>
      <c r="I757" t="s">
        <v>69</v>
      </c>
      <c r="J757" t="s">
        <v>70</v>
      </c>
      <c r="K757" t="s">
        <v>200</v>
      </c>
      <c r="L757" t="s">
        <v>487</v>
      </c>
      <c r="M757" t="s">
        <v>2279</v>
      </c>
      <c r="N757" t="s">
        <v>179</v>
      </c>
      <c r="O757" t="s">
        <v>2279</v>
      </c>
      <c r="P757" t="s">
        <v>524</v>
      </c>
      <c r="Q757" t="s">
        <v>648</v>
      </c>
      <c r="R757" t="s">
        <v>2512</v>
      </c>
      <c r="S757" t="s">
        <v>58</v>
      </c>
      <c r="T757" t="s">
        <v>1013</v>
      </c>
      <c r="U757" t="s">
        <v>288</v>
      </c>
      <c r="V757" t="s">
        <v>79</v>
      </c>
    </row>
    <row r="758" spans="1:22" x14ac:dyDescent="0.3">
      <c r="A758" t="s">
        <v>3697</v>
      </c>
      <c r="B758" t="s">
        <v>586</v>
      </c>
      <c r="C758" t="s">
        <v>587</v>
      </c>
      <c r="D758" t="s">
        <v>332</v>
      </c>
      <c r="E758" t="s">
        <v>438</v>
      </c>
      <c r="F758" t="s">
        <v>188</v>
      </c>
      <c r="G758" t="s">
        <v>27</v>
      </c>
      <c r="H758" t="s">
        <v>229</v>
      </c>
      <c r="I758" t="s">
        <v>69</v>
      </c>
      <c r="J758" t="s">
        <v>70</v>
      </c>
      <c r="K758" t="s">
        <v>89</v>
      </c>
      <c r="L758" t="s">
        <v>105</v>
      </c>
      <c r="M758" t="s">
        <v>3698</v>
      </c>
      <c r="N758" t="s">
        <v>179</v>
      </c>
      <c r="O758" t="s">
        <v>3698</v>
      </c>
      <c r="P758" t="s">
        <v>712</v>
      </c>
      <c r="Q758" t="s">
        <v>1455</v>
      </c>
      <c r="R758" t="s">
        <v>3699</v>
      </c>
      <c r="S758" t="s">
        <v>58</v>
      </c>
      <c r="T758" t="s">
        <v>1434</v>
      </c>
      <c r="U758" t="s">
        <v>867</v>
      </c>
      <c r="V758" t="s">
        <v>58</v>
      </c>
    </row>
    <row r="759" spans="1:22" x14ac:dyDescent="0.3">
      <c r="A759" t="s">
        <v>3700</v>
      </c>
      <c r="B759" t="s">
        <v>1101</v>
      </c>
      <c r="C759" t="s">
        <v>1102</v>
      </c>
      <c r="D759" t="s">
        <v>3701</v>
      </c>
      <c r="E759" t="s">
        <v>893</v>
      </c>
      <c r="F759" t="s">
        <v>188</v>
      </c>
      <c r="G759" t="s">
        <v>580</v>
      </c>
      <c r="H759" t="s">
        <v>68</v>
      </c>
      <c r="I759" t="s">
        <v>69</v>
      </c>
      <c r="J759" t="s">
        <v>70</v>
      </c>
      <c r="K759" t="s">
        <v>293</v>
      </c>
      <c r="L759" t="s">
        <v>1049</v>
      </c>
      <c r="M759" t="s">
        <v>3702</v>
      </c>
      <c r="N759" t="s">
        <v>1218</v>
      </c>
      <c r="O759" t="s">
        <v>3703</v>
      </c>
      <c r="P759" t="s">
        <v>1498</v>
      </c>
      <c r="Q759" t="s">
        <v>2765</v>
      </c>
      <c r="R759" t="s">
        <v>3704</v>
      </c>
      <c r="S759" t="s">
        <v>39</v>
      </c>
      <c r="T759" t="s">
        <v>742</v>
      </c>
      <c r="U759" t="s">
        <v>171</v>
      </c>
      <c r="V759" t="s">
        <v>79</v>
      </c>
    </row>
    <row r="760" spans="1:22" x14ac:dyDescent="0.3">
      <c r="A760" t="s">
        <v>3705</v>
      </c>
      <c r="B760" t="s">
        <v>3448</v>
      </c>
      <c r="C760" t="s">
        <v>3449</v>
      </c>
      <c r="D760" t="s">
        <v>3706</v>
      </c>
      <c r="E760" t="s">
        <v>134</v>
      </c>
      <c r="F760" t="s">
        <v>134</v>
      </c>
      <c r="G760" t="s">
        <v>213</v>
      </c>
      <c r="H760" t="s">
        <v>49</v>
      </c>
      <c r="I760" t="s">
        <v>69</v>
      </c>
      <c r="J760" t="s">
        <v>30</v>
      </c>
      <c r="K760" t="s">
        <v>215</v>
      </c>
      <c r="L760" t="s">
        <v>246</v>
      </c>
      <c r="M760" t="s">
        <v>3707</v>
      </c>
      <c r="N760" t="s">
        <v>179</v>
      </c>
      <c r="O760" t="s">
        <v>3707</v>
      </c>
      <c r="P760" t="s">
        <v>3708</v>
      </c>
      <c r="Q760" t="s">
        <v>1982</v>
      </c>
      <c r="R760" t="s">
        <v>3709</v>
      </c>
      <c r="S760" t="s">
        <v>182</v>
      </c>
      <c r="T760" t="s">
        <v>724</v>
      </c>
      <c r="U760" t="s">
        <v>277</v>
      </c>
      <c r="V760" t="s">
        <v>114</v>
      </c>
    </row>
    <row r="761" spans="1:22" x14ac:dyDescent="0.3">
      <c r="A761" t="s">
        <v>3710</v>
      </c>
      <c r="B761" t="s">
        <v>2697</v>
      </c>
      <c r="C761" t="s">
        <v>2698</v>
      </c>
      <c r="D761" t="s">
        <v>2137</v>
      </c>
      <c r="E761" t="s">
        <v>160</v>
      </c>
      <c r="F761" t="s">
        <v>161</v>
      </c>
      <c r="G761" t="s">
        <v>213</v>
      </c>
      <c r="H761" t="s">
        <v>268</v>
      </c>
      <c r="I761" t="s">
        <v>69</v>
      </c>
      <c r="J761" t="s">
        <v>1514</v>
      </c>
      <c r="K761" t="s">
        <v>245</v>
      </c>
      <c r="L761" t="s">
        <v>400</v>
      </c>
      <c r="M761" t="s">
        <v>3711</v>
      </c>
      <c r="N761" t="s">
        <v>751</v>
      </c>
      <c r="O761" t="s">
        <v>701</v>
      </c>
      <c r="P761" t="s">
        <v>857</v>
      </c>
      <c r="Q761" t="s">
        <v>2401</v>
      </c>
      <c r="R761" t="s">
        <v>3712</v>
      </c>
      <c r="S761" t="s">
        <v>79</v>
      </c>
      <c r="T761" t="s">
        <v>392</v>
      </c>
      <c r="U761" t="s">
        <v>288</v>
      </c>
      <c r="V761" t="s">
        <v>58</v>
      </c>
    </row>
    <row r="762" spans="1:22" x14ac:dyDescent="0.3">
      <c r="A762" t="s">
        <v>3713</v>
      </c>
      <c r="B762" t="s">
        <v>1960</v>
      </c>
      <c r="C762" t="s">
        <v>1961</v>
      </c>
      <c r="D762" t="s">
        <v>1356</v>
      </c>
      <c r="E762" t="s">
        <v>438</v>
      </c>
      <c r="F762" t="s">
        <v>188</v>
      </c>
      <c r="G762" t="s">
        <v>213</v>
      </c>
      <c r="H762" t="s">
        <v>28</v>
      </c>
      <c r="I762" t="s">
        <v>69</v>
      </c>
      <c r="J762" t="s">
        <v>30</v>
      </c>
      <c r="K762" t="s">
        <v>31</v>
      </c>
      <c r="L762" t="s">
        <v>1037</v>
      </c>
      <c r="M762" t="s">
        <v>1004</v>
      </c>
      <c r="N762" t="s">
        <v>179</v>
      </c>
      <c r="O762" t="s">
        <v>1004</v>
      </c>
      <c r="P762" t="s">
        <v>1079</v>
      </c>
      <c r="Q762" t="s">
        <v>168</v>
      </c>
      <c r="R762" t="s">
        <v>1199</v>
      </c>
      <c r="S762" t="s">
        <v>58</v>
      </c>
      <c r="T762" t="s">
        <v>80</v>
      </c>
      <c r="U762" t="s">
        <v>472</v>
      </c>
      <c r="V762" t="s">
        <v>58</v>
      </c>
    </row>
    <row r="763" spans="1:22" x14ac:dyDescent="0.3">
      <c r="A763" t="s">
        <v>3714</v>
      </c>
      <c r="B763" t="s">
        <v>3685</v>
      </c>
      <c r="C763" t="s">
        <v>3686</v>
      </c>
      <c r="D763" t="s">
        <v>3715</v>
      </c>
      <c r="E763" t="s">
        <v>133</v>
      </c>
      <c r="F763" t="s">
        <v>134</v>
      </c>
      <c r="G763" t="s">
        <v>27</v>
      </c>
      <c r="H763" t="s">
        <v>214</v>
      </c>
      <c r="I763" t="s">
        <v>29</v>
      </c>
      <c r="J763" t="s">
        <v>70</v>
      </c>
      <c r="K763" t="s">
        <v>50</v>
      </c>
      <c r="L763" t="s">
        <v>315</v>
      </c>
      <c r="M763" t="s">
        <v>35</v>
      </c>
      <c r="N763" t="s">
        <v>1162</v>
      </c>
      <c r="O763" t="s">
        <v>73</v>
      </c>
      <c r="P763" t="s">
        <v>3486</v>
      </c>
      <c r="Q763" t="s">
        <v>299</v>
      </c>
      <c r="R763" t="s">
        <v>3716</v>
      </c>
      <c r="S763" t="s">
        <v>79</v>
      </c>
      <c r="T763" t="s">
        <v>150</v>
      </c>
      <c r="U763" t="s">
        <v>394</v>
      </c>
      <c r="V763" t="s">
        <v>82</v>
      </c>
    </row>
    <row r="764" spans="1:22" x14ac:dyDescent="0.3">
      <c r="A764" t="s">
        <v>3717</v>
      </c>
      <c r="B764" t="s">
        <v>2346</v>
      </c>
      <c r="C764" t="s">
        <v>2347</v>
      </c>
      <c r="D764" t="s">
        <v>901</v>
      </c>
      <c r="E764" t="s">
        <v>227</v>
      </c>
      <c r="F764" t="s">
        <v>228</v>
      </c>
      <c r="G764" t="s">
        <v>27</v>
      </c>
      <c r="H764" t="s">
        <v>229</v>
      </c>
      <c r="I764" t="s">
        <v>29</v>
      </c>
      <c r="J764" t="s">
        <v>30</v>
      </c>
      <c r="K764" t="s">
        <v>200</v>
      </c>
      <c r="L764" t="s">
        <v>201</v>
      </c>
      <c r="M764" t="s">
        <v>3011</v>
      </c>
      <c r="N764" t="s">
        <v>191</v>
      </c>
      <c r="O764" t="s">
        <v>3124</v>
      </c>
      <c r="P764" t="s">
        <v>609</v>
      </c>
      <c r="Q764" t="s">
        <v>2997</v>
      </c>
      <c r="R764" t="s">
        <v>3718</v>
      </c>
      <c r="S764" t="s">
        <v>79</v>
      </c>
      <c r="T764" t="s">
        <v>110</v>
      </c>
      <c r="U764" t="s">
        <v>394</v>
      </c>
      <c r="V764" t="s">
        <v>58</v>
      </c>
    </row>
    <row r="765" spans="1:22" x14ac:dyDescent="0.3">
      <c r="A765" t="s">
        <v>3719</v>
      </c>
      <c r="B765" t="s">
        <v>971</v>
      </c>
      <c r="C765" t="s">
        <v>972</v>
      </c>
      <c r="D765" t="s">
        <v>2810</v>
      </c>
      <c r="E765" t="s">
        <v>730</v>
      </c>
      <c r="F765" t="s">
        <v>26</v>
      </c>
      <c r="G765" t="s">
        <v>580</v>
      </c>
      <c r="H765" t="s">
        <v>104</v>
      </c>
      <c r="I765" t="s">
        <v>29</v>
      </c>
      <c r="J765" t="s">
        <v>70</v>
      </c>
      <c r="K765" t="s">
        <v>200</v>
      </c>
      <c r="L765" t="s">
        <v>773</v>
      </c>
      <c r="M765" t="s">
        <v>3720</v>
      </c>
      <c r="N765" t="s">
        <v>1694</v>
      </c>
      <c r="O765" t="s">
        <v>2236</v>
      </c>
      <c r="P765" t="s">
        <v>2932</v>
      </c>
      <c r="Q765" t="s">
        <v>1302</v>
      </c>
      <c r="R765" t="s">
        <v>3721</v>
      </c>
      <c r="S765" t="s">
        <v>79</v>
      </c>
      <c r="T765" t="s">
        <v>648</v>
      </c>
      <c r="U765" t="s">
        <v>113</v>
      </c>
      <c r="V765" t="s">
        <v>114</v>
      </c>
    </row>
    <row r="766" spans="1:22" x14ac:dyDescent="0.3">
      <c r="A766" t="s">
        <v>3722</v>
      </c>
      <c r="B766" t="s">
        <v>1417</v>
      </c>
      <c r="C766" t="s">
        <v>1418</v>
      </c>
      <c r="D766" t="s">
        <v>3723</v>
      </c>
      <c r="E766" t="s">
        <v>354</v>
      </c>
      <c r="F766" t="s">
        <v>134</v>
      </c>
      <c r="G766" t="s">
        <v>213</v>
      </c>
      <c r="H766" t="s">
        <v>28</v>
      </c>
      <c r="I766" t="s">
        <v>69</v>
      </c>
      <c r="J766" t="s">
        <v>70</v>
      </c>
      <c r="K766" t="s">
        <v>230</v>
      </c>
      <c r="L766" t="s">
        <v>51</v>
      </c>
      <c r="M766" t="s">
        <v>1150</v>
      </c>
      <c r="N766" t="s">
        <v>179</v>
      </c>
      <c r="O766" t="s">
        <v>1150</v>
      </c>
      <c r="P766" t="s">
        <v>1433</v>
      </c>
      <c r="Q766" t="s">
        <v>714</v>
      </c>
      <c r="R766" t="s">
        <v>3724</v>
      </c>
      <c r="S766" t="s">
        <v>79</v>
      </c>
      <c r="T766" t="s">
        <v>92</v>
      </c>
      <c r="U766" t="s">
        <v>362</v>
      </c>
      <c r="V766" t="s">
        <v>58</v>
      </c>
    </row>
    <row r="767" spans="1:22" x14ac:dyDescent="0.3">
      <c r="A767" t="s">
        <v>3725</v>
      </c>
      <c r="B767" t="s">
        <v>2464</v>
      </c>
      <c r="C767" t="s">
        <v>2465</v>
      </c>
      <c r="D767" t="s">
        <v>3726</v>
      </c>
      <c r="E767" t="s">
        <v>354</v>
      </c>
      <c r="F767" t="s">
        <v>134</v>
      </c>
      <c r="G767" t="s">
        <v>213</v>
      </c>
      <c r="H767" t="s">
        <v>88</v>
      </c>
      <c r="I767" t="s">
        <v>29</v>
      </c>
      <c r="J767" t="s">
        <v>30</v>
      </c>
      <c r="K767" t="s">
        <v>31</v>
      </c>
      <c r="L767" t="s">
        <v>189</v>
      </c>
      <c r="M767" t="s">
        <v>3727</v>
      </c>
      <c r="N767" t="s">
        <v>179</v>
      </c>
      <c r="O767" t="s">
        <v>3727</v>
      </c>
      <c r="P767" t="s">
        <v>3728</v>
      </c>
      <c r="Q767" t="s">
        <v>1847</v>
      </c>
      <c r="R767" t="s">
        <v>3729</v>
      </c>
      <c r="S767" t="s">
        <v>126</v>
      </c>
      <c r="T767" t="s">
        <v>675</v>
      </c>
      <c r="U767" t="s">
        <v>300</v>
      </c>
      <c r="V767" t="s">
        <v>82</v>
      </c>
    </row>
    <row r="768" spans="1:22" x14ac:dyDescent="0.3">
      <c r="A768" t="s">
        <v>3730</v>
      </c>
      <c r="B768" t="s">
        <v>989</v>
      </c>
      <c r="C768" t="s">
        <v>990</v>
      </c>
      <c r="D768" t="s">
        <v>3731</v>
      </c>
      <c r="E768" t="s">
        <v>354</v>
      </c>
      <c r="F768" t="s">
        <v>134</v>
      </c>
      <c r="G768" t="s">
        <v>27</v>
      </c>
      <c r="H768" t="s">
        <v>88</v>
      </c>
      <c r="I768" t="s">
        <v>69</v>
      </c>
      <c r="J768" t="s">
        <v>30</v>
      </c>
      <c r="K768" t="s">
        <v>31</v>
      </c>
      <c r="L768" t="s">
        <v>1382</v>
      </c>
      <c r="M768" t="s">
        <v>1672</v>
      </c>
      <c r="N768" t="s">
        <v>1013</v>
      </c>
      <c r="O768" t="s">
        <v>2549</v>
      </c>
      <c r="P768" t="s">
        <v>1177</v>
      </c>
      <c r="Q768" t="s">
        <v>208</v>
      </c>
      <c r="R768" t="s">
        <v>3732</v>
      </c>
      <c r="S768" t="s">
        <v>58</v>
      </c>
      <c r="T768" t="s">
        <v>648</v>
      </c>
      <c r="U768" t="s">
        <v>41</v>
      </c>
      <c r="V768" t="s">
        <v>114</v>
      </c>
    </row>
    <row r="769" spans="1:22" x14ac:dyDescent="0.3">
      <c r="A769" t="s">
        <v>3733</v>
      </c>
      <c r="B769" t="s">
        <v>1437</v>
      </c>
      <c r="C769" t="s">
        <v>1438</v>
      </c>
      <c r="D769" t="s">
        <v>3734</v>
      </c>
      <c r="E769" t="s">
        <v>399</v>
      </c>
      <c r="F769" t="s">
        <v>188</v>
      </c>
      <c r="G769" t="s">
        <v>67</v>
      </c>
      <c r="H769" t="s">
        <v>104</v>
      </c>
      <c r="I769" t="s">
        <v>69</v>
      </c>
      <c r="J769" t="s">
        <v>70</v>
      </c>
      <c r="K769" t="s">
        <v>31</v>
      </c>
      <c r="L769" t="s">
        <v>362</v>
      </c>
      <c r="M769" t="s">
        <v>563</v>
      </c>
      <c r="N769" t="s">
        <v>441</v>
      </c>
      <c r="O769" t="s">
        <v>703</v>
      </c>
      <c r="P769" t="s">
        <v>2299</v>
      </c>
      <c r="Q769" t="s">
        <v>782</v>
      </c>
      <c r="R769" t="s">
        <v>3735</v>
      </c>
      <c r="S769" t="s">
        <v>39</v>
      </c>
      <c r="T769" t="s">
        <v>80</v>
      </c>
      <c r="V769" t="s">
        <v>58</v>
      </c>
    </row>
    <row r="770" spans="1:22" x14ac:dyDescent="0.3">
      <c r="A770" t="s">
        <v>3736</v>
      </c>
      <c r="B770" t="s">
        <v>1359</v>
      </c>
      <c r="C770" t="s">
        <v>1360</v>
      </c>
      <c r="D770" t="s">
        <v>486</v>
      </c>
      <c r="E770" t="s">
        <v>243</v>
      </c>
      <c r="F770" t="s">
        <v>244</v>
      </c>
      <c r="G770" t="s">
        <v>147</v>
      </c>
      <c r="H770" t="s">
        <v>88</v>
      </c>
      <c r="I770" t="s">
        <v>29</v>
      </c>
      <c r="J770" t="s">
        <v>30</v>
      </c>
      <c r="K770" t="s">
        <v>31</v>
      </c>
      <c r="L770" t="s">
        <v>428</v>
      </c>
      <c r="M770" t="s">
        <v>1272</v>
      </c>
      <c r="N770" t="s">
        <v>179</v>
      </c>
      <c r="O770" t="s">
        <v>1272</v>
      </c>
      <c r="P770" t="s">
        <v>582</v>
      </c>
      <c r="Q770" t="s">
        <v>1090</v>
      </c>
      <c r="R770" t="s">
        <v>3737</v>
      </c>
      <c r="S770" t="s">
        <v>126</v>
      </c>
      <c r="T770" t="s">
        <v>613</v>
      </c>
      <c r="U770" t="s">
        <v>349</v>
      </c>
      <c r="V770" t="s">
        <v>58</v>
      </c>
    </row>
    <row r="771" spans="1:22" x14ac:dyDescent="0.3">
      <c r="A771" t="s">
        <v>3738</v>
      </c>
      <c r="B771" t="s">
        <v>809</v>
      </c>
      <c r="C771" t="s">
        <v>810</v>
      </c>
      <c r="D771" t="s">
        <v>1221</v>
      </c>
      <c r="E771" t="s">
        <v>160</v>
      </c>
      <c r="F771" t="s">
        <v>161</v>
      </c>
      <c r="G771" t="s">
        <v>147</v>
      </c>
      <c r="H771" t="s">
        <v>68</v>
      </c>
      <c r="I771" t="s">
        <v>29</v>
      </c>
      <c r="J771" t="s">
        <v>30</v>
      </c>
      <c r="K771" t="s">
        <v>215</v>
      </c>
      <c r="L771" t="s">
        <v>691</v>
      </c>
      <c r="M771" t="s">
        <v>732</v>
      </c>
      <c r="N771" t="s">
        <v>328</v>
      </c>
      <c r="O771" t="s">
        <v>733</v>
      </c>
      <c r="P771" t="s">
        <v>138</v>
      </c>
      <c r="Q771" t="s">
        <v>183</v>
      </c>
      <c r="R771" t="s">
        <v>3739</v>
      </c>
      <c r="S771" t="s">
        <v>126</v>
      </c>
      <c r="T771" t="s">
        <v>74</v>
      </c>
      <c r="U771" t="s">
        <v>300</v>
      </c>
      <c r="V771" t="s">
        <v>114</v>
      </c>
    </row>
    <row r="772" spans="1:22" x14ac:dyDescent="0.3">
      <c r="A772" t="s">
        <v>3740</v>
      </c>
      <c r="B772" t="s">
        <v>1166</v>
      </c>
      <c r="C772" t="s">
        <v>1167</v>
      </c>
      <c r="D772" t="s">
        <v>3741</v>
      </c>
      <c r="E772" t="s">
        <v>378</v>
      </c>
      <c r="F772" t="s">
        <v>282</v>
      </c>
      <c r="G772" t="s">
        <v>48</v>
      </c>
      <c r="H772" t="s">
        <v>68</v>
      </c>
      <c r="I772" t="s">
        <v>69</v>
      </c>
      <c r="J772" t="s">
        <v>30</v>
      </c>
      <c r="K772" t="s">
        <v>71</v>
      </c>
      <c r="L772" t="s">
        <v>2637</v>
      </c>
      <c r="M772" t="s">
        <v>1364</v>
      </c>
      <c r="N772" t="s">
        <v>710</v>
      </c>
      <c r="O772" t="s">
        <v>3656</v>
      </c>
      <c r="P772" t="s">
        <v>759</v>
      </c>
      <c r="Q772" t="s">
        <v>1509</v>
      </c>
      <c r="R772" t="s">
        <v>3742</v>
      </c>
      <c r="S772" t="s">
        <v>126</v>
      </c>
      <c r="T772" t="s">
        <v>37</v>
      </c>
      <c r="U772" t="s">
        <v>394</v>
      </c>
      <c r="V772" t="s">
        <v>42</v>
      </c>
    </row>
    <row r="773" spans="1:22" x14ac:dyDescent="0.3">
      <c r="A773" t="s">
        <v>3743</v>
      </c>
      <c r="B773" t="s">
        <v>444</v>
      </c>
      <c r="C773" t="s">
        <v>445</v>
      </c>
      <c r="D773" t="s">
        <v>465</v>
      </c>
      <c r="E773" t="s">
        <v>438</v>
      </c>
      <c r="F773" t="s">
        <v>188</v>
      </c>
      <c r="G773" t="s">
        <v>118</v>
      </c>
      <c r="H773" t="s">
        <v>28</v>
      </c>
      <c r="I773" t="s">
        <v>29</v>
      </c>
      <c r="J773" t="s">
        <v>162</v>
      </c>
      <c r="K773" t="s">
        <v>245</v>
      </c>
      <c r="L773" t="s">
        <v>598</v>
      </c>
      <c r="M773" t="s">
        <v>109</v>
      </c>
      <c r="N773" t="s">
        <v>179</v>
      </c>
      <c r="O773" t="s">
        <v>109</v>
      </c>
      <c r="P773" t="s">
        <v>439</v>
      </c>
      <c r="Q773" t="s">
        <v>1096</v>
      </c>
      <c r="R773" t="s">
        <v>3744</v>
      </c>
      <c r="S773" t="s">
        <v>126</v>
      </c>
      <c r="T773" t="s">
        <v>369</v>
      </c>
      <c r="U773" t="s">
        <v>362</v>
      </c>
      <c r="V773" t="s">
        <v>82</v>
      </c>
    </row>
    <row r="774" spans="1:22" x14ac:dyDescent="0.3">
      <c r="A774" t="s">
        <v>3745</v>
      </c>
      <c r="B774" t="s">
        <v>279</v>
      </c>
      <c r="C774" t="s">
        <v>280</v>
      </c>
      <c r="D774" t="s">
        <v>2663</v>
      </c>
      <c r="E774" t="s">
        <v>65</v>
      </c>
      <c r="F774" t="s">
        <v>66</v>
      </c>
      <c r="G774" t="s">
        <v>580</v>
      </c>
      <c r="H774" t="s">
        <v>68</v>
      </c>
      <c r="I774" t="s">
        <v>69</v>
      </c>
      <c r="J774" t="s">
        <v>162</v>
      </c>
      <c r="K774" t="s">
        <v>200</v>
      </c>
      <c r="L774" t="s">
        <v>466</v>
      </c>
      <c r="M774" t="s">
        <v>3746</v>
      </c>
      <c r="N774" t="s">
        <v>782</v>
      </c>
      <c r="O774" t="s">
        <v>3747</v>
      </c>
      <c r="P774" t="s">
        <v>2565</v>
      </c>
      <c r="Q774" t="s">
        <v>1522</v>
      </c>
      <c r="R774" t="s">
        <v>1001</v>
      </c>
      <c r="S774" t="s">
        <v>182</v>
      </c>
      <c r="T774" t="s">
        <v>252</v>
      </c>
      <c r="U774" t="s">
        <v>394</v>
      </c>
      <c r="V774" t="s">
        <v>79</v>
      </c>
    </row>
    <row r="775" spans="1:22" x14ac:dyDescent="0.3">
      <c r="A775" t="s">
        <v>3748</v>
      </c>
      <c r="B775" t="s">
        <v>2900</v>
      </c>
      <c r="C775" t="s">
        <v>2901</v>
      </c>
      <c r="D775" t="s">
        <v>1759</v>
      </c>
      <c r="E775" t="s">
        <v>244</v>
      </c>
      <c r="F775" t="s">
        <v>244</v>
      </c>
      <c r="G775" t="s">
        <v>580</v>
      </c>
      <c r="H775" t="s">
        <v>268</v>
      </c>
      <c r="I775" t="s">
        <v>29</v>
      </c>
      <c r="J775" t="s">
        <v>30</v>
      </c>
      <c r="K775" t="s">
        <v>293</v>
      </c>
      <c r="L775" t="s">
        <v>177</v>
      </c>
      <c r="M775" t="s">
        <v>618</v>
      </c>
      <c r="N775" t="s">
        <v>299</v>
      </c>
      <c r="O775" t="s">
        <v>619</v>
      </c>
      <c r="P775" t="s">
        <v>1064</v>
      </c>
      <c r="Q775" t="s">
        <v>1420</v>
      </c>
      <c r="R775" t="s">
        <v>3749</v>
      </c>
      <c r="S775" t="s">
        <v>79</v>
      </c>
      <c r="T775" t="s">
        <v>751</v>
      </c>
      <c r="U775" t="s">
        <v>537</v>
      </c>
      <c r="V775" t="s">
        <v>79</v>
      </c>
    </row>
    <row r="776" spans="1:22" x14ac:dyDescent="0.3">
      <c r="A776" t="s">
        <v>3750</v>
      </c>
      <c r="B776" t="s">
        <v>2775</v>
      </c>
      <c r="C776" t="s">
        <v>2776</v>
      </c>
      <c r="D776" t="s">
        <v>3751</v>
      </c>
      <c r="E776" t="s">
        <v>160</v>
      </c>
      <c r="F776" t="s">
        <v>161</v>
      </c>
      <c r="G776" t="s">
        <v>580</v>
      </c>
      <c r="H776" t="s">
        <v>214</v>
      </c>
      <c r="I776" t="s">
        <v>29</v>
      </c>
      <c r="J776" t="s">
        <v>30</v>
      </c>
      <c r="K776" t="s">
        <v>293</v>
      </c>
      <c r="L776" t="s">
        <v>691</v>
      </c>
      <c r="M776" t="s">
        <v>2095</v>
      </c>
      <c r="N776" t="s">
        <v>95</v>
      </c>
      <c r="O776" t="s">
        <v>3191</v>
      </c>
      <c r="P776" t="s">
        <v>1760</v>
      </c>
      <c r="Q776" t="s">
        <v>931</v>
      </c>
      <c r="R776" t="s">
        <v>3113</v>
      </c>
      <c r="S776" t="s">
        <v>58</v>
      </c>
      <c r="T776" t="s">
        <v>252</v>
      </c>
      <c r="U776" t="s">
        <v>394</v>
      </c>
      <c r="V776" t="s">
        <v>42</v>
      </c>
    </row>
    <row r="777" spans="1:22" x14ac:dyDescent="0.3">
      <c r="A777" t="s">
        <v>3752</v>
      </c>
      <c r="B777" t="s">
        <v>2453</v>
      </c>
      <c r="C777" t="s">
        <v>2454</v>
      </c>
      <c r="D777" t="s">
        <v>1259</v>
      </c>
      <c r="E777" t="s">
        <v>634</v>
      </c>
      <c r="F777" t="s">
        <v>228</v>
      </c>
      <c r="G777" t="s">
        <v>213</v>
      </c>
      <c r="H777" t="s">
        <v>68</v>
      </c>
      <c r="I777" t="s">
        <v>29</v>
      </c>
      <c r="J777" t="s">
        <v>30</v>
      </c>
      <c r="K777" t="s">
        <v>89</v>
      </c>
      <c r="L777" t="s">
        <v>269</v>
      </c>
      <c r="M777" t="s">
        <v>2660</v>
      </c>
      <c r="N777" t="s">
        <v>637</v>
      </c>
      <c r="O777" t="s">
        <v>2401</v>
      </c>
      <c r="P777" t="s">
        <v>1396</v>
      </c>
      <c r="Q777" t="s">
        <v>1642</v>
      </c>
      <c r="R777" t="s">
        <v>3753</v>
      </c>
      <c r="S777" t="s">
        <v>97</v>
      </c>
      <c r="T777" t="s">
        <v>735</v>
      </c>
      <c r="U777" t="s">
        <v>288</v>
      </c>
      <c r="V777" t="s">
        <v>58</v>
      </c>
    </row>
    <row r="778" spans="1:22" x14ac:dyDescent="0.3">
      <c r="A778" t="s">
        <v>3754</v>
      </c>
      <c r="B778" t="s">
        <v>2233</v>
      </c>
      <c r="C778" t="s">
        <v>2234</v>
      </c>
      <c r="D778" t="s">
        <v>2489</v>
      </c>
      <c r="E778" t="s">
        <v>66</v>
      </c>
      <c r="F778" t="s">
        <v>66</v>
      </c>
      <c r="G778" t="s">
        <v>213</v>
      </c>
      <c r="H778" t="s">
        <v>28</v>
      </c>
      <c r="I778" t="s">
        <v>69</v>
      </c>
      <c r="J778" t="s">
        <v>30</v>
      </c>
      <c r="K778" t="s">
        <v>31</v>
      </c>
      <c r="L778" t="s">
        <v>773</v>
      </c>
      <c r="M778" t="s">
        <v>2660</v>
      </c>
      <c r="N778" t="s">
        <v>321</v>
      </c>
      <c r="O778" t="s">
        <v>3755</v>
      </c>
      <c r="P778" t="s">
        <v>2740</v>
      </c>
      <c r="Q778" t="s">
        <v>152</v>
      </c>
      <c r="R778" t="s">
        <v>3756</v>
      </c>
      <c r="S778" t="s">
        <v>39</v>
      </c>
      <c r="T778" t="s">
        <v>751</v>
      </c>
      <c r="U778" t="s">
        <v>362</v>
      </c>
      <c r="V778" t="s">
        <v>114</v>
      </c>
    </row>
    <row r="779" spans="1:22" x14ac:dyDescent="0.3">
      <c r="A779" t="s">
        <v>3757</v>
      </c>
      <c r="B779" t="s">
        <v>2426</v>
      </c>
      <c r="C779" t="s">
        <v>2427</v>
      </c>
      <c r="D779" t="s">
        <v>314</v>
      </c>
      <c r="E779" t="s">
        <v>378</v>
      </c>
      <c r="F779" t="s">
        <v>282</v>
      </c>
      <c r="G779" t="s">
        <v>27</v>
      </c>
      <c r="H779" t="s">
        <v>28</v>
      </c>
      <c r="I779" t="s">
        <v>69</v>
      </c>
      <c r="J779" t="s">
        <v>30</v>
      </c>
      <c r="K779" t="s">
        <v>215</v>
      </c>
      <c r="L779" t="s">
        <v>1394</v>
      </c>
      <c r="M779" t="s">
        <v>774</v>
      </c>
      <c r="N779" t="s">
        <v>183</v>
      </c>
      <c r="O779" t="s">
        <v>949</v>
      </c>
      <c r="P779" t="s">
        <v>77</v>
      </c>
      <c r="Q779" t="s">
        <v>237</v>
      </c>
      <c r="R779" t="s">
        <v>3298</v>
      </c>
      <c r="S779" t="s">
        <v>126</v>
      </c>
      <c r="T779" t="s">
        <v>191</v>
      </c>
      <c r="U779" t="s">
        <v>288</v>
      </c>
      <c r="V779" t="s">
        <v>58</v>
      </c>
    </row>
    <row r="780" spans="1:22" x14ac:dyDescent="0.3">
      <c r="A780" t="s">
        <v>3758</v>
      </c>
      <c r="B780" t="s">
        <v>3638</v>
      </c>
      <c r="C780" t="s">
        <v>3639</v>
      </c>
      <c r="D780" t="s">
        <v>1464</v>
      </c>
      <c r="E780" t="s">
        <v>730</v>
      </c>
      <c r="F780" t="s">
        <v>26</v>
      </c>
      <c r="G780" t="s">
        <v>580</v>
      </c>
      <c r="H780" t="s">
        <v>268</v>
      </c>
      <c r="I780" t="s">
        <v>29</v>
      </c>
      <c r="J780" t="s">
        <v>30</v>
      </c>
      <c r="K780" t="s">
        <v>293</v>
      </c>
      <c r="L780" t="s">
        <v>812</v>
      </c>
      <c r="M780" t="s">
        <v>3180</v>
      </c>
      <c r="N780" t="s">
        <v>179</v>
      </c>
      <c r="O780" t="s">
        <v>3180</v>
      </c>
      <c r="P780" t="s">
        <v>527</v>
      </c>
      <c r="Q780" t="s">
        <v>627</v>
      </c>
      <c r="R780" t="s">
        <v>3759</v>
      </c>
      <c r="S780" t="s">
        <v>182</v>
      </c>
      <c r="T780" t="s">
        <v>34</v>
      </c>
      <c r="U780" t="s">
        <v>867</v>
      </c>
      <c r="V780" t="s">
        <v>42</v>
      </c>
    </row>
    <row r="781" spans="1:22" x14ac:dyDescent="0.3">
      <c r="A781" t="s">
        <v>3760</v>
      </c>
      <c r="B781" t="s">
        <v>444</v>
      </c>
      <c r="C781" t="s">
        <v>445</v>
      </c>
      <c r="D781" t="s">
        <v>3761</v>
      </c>
      <c r="E781" t="s">
        <v>893</v>
      </c>
      <c r="F781" t="s">
        <v>188</v>
      </c>
      <c r="G781" t="s">
        <v>103</v>
      </c>
      <c r="H781" t="s">
        <v>88</v>
      </c>
      <c r="I781" t="s">
        <v>29</v>
      </c>
      <c r="J781" t="s">
        <v>30</v>
      </c>
      <c r="K781" t="s">
        <v>245</v>
      </c>
      <c r="L781" t="s">
        <v>163</v>
      </c>
      <c r="M781" t="s">
        <v>3762</v>
      </c>
      <c r="N781" t="s">
        <v>179</v>
      </c>
      <c r="O781" t="s">
        <v>3762</v>
      </c>
      <c r="P781" t="s">
        <v>3763</v>
      </c>
      <c r="Q781" t="s">
        <v>915</v>
      </c>
      <c r="R781" t="s">
        <v>3764</v>
      </c>
      <c r="S781" t="s">
        <v>97</v>
      </c>
      <c r="T781" t="s">
        <v>336</v>
      </c>
      <c r="U781" t="s">
        <v>362</v>
      </c>
      <c r="V781" t="s">
        <v>82</v>
      </c>
    </row>
    <row r="782" spans="1:22" x14ac:dyDescent="0.3">
      <c r="A782" t="s">
        <v>3765</v>
      </c>
      <c r="B782" t="s">
        <v>2890</v>
      </c>
      <c r="C782" t="s">
        <v>2891</v>
      </c>
      <c r="D782" t="s">
        <v>3766</v>
      </c>
      <c r="E782" t="s">
        <v>399</v>
      </c>
      <c r="F782" t="s">
        <v>188</v>
      </c>
      <c r="G782" t="s">
        <v>27</v>
      </c>
      <c r="H782" t="s">
        <v>28</v>
      </c>
      <c r="I782" t="s">
        <v>69</v>
      </c>
      <c r="J782" t="s">
        <v>30</v>
      </c>
      <c r="K782" t="s">
        <v>89</v>
      </c>
      <c r="L782" t="s">
        <v>315</v>
      </c>
      <c r="M782" t="s">
        <v>1516</v>
      </c>
      <c r="N782" t="s">
        <v>183</v>
      </c>
      <c r="O782" t="s">
        <v>1289</v>
      </c>
      <c r="P782" t="s">
        <v>358</v>
      </c>
      <c r="Q782" t="s">
        <v>252</v>
      </c>
      <c r="R782" t="s">
        <v>3767</v>
      </c>
      <c r="S782" t="s">
        <v>126</v>
      </c>
      <c r="T782" t="s">
        <v>499</v>
      </c>
      <c r="U782" t="s">
        <v>362</v>
      </c>
      <c r="V782" t="s">
        <v>114</v>
      </c>
    </row>
    <row r="783" spans="1:22" x14ac:dyDescent="0.3">
      <c r="A783" t="s">
        <v>3768</v>
      </c>
      <c r="B783" t="s">
        <v>2117</v>
      </c>
      <c r="C783" t="s">
        <v>2118</v>
      </c>
      <c r="D783" t="s">
        <v>3769</v>
      </c>
      <c r="E783" t="s">
        <v>133</v>
      </c>
      <c r="F783" t="s">
        <v>134</v>
      </c>
      <c r="G783" t="s">
        <v>213</v>
      </c>
      <c r="H783" t="s">
        <v>28</v>
      </c>
      <c r="I783" t="s">
        <v>69</v>
      </c>
      <c r="J783" t="s">
        <v>30</v>
      </c>
      <c r="K783" t="s">
        <v>89</v>
      </c>
      <c r="L783" t="s">
        <v>551</v>
      </c>
      <c r="M783" t="s">
        <v>753</v>
      </c>
      <c r="N783" t="s">
        <v>179</v>
      </c>
      <c r="O783" t="s">
        <v>753</v>
      </c>
      <c r="P783" t="s">
        <v>593</v>
      </c>
      <c r="Q783" t="s">
        <v>34</v>
      </c>
      <c r="R783" t="s">
        <v>3770</v>
      </c>
      <c r="S783" t="s">
        <v>58</v>
      </c>
      <c r="T783" t="s">
        <v>59</v>
      </c>
      <c r="U783" t="s">
        <v>60</v>
      </c>
      <c r="V783" t="s">
        <v>82</v>
      </c>
    </row>
    <row r="784" spans="1:22" x14ac:dyDescent="0.3">
      <c r="A784" t="s">
        <v>3771</v>
      </c>
      <c r="B784" t="s">
        <v>1226</v>
      </c>
      <c r="C784" t="s">
        <v>1227</v>
      </c>
      <c r="D784" t="s">
        <v>1619</v>
      </c>
      <c r="E784" t="s">
        <v>634</v>
      </c>
      <c r="F784" t="s">
        <v>228</v>
      </c>
      <c r="G784" t="s">
        <v>213</v>
      </c>
      <c r="H784" t="s">
        <v>229</v>
      </c>
      <c r="I784" t="s">
        <v>29</v>
      </c>
      <c r="J784" t="s">
        <v>70</v>
      </c>
      <c r="K784" t="s">
        <v>245</v>
      </c>
      <c r="L784" t="s">
        <v>428</v>
      </c>
      <c r="M784" t="s">
        <v>3772</v>
      </c>
      <c r="N784" t="s">
        <v>179</v>
      </c>
      <c r="O784" t="s">
        <v>3772</v>
      </c>
      <c r="P784" t="s">
        <v>470</v>
      </c>
      <c r="Q784" t="s">
        <v>1163</v>
      </c>
      <c r="R784" t="s">
        <v>3773</v>
      </c>
      <c r="S784" t="s">
        <v>97</v>
      </c>
      <c r="T784" t="s">
        <v>1141</v>
      </c>
      <c r="U784" t="s">
        <v>373</v>
      </c>
      <c r="V784" t="s">
        <v>42</v>
      </c>
    </row>
    <row r="785" spans="1:22" x14ac:dyDescent="0.3">
      <c r="A785" t="s">
        <v>3774</v>
      </c>
      <c r="B785" t="s">
        <v>3775</v>
      </c>
      <c r="C785" t="s">
        <v>3776</v>
      </c>
      <c r="D785" t="s">
        <v>700</v>
      </c>
      <c r="E785" t="s">
        <v>399</v>
      </c>
      <c r="F785" t="s">
        <v>188</v>
      </c>
      <c r="G785" t="s">
        <v>580</v>
      </c>
      <c r="H785" t="s">
        <v>268</v>
      </c>
      <c r="I785" t="s">
        <v>69</v>
      </c>
      <c r="J785" t="s">
        <v>30</v>
      </c>
      <c r="K785" t="s">
        <v>245</v>
      </c>
      <c r="L785" t="s">
        <v>105</v>
      </c>
      <c r="M785" t="s">
        <v>2881</v>
      </c>
      <c r="N785" t="s">
        <v>179</v>
      </c>
      <c r="O785" t="s">
        <v>2881</v>
      </c>
      <c r="P785" t="s">
        <v>193</v>
      </c>
      <c r="Q785" t="s">
        <v>968</v>
      </c>
      <c r="R785" t="s">
        <v>3777</v>
      </c>
      <c r="S785" t="s">
        <v>182</v>
      </c>
      <c r="T785" t="s">
        <v>553</v>
      </c>
      <c r="U785" t="s">
        <v>300</v>
      </c>
      <c r="V785" t="s">
        <v>58</v>
      </c>
    </row>
    <row r="786" spans="1:22" x14ac:dyDescent="0.3">
      <c r="A786" t="s">
        <v>3778</v>
      </c>
      <c r="B786" t="s">
        <v>1701</v>
      </c>
      <c r="C786" t="s">
        <v>1702</v>
      </c>
      <c r="D786" t="s">
        <v>332</v>
      </c>
      <c r="E786" t="s">
        <v>161</v>
      </c>
      <c r="F786" t="s">
        <v>161</v>
      </c>
      <c r="G786" t="s">
        <v>48</v>
      </c>
      <c r="H786" t="s">
        <v>104</v>
      </c>
      <c r="I786" t="s">
        <v>29</v>
      </c>
      <c r="J786" t="s">
        <v>30</v>
      </c>
      <c r="K786" t="s">
        <v>215</v>
      </c>
      <c r="L786" t="s">
        <v>598</v>
      </c>
      <c r="M786" t="s">
        <v>2982</v>
      </c>
      <c r="N786" t="s">
        <v>529</v>
      </c>
      <c r="O786" t="s">
        <v>36</v>
      </c>
      <c r="P786" t="s">
        <v>1864</v>
      </c>
      <c r="Q786" t="s">
        <v>604</v>
      </c>
      <c r="R786" t="s">
        <v>3779</v>
      </c>
      <c r="S786" t="s">
        <v>39</v>
      </c>
      <c r="T786" t="s">
        <v>74</v>
      </c>
      <c r="U786" t="s">
        <v>349</v>
      </c>
      <c r="V786" t="s">
        <v>58</v>
      </c>
    </row>
    <row r="787" spans="1:22" x14ac:dyDescent="0.3">
      <c r="A787" t="s">
        <v>3780</v>
      </c>
      <c r="B787" t="s">
        <v>1535</v>
      </c>
      <c r="C787" t="s">
        <v>1536</v>
      </c>
      <c r="D787" t="s">
        <v>3194</v>
      </c>
      <c r="E787" t="s">
        <v>893</v>
      </c>
      <c r="F787" t="s">
        <v>188</v>
      </c>
      <c r="G787" t="s">
        <v>580</v>
      </c>
      <c r="H787" t="s">
        <v>104</v>
      </c>
      <c r="I787" t="s">
        <v>69</v>
      </c>
      <c r="J787" t="s">
        <v>70</v>
      </c>
      <c r="K787" t="s">
        <v>31</v>
      </c>
      <c r="L787" t="s">
        <v>90</v>
      </c>
      <c r="M787" t="s">
        <v>52</v>
      </c>
      <c r="N787" t="s">
        <v>179</v>
      </c>
      <c r="O787" t="s">
        <v>52</v>
      </c>
      <c r="P787" t="s">
        <v>276</v>
      </c>
      <c r="Q787" t="s">
        <v>326</v>
      </c>
      <c r="R787" t="s">
        <v>327</v>
      </c>
      <c r="S787" t="s">
        <v>126</v>
      </c>
      <c r="T787" t="s">
        <v>613</v>
      </c>
      <c r="U787" t="s">
        <v>407</v>
      </c>
      <c r="V787" t="s">
        <v>79</v>
      </c>
    </row>
    <row r="788" spans="1:22" x14ac:dyDescent="0.3">
      <c r="A788" t="s">
        <v>3781</v>
      </c>
      <c r="B788" t="s">
        <v>116</v>
      </c>
      <c r="C788" t="s">
        <v>117</v>
      </c>
      <c r="D788" t="s">
        <v>1687</v>
      </c>
      <c r="E788" t="s">
        <v>176</v>
      </c>
      <c r="F788" t="s">
        <v>161</v>
      </c>
      <c r="G788" t="s">
        <v>67</v>
      </c>
      <c r="H788" t="s">
        <v>49</v>
      </c>
      <c r="I788" t="s">
        <v>29</v>
      </c>
      <c r="J788" t="s">
        <v>30</v>
      </c>
      <c r="K788" t="s">
        <v>230</v>
      </c>
      <c r="L788" t="s">
        <v>201</v>
      </c>
      <c r="M788" t="s">
        <v>1283</v>
      </c>
      <c r="N788" t="s">
        <v>179</v>
      </c>
      <c r="O788" t="s">
        <v>1283</v>
      </c>
      <c r="P788" t="s">
        <v>959</v>
      </c>
      <c r="Q788" t="s">
        <v>54</v>
      </c>
      <c r="R788" t="s">
        <v>3782</v>
      </c>
      <c r="S788" t="s">
        <v>182</v>
      </c>
      <c r="T788" t="s">
        <v>150</v>
      </c>
      <c r="U788" t="s">
        <v>155</v>
      </c>
      <c r="V788" t="s">
        <v>79</v>
      </c>
    </row>
    <row r="789" spans="1:22" x14ac:dyDescent="0.3">
      <c r="A789" t="s">
        <v>3783</v>
      </c>
      <c r="B789" t="s">
        <v>2410</v>
      </c>
      <c r="C789" t="s">
        <v>2411</v>
      </c>
      <c r="D789" t="s">
        <v>3478</v>
      </c>
      <c r="E789" t="s">
        <v>66</v>
      </c>
      <c r="F789" t="s">
        <v>66</v>
      </c>
      <c r="G789" t="s">
        <v>27</v>
      </c>
      <c r="H789" t="s">
        <v>28</v>
      </c>
      <c r="I789" t="s">
        <v>69</v>
      </c>
      <c r="J789" t="s">
        <v>30</v>
      </c>
      <c r="K789" t="s">
        <v>50</v>
      </c>
      <c r="L789" t="s">
        <v>598</v>
      </c>
      <c r="M789" t="s">
        <v>421</v>
      </c>
      <c r="O789" t="s">
        <v>1778</v>
      </c>
      <c r="P789" t="s">
        <v>1568</v>
      </c>
      <c r="Q789" t="s">
        <v>1177</v>
      </c>
      <c r="R789" t="s">
        <v>3784</v>
      </c>
      <c r="S789" t="s">
        <v>58</v>
      </c>
      <c r="T789" t="s">
        <v>610</v>
      </c>
      <c r="U789" t="s">
        <v>385</v>
      </c>
      <c r="V789" t="s">
        <v>42</v>
      </c>
    </row>
    <row r="790" spans="1:22" x14ac:dyDescent="0.3">
      <c r="A790" t="s">
        <v>3785</v>
      </c>
      <c r="B790" t="s">
        <v>839</v>
      </c>
      <c r="C790" t="s">
        <v>840</v>
      </c>
      <c r="D790" t="s">
        <v>3174</v>
      </c>
      <c r="E790" t="s">
        <v>378</v>
      </c>
      <c r="F790" t="s">
        <v>282</v>
      </c>
      <c r="G790" t="s">
        <v>27</v>
      </c>
      <c r="H790" t="s">
        <v>88</v>
      </c>
      <c r="I790" t="s">
        <v>69</v>
      </c>
      <c r="J790" t="s">
        <v>30</v>
      </c>
      <c r="K790" t="s">
        <v>230</v>
      </c>
      <c r="L790" t="s">
        <v>773</v>
      </c>
      <c r="M790" t="s">
        <v>1106</v>
      </c>
      <c r="N790" t="s">
        <v>74</v>
      </c>
      <c r="O790" t="s">
        <v>1064</v>
      </c>
      <c r="P790" t="s">
        <v>3012</v>
      </c>
      <c r="Q790" t="s">
        <v>482</v>
      </c>
      <c r="R790" t="s">
        <v>3786</v>
      </c>
      <c r="S790" t="s">
        <v>39</v>
      </c>
      <c r="T790" t="s">
        <v>1230</v>
      </c>
      <c r="U790" t="s">
        <v>60</v>
      </c>
      <c r="V790" t="s">
        <v>79</v>
      </c>
    </row>
    <row r="791" spans="1:22" x14ac:dyDescent="0.3">
      <c r="A791" t="s">
        <v>3787</v>
      </c>
      <c r="B791" t="s">
        <v>2330</v>
      </c>
      <c r="C791" t="s">
        <v>2331</v>
      </c>
      <c r="D791" t="s">
        <v>3788</v>
      </c>
      <c r="E791" t="s">
        <v>1321</v>
      </c>
      <c r="F791" t="s">
        <v>228</v>
      </c>
      <c r="G791" t="s">
        <v>67</v>
      </c>
      <c r="H791" t="s">
        <v>229</v>
      </c>
      <c r="I791" t="s">
        <v>69</v>
      </c>
      <c r="J791" t="s">
        <v>30</v>
      </c>
      <c r="K791" t="s">
        <v>200</v>
      </c>
      <c r="L791" t="s">
        <v>315</v>
      </c>
      <c r="M791" t="s">
        <v>3703</v>
      </c>
      <c r="N791" t="s">
        <v>179</v>
      </c>
      <c r="O791" t="s">
        <v>3703</v>
      </c>
      <c r="P791" t="s">
        <v>35</v>
      </c>
      <c r="Q791" t="s">
        <v>1395</v>
      </c>
      <c r="R791" t="s">
        <v>3789</v>
      </c>
      <c r="S791" t="s">
        <v>182</v>
      </c>
      <c r="T791" t="s">
        <v>529</v>
      </c>
      <c r="U791" t="s">
        <v>362</v>
      </c>
      <c r="V791" t="s">
        <v>79</v>
      </c>
    </row>
    <row r="792" spans="1:22" x14ac:dyDescent="0.3">
      <c r="A792" t="s">
        <v>3790</v>
      </c>
      <c r="B792" t="s">
        <v>1153</v>
      </c>
      <c r="C792" t="s">
        <v>1154</v>
      </c>
      <c r="D792" t="s">
        <v>3331</v>
      </c>
      <c r="E792" t="s">
        <v>282</v>
      </c>
      <c r="F792" t="s">
        <v>282</v>
      </c>
      <c r="G792" t="s">
        <v>103</v>
      </c>
      <c r="H792" t="s">
        <v>68</v>
      </c>
      <c r="I792" t="s">
        <v>69</v>
      </c>
      <c r="J792" t="s">
        <v>257</v>
      </c>
      <c r="K792" t="s">
        <v>215</v>
      </c>
      <c r="L792" t="s">
        <v>551</v>
      </c>
      <c r="M792" t="s">
        <v>3791</v>
      </c>
      <c r="N792" t="s">
        <v>55</v>
      </c>
      <c r="O792" t="s">
        <v>938</v>
      </c>
      <c r="P792" t="s">
        <v>3792</v>
      </c>
      <c r="Q792" t="s">
        <v>2921</v>
      </c>
      <c r="R792" t="s">
        <v>2693</v>
      </c>
      <c r="S792" t="s">
        <v>39</v>
      </c>
      <c r="T792" t="s">
        <v>1509</v>
      </c>
      <c r="U792" t="s">
        <v>394</v>
      </c>
      <c r="V792" t="s">
        <v>58</v>
      </c>
    </row>
    <row r="793" spans="1:22" x14ac:dyDescent="0.3">
      <c r="A793" t="s">
        <v>3793</v>
      </c>
      <c r="B793" t="s">
        <v>1592</v>
      </c>
      <c r="C793" t="s">
        <v>1593</v>
      </c>
      <c r="D793" t="s">
        <v>226</v>
      </c>
      <c r="E793" t="s">
        <v>66</v>
      </c>
      <c r="F793" t="s">
        <v>66</v>
      </c>
      <c r="H793" t="s">
        <v>104</v>
      </c>
      <c r="I793" t="s">
        <v>69</v>
      </c>
      <c r="J793" t="s">
        <v>30</v>
      </c>
      <c r="K793" t="s">
        <v>200</v>
      </c>
      <c r="L793" t="s">
        <v>598</v>
      </c>
      <c r="M793" t="s">
        <v>601</v>
      </c>
      <c r="N793" t="s">
        <v>677</v>
      </c>
      <c r="O793" t="s">
        <v>1016</v>
      </c>
      <c r="P793" t="s">
        <v>2112</v>
      </c>
      <c r="Q793" t="s">
        <v>165</v>
      </c>
      <c r="R793" t="s">
        <v>3794</v>
      </c>
      <c r="S793" t="s">
        <v>39</v>
      </c>
      <c r="T793" t="s">
        <v>440</v>
      </c>
      <c r="U793" t="s">
        <v>407</v>
      </c>
      <c r="V793" t="s">
        <v>114</v>
      </c>
    </row>
    <row r="794" spans="1:22" x14ac:dyDescent="0.3">
      <c r="A794" t="s">
        <v>3795</v>
      </c>
      <c r="B794" t="s">
        <v>1824</v>
      </c>
      <c r="C794" t="s">
        <v>1825</v>
      </c>
      <c r="D794" t="s">
        <v>3425</v>
      </c>
      <c r="E794" t="s">
        <v>378</v>
      </c>
      <c r="F794" t="s">
        <v>282</v>
      </c>
      <c r="G794" t="s">
        <v>580</v>
      </c>
      <c r="H794" t="s">
        <v>268</v>
      </c>
      <c r="I794" t="s">
        <v>69</v>
      </c>
      <c r="J794" t="s">
        <v>162</v>
      </c>
      <c r="K794" t="s">
        <v>200</v>
      </c>
      <c r="L794" t="s">
        <v>598</v>
      </c>
      <c r="M794" t="s">
        <v>35</v>
      </c>
      <c r="N794" t="s">
        <v>1162</v>
      </c>
      <c r="O794" t="s">
        <v>73</v>
      </c>
      <c r="P794" t="s">
        <v>334</v>
      </c>
      <c r="Q794" t="s">
        <v>582</v>
      </c>
      <c r="R794" t="s">
        <v>3796</v>
      </c>
      <c r="S794" t="s">
        <v>182</v>
      </c>
      <c r="T794" t="s">
        <v>695</v>
      </c>
      <c r="U794" t="s">
        <v>288</v>
      </c>
      <c r="V794" t="s">
        <v>58</v>
      </c>
    </row>
    <row r="795" spans="1:22" x14ac:dyDescent="0.3">
      <c r="A795" t="s">
        <v>3797</v>
      </c>
      <c r="B795" t="s">
        <v>1245</v>
      </c>
      <c r="C795" t="s">
        <v>1246</v>
      </c>
      <c r="D795" t="s">
        <v>1728</v>
      </c>
      <c r="E795" t="s">
        <v>188</v>
      </c>
      <c r="F795" t="s">
        <v>188</v>
      </c>
      <c r="G795" t="s">
        <v>213</v>
      </c>
      <c r="H795" t="s">
        <v>68</v>
      </c>
      <c r="I795" t="s">
        <v>69</v>
      </c>
      <c r="J795" t="s">
        <v>70</v>
      </c>
      <c r="K795" t="s">
        <v>200</v>
      </c>
      <c r="L795" t="s">
        <v>766</v>
      </c>
      <c r="M795" t="s">
        <v>3191</v>
      </c>
      <c r="N795" t="s">
        <v>655</v>
      </c>
      <c r="O795" t="s">
        <v>123</v>
      </c>
      <c r="P795" t="s">
        <v>3522</v>
      </c>
      <c r="Q795" t="s">
        <v>1116</v>
      </c>
      <c r="R795" t="s">
        <v>3798</v>
      </c>
      <c r="S795" t="s">
        <v>39</v>
      </c>
      <c r="T795" t="s">
        <v>440</v>
      </c>
      <c r="U795" t="s">
        <v>362</v>
      </c>
      <c r="V795" t="s">
        <v>114</v>
      </c>
    </row>
    <row r="796" spans="1:22" x14ac:dyDescent="0.3">
      <c r="A796" t="s">
        <v>3799</v>
      </c>
      <c r="B796" t="s">
        <v>1427</v>
      </c>
      <c r="C796" t="s">
        <v>1428</v>
      </c>
      <c r="D796" t="s">
        <v>2721</v>
      </c>
      <c r="E796" t="s">
        <v>47</v>
      </c>
      <c r="F796" t="s">
        <v>26</v>
      </c>
      <c r="G796" t="s">
        <v>580</v>
      </c>
      <c r="H796" t="s">
        <v>68</v>
      </c>
      <c r="I796" t="s">
        <v>69</v>
      </c>
      <c r="J796" t="s">
        <v>162</v>
      </c>
      <c r="K796" t="s">
        <v>31</v>
      </c>
      <c r="L796" t="s">
        <v>32</v>
      </c>
      <c r="M796" t="s">
        <v>1498</v>
      </c>
      <c r="N796" t="s">
        <v>686</v>
      </c>
      <c r="O796" t="s">
        <v>783</v>
      </c>
      <c r="P796" t="s">
        <v>1414</v>
      </c>
      <c r="Q796" t="s">
        <v>724</v>
      </c>
      <c r="R796" t="s">
        <v>3800</v>
      </c>
      <c r="S796" t="s">
        <v>97</v>
      </c>
      <c r="T796" t="s">
        <v>140</v>
      </c>
      <c r="U796" t="s">
        <v>423</v>
      </c>
      <c r="V796" t="s">
        <v>114</v>
      </c>
    </row>
    <row r="797" spans="1:22" x14ac:dyDescent="0.3">
      <c r="A797" t="s">
        <v>3801</v>
      </c>
      <c r="B797" t="s">
        <v>1754</v>
      </c>
      <c r="C797" t="s">
        <v>1755</v>
      </c>
      <c r="D797" t="s">
        <v>748</v>
      </c>
      <c r="E797" t="s">
        <v>161</v>
      </c>
      <c r="F797" t="s">
        <v>161</v>
      </c>
      <c r="G797" t="s">
        <v>213</v>
      </c>
      <c r="H797" t="s">
        <v>214</v>
      </c>
      <c r="I797" t="s">
        <v>69</v>
      </c>
      <c r="J797" t="s">
        <v>30</v>
      </c>
      <c r="K797" t="s">
        <v>31</v>
      </c>
      <c r="L797" t="s">
        <v>428</v>
      </c>
      <c r="M797" t="s">
        <v>295</v>
      </c>
      <c r="N797" t="s">
        <v>1491</v>
      </c>
      <c r="O797" t="s">
        <v>450</v>
      </c>
      <c r="P797" t="s">
        <v>2537</v>
      </c>
      <c r="Q797" t="s">
        <v>3012</v>
      </c>
      <c r="R797" t="s">
        <v>2624</v>
      </c>
      <c r="S797" t="s">
        <v>58</v>
      </c>
      <c r="T797" t="s">
        <v>896</v>
      </c>
      <c r="U797" t="s">
        <v>288</v>
      </c>
      <c r="V797" t="s">
        <v>42</v>
      </c>
    </row>
    <row r="798" spans="1:22" x14ac:dyDescent="0.3">
      <c r="A798" t="s">
        <v>3802</v>
      </c>
      <c r="B798" t="s">
        <v>2277</v>
      </c>
      <c r="C798" t="s">
        <v>2278</v>
      </c>
      <c r="D798" t="s">
        <v>1795</v>
      </c>
      <c r="E798" t="s">
        <v>730</v>
      </c>
      <c r="F798" t="s">
        <v>26</v>
      </c>
      <c r="G798" t="s">
        <v>147</v>
      </c>
      <c r="H798" t="s">
        <v>214</v>
      </c>
      <c r="I798" t="s">
        <v>29</v>
      </c>
      <c r="J798" t="s">
        <v>257</v>
      </c>
      <c r="K798" t="s">
        <v>245</v>
      </c>
      <c r="L798" t="s">
        <v>258</v>
      </c>
      <c r="M798" t="s">
        <v>3803</v>
      </c>
      <c r="N798" t="s">
        <v>602</v>
      </c>
      <c r="O798" t="s">
        <v>3804</v>
      </c>
      <c r="P798" t="s">
        <v>1888</v>
      </c>
      <c r="Q798" t="s">
        <v>2819</v>
      </c>
      <c r="R798" t="s">
        <v>3805</v>
      </c>
      <c r="S798" t="s">
        <v>182</v>
      </c>
      <c r="T798" t="s">
        <v>452</v>
      </c>
      <c r="U798" t="s">
        <v>41</v>
      </c>
      <c r="V798" t="s">
        <v>114</v>
      </c>
    </row>
    <row r="799" spans="1:22" x14ac:dyDescent="0.3">
      <c r="A799" t="s">
        <v>3806</v>
      </c>
      <c r="B799" t="s">
        <v>2302</v>
      </c>
      <c r="C799" t="s">
        <v>2303</v>
      </c>
      <c r="D799" t="s">
        <v>3247</v>
      </c>
      <c r="E799" t="s">
        <v>134</v>
      </c>
      <c r="F799" t="s">
        <v>134</v>
      </c>
      <c r="G799" t="s">
        <v>27</v>
      </c>
      <c r="H799" t="s">
        <v>28</v>
      </c>
      <c r="I799" t="s">
        <v>29</v>
      </c>
      <c r="J799" t="s">
        <v>30</v>
      </c>
      <c r="K799" t="s">
        <v>200</v>
      </c>
      <c r="L799" t="s">
        <v>72</v>
      </c>
      <c r="M799" t="s">
        <v>542</v>
      </c>
      <c r="N799" t="s">
        <v>179</v>
      </c>
      <c r="O799" t="s">
        <v>542</v>
      </c>
      <c r="P799" t="s">
        <v>545</v>
      </c>
      <c r="Q799" t="s">
        <v>3471</v>
      </c>
      <c r="R799" t="s">
        <v>3807</v>
      </c>
      <c r="S799" t="s">
        <v>58</v>
      </c>
      <c r="T799" t="s">
        <v>56</v>
      </c>
      <c r="U799" t="s">
        <v>362</v>
      </c>
      <c r="V799" t="s">
        <v>79</v>
      </c>
    </row>
    <row r="800" spans="1:22" x14ac:dyDescent="0.3">
      <c r="A800" t="s">
        <v>3808</v>
      </c>
      <c r="B800" t="s">
        <v>962</v>
      </c>
      <c r="C800" t="s">
        <v>963</v>
      </c>
      <c r="D800" t="s">
        <v>765</v>
      </c>
      <c r="E800" t="s">
        <v>267</v>
      </c>
      <c r="F800" t="s">
        <v>66</v>
      </c>
      <c r="G800" t="s">
        <v>580</v>
      </c>
      <c r="H800" t="s">
        <v>49</v>
      </c>
      <c r="I800" t="s">
        <v>29</v>
      </c>
      <c r="J800" t="s">
        <v>30</v>
      </c>
      <c r="K800" t="s">
        <v>200</v>
      </c>
      <c r="L800" t="s">
        <v>333</v>
      </c>
      <c r="M800" t="s">
        <v>1346</v>
      </c>
      <c r="N800" t="s">
        <v>179</v>
      </c>
      <c r="O800" t="s">
        <v>1346</v>
      </c>
      <c r="P800" t="s">
        <v>390</v>
      </c>
      <c r="Q800" t="s">
        <v>849</v>
      </c>
      <c r="R800" t="s">
        <v>90</v>
      </c>
      <c r="S800" t="s">
        <v>97</v>
      </c>
      <c r="T800" t="s">
        <v>518</v>
      </c>
      <c r="U800" t="s">
        <v>60</v>
      </c>
      <c r="V800" t="s">
        <v>42</v>
      </c>
    </row>
    <row r="801" spans="1:22" x14ac:dyDescent="0.3">
      <c r="A801" t="s">
        <v>3809</v>
      </c>
      <c r="B801" t="s">
        <v>2057</v>
      </c>
      <c r="C801" t="s">
        <v>2058</v>
      </c>
      <c r="D801" t="s">
        <v>3810</v>
      </c>
      <c r="E801" t="s">
        <v>243</v>
      </c>
      <c r="F801" t="s">
        <v>244</v>
      </c>
      <c r="G801" t="s">
        <v>48</v>
      </c>
      <c r="H801" t="s">
        <v>214</v>
      </c>
      <c r="I801" t="s">
        <v>69</v>
      </c>
      <c r="J801" t="s">
        <v>30</v>
      </c>
      <c r="K801" t="s">
        <v>215</v>
      </c>
      <c r="M801" t="s">
        <v>3139</v>
      </c>
      <c r="N801" t="s">
        <v>208</v>
      </c>
      <c r="O801" t="s">
        <v>1889</v>
      </c>
      <c r="P801" t="s">
        <v>712</v>
      </c>
      <c r="Q801" t="s">
        <v>76</v>
      </c>
      <c r="R801" t="s">
        <v>3811</v>
      </c>
      <c r="S801" t="s">
        <v>39</v>
      </c>
      <c r="T801" t="s">
        <v>137</v>
      </c>
      <c r="U801" t="s">
        <v>277</v>
      </c>
      <c r="V801" t="s">
        <v>79</v>
      </c>
    </row>
    <row r="802" spans="1:22" x14ac:dyDescent="0.3">
      <c r="A802" t="s">
        <v>3812</v>
      </c>
      <c r="B802" t="s">
        <v>777</v>
      </c>
      <c r="C802" t="s">
        <v>778</v>
      </c>
      <c r="D802" t="s">
        <v>3813</v>
      </c>
      <c r="E802" t="s">
        <v>438</v>
      </c>
      <c r="F802" t="s">
        <v>188</v>
      </c>
      <c r="G802" t="s">
        <v>103</v>
      </c>
      <c r="H802" t="s">
        <v>214</v>
      </c>
      <c r="I802" t="s">
        <v>69</v>
      </c>
      <c r="J802" t="s">
        <v>30</v>
      </c>
      <c r="K802" t="s">
        <v>200</v>
      </c>
      <c r="L802" t="s">
        <v>362</v>
      </c>
      <c r="M802" t="s">
        <v>1777</v>
      </c>
      <c r="N802" t="s">
        <v>896</v>
      </c>
      <c r="O802" t="s">
        <v>1198</v>
      </c>
      <c r="P802" t="s">
        <v>619</v>
      </c>
      <c r="Q802" t="s">
        <v>127</v>
      </c>
      <c r="R802" t="s">
        <v>3814</v>
      </c>
      <c r="S802" t="s">
        <v>126</v>
      </c>
      <c r="T802" t="s">
        <v>276</v>
      </c>
      <c r="U802" t="s">
        <v>128</v>
      </c>
      <c r="V802" t="s">
        <v>79</v>
      </c>
    </row>
    <row r="803" spans="1:22" x14ac:dyDescent="0.3">
      <c r="A803" t="s">
        <v>3815</v>
      </c>
      <c r="B803" t="s">
        <v>224</v>
      </c>
      <c r="C803" t="s">
        <v>225</v>
      </c>
      <c r="D803" t="s">
        <v>2242</v>
      </c>
      <c r="E803" t="s">
        <v>354</v>
      </c>
      <c r="F803" t="s">
        <v>134</v>
      </c>
      <c r="G803" t="s">
        <v>213</v>
      </c>
      <c r="H803" t="s">
        <v>268</v>
      </c>
      <c r="I803" t="s">
        <v>69</v>
      </c>
      <c r="J803" t="s">
        <v>162</v>
      </c>
      <c r="K803" t="s">
        <v>215</v>
      </c>
      <c r="L803" t="s">
        <v>367</v>
      </c>
      <c r="M803" t="s">
        <v>504</v>
      </c>
      <c r="N803" t="s">
        <v>179</v>
      </c>
      <c r="O803" t="s">
        <v>504</v>
      </c>
      <c r="P803" t="s">
        <v>1492</v>
      </c>
      <c r="Q803" t="s">
        <v>164</v>
      </c>
      <c r="R803" t="s">
        <v>3816</v>
      </c>
      <c r="S803" t="s">
        <v>97</v>
      </c>
      <c r="T803" t="s">
        <v>583</v>
      </c>
      <c r="U803" t="s">
        <v>171</v>
      </c>
      <c r="V803" t="s">
        <v>79</v>
      </c>
    </row>
    <row r="804" spans="1:22" x14ac:dyDescent="0.3">
      <c r="A804" t="s">
        <v>3817</v>
      </c>
      <c r="B804" t="s">
        <v>1592</v>
      </c>
      <c r="C804" t="s">
        <v>1593</v>
      </c>
      <c r="D804" t="s">
        <v>2853</v>
      </c>
      <c r="E804" t="s">
        <v>176</v>
      </c>
      <c r="F804" t="s">
        <v>161</v>
      </c>
      <c r="G804" t="s">
        <v>103</v>
      </c>
      <c r="H804" t="s">
        <v>268</v>
      </c>
      <c r="I804" t="s">
        <v>69</v>
      </c>
      <c r="J804" t="s">
        <v>70</v>
      </c>
      <c r="K804" t="s">
        <v>215</v>
      </c>
      <c r="L804" t="s">
        <v>513</v>
      </c>
      <c r="M804" t="s">
        <v>3818</v>
      </c>
      <c r="N804" t="s">
        <v>261</v>
      </c>
      <c r="O804" t="s">
        <v>2866</v>
      </c>
      <c r="P804" t="s">
        <v>381</v>
      </c>
      <c r="Q804" t="s">
        <v>35</v>
      </c>
      <c r="R804" t="s">
        <v>3819</v>
      </c>
      <c r="S804" t="s">
        <v>97</v>
      </c>
      <c r="T804" t="s">
        <v>361</v>
      </c>
      <c r="U804" t="s">
        <v>128</v>
      </c>
      <c r="V804" t="s">
        <v>42</v>
      </c>
    </row>
    <row r="805" spans="1:22" x14ac:dyDescent="0.3">
      <c r="A805" t="s">
        <v>3820</v>
      </c>
      <c r="B805" t="s">
        <v>2954</v>
      </c>
      <c r="C805" t="s">
        <v>2955</v>
      </c>
      <c r="D805" t="s">
        <v>3821</v>
      </c>
      <c r="E805" t="s">
        <v>780</v>
      </c>
      <c r="F805" t="s">
        <v>282</v>
      </c>
      <c r="G805" t="s">
        <v>27</v>
      </c>
      <c r="H805" t="s">
        <v>28</v>
      </c>
      <c r="I805" t="s">
        <v>29</v>
      </c>
      <c r="J805" t="s">
        <v>30</v>
      </c>
      <c r="K805" t="s">
        <v>31</v>
      </c>
      <c r="L805" t="s">
        <v>1328</v>
      </c>
      <c r="M805" t="s">
        <v>429</v>
      </c>
      <c r="N805" t="s">
        <v>637</v>
      </c>
      <c r="O805" t="s">
        <v>3822</v>
      </c>
      <c r="P805" t="s">
        <v>2461</v>
      </c>
      <c r="Q805" t="s">
        <v>2125</v>
      </c>
      <c r="R805" t="s">
        <v>3823</v>
      </c>
      <c r="S805" t="s">
        <v>58</v>
      </c>
      <c r="T805" t="s">
        <v>261</v>
      </c>
      <c r="U805" t="s">
        <v>349</v>
      </c>
      <c r="V805" t="s">
        <v>82</v>
      </c>
    </row>
    <row r="806" spans="1:22" x14ac:dyDescent="0.3">
      <c r="A806" t="s">
        <v>3824</v>
      </c>
      <c r="B806" t="s">
        <v>3825</v>
      </c>
      <c r="C806" t="s">
        <v>3826</v>
      </c>
      <c r="D806" t="s">
        <v>1875</v>
      </c>
      <c r="E806" t="s">
        <v>417</v>
      </c>
      <c r="F806" t="s">
        <v>134</v>
      </c>
      <c r="G806" t="s">
        <v>67</v>
      </c>
      <c r="H806" t="s">
        <v>229</v>
      </c>
      <c r="I806" t="s">
        <v>29</v>
      </c>
      <c r="J806" t="s">
        <v>257</v>
      </c>
      <c r="K806" t="s">
        <v>293</v>
      </c>
      <c r="L806" t="s">
        <v>119</v>
      </c>
      <c r="M806" t="s">
        <v>611</v>
      </c>
      <c r="N806" t="s">
        <v>179</v>
      </c>
      <c r="O806" t="s">
        <v>611</v>
      </c>
      <c r="P806" t="s">
        <v>886</v>
      </c>
      <c r="Q806" t="s">
        <v>3012</v>
      </c>
      <c r="R806" t="s">
        <v>3827</v>
      </c>
      <c r="S806" t="s">
        <v>97</v>
      </c>
      <c r="T806" t="s">
        <v>1162</v>
      </c>
      <c r="U806" t="s">
        <v>277</v>
      </c>
      <c r="V806" t="s">
        <v>114</v>
      </c>
    </row>
    <row r="807" spans="1:22" x14ac:dyDescent="0.3">
      <c r="A807" t="s">
        <v>3828</v>
      </c>
      <c r="B807" t="s">
        <v>375</v>
      </c>
      <c r="C807" t="s">
        <v>376</v>
      </c>
      <c r="D807" t="s">
        <v>3829</v>
      </c>
      <c r="E807" t="s">
        <v>228</v>
      </c>
      <c r="F807" t="s">
        <v>228</v>
      </c>
      <c r="G807" t="s">
        <v>103</v>
      </c>
      <c r="H807" t="s">
        <v>104</v>
      </c>
      <c r="I807" t="s">
        <v>69</v>
      </c>
      <c r="J807" t="s">
        <v>30</v>
      </c>
      <c r="K807" t="s">
        <v>89</v>
      </c>
      <c r="L807" t="s">
        <v>812</v>
      </c>
      <c r="M807" t="s">
        <v>368</v>
      </c>
      <c r="N807" t="s">
        <v>179</v>
      </c>
      <c r="O807" t="s">
        <v>368</v>
      </c>
      <c r="P807" t="s">
        <v>2319</v>
      </c>
      <c r="Q807" t="s">
        <v>602</v>
      </c>
      <c r="R807" t="s">
        <v>3492</v>
      </c>
      <c r="S807" t="s">
        <v>182</v>
      </c>
      <c r="T807" t="s">
        <v>328</v>
      </c>
      <c r="U807" t="s">
        <v>349</v>
      </c>
      <c r="V807" t="s">
        <v>114</v>
      </c>
    </row>
    <row r="808" spans="1:22" x14ac:dyDescent="0.3">
      <c r="A808" t="s">
        <v>3830</v>
      </c>
      <c r="B808" t="s">
        <v>2627</v>
      </c>
      <c r="C808" t="s">
        <v>2628</v>
      </c>
      <c r="D808" t="s">
        <v>3831</v>
      </c>
      <c r="E808" t="s">
        <v>378</v>
      </c>
      <c r="F808" t="s">
        <v>282</v>
      </c>
      <c r="G808" t="s">
        <v>67</v>
      </c>
      <c r="H808" t="s">
        <v>68</v>
      </c>
      <c r="I808" t="s">
        <v>1073</v>
      </c>
      <c r="J808" t="s">
        <v>70</v>
      </c>
      <c r="K808" t="s">
        <v>215</v>
      </c>
      <c r="L808" t="s">
        <v>561</v>
      </c>
      <c r="M808" t="s">
        <v>3007</v>
      </c>
      <c r="N808" t="s">
        <v>179</v>
      </c>
      <c r="O808" t="s">
        <v>3007</v>
      </c>
      <c r="P808" t="s">
        <v>1909</v>
      </c>
      <c r="Q808" t="s">
        <v>107</v>
      </c>
      <c r="R808" t="s">
        <v>3832</v>
      </c>
      <c r="S808" t="s">
        <v>97</v>
      </c>
      <c r="T808" t="s">
        <v>92</v>
      </c>
      <c r="U808" t="s">
        <v>41</v>
      </c>
      <c r="V808" t="s">
        <v>58</v>
      </c>
    </row>
    <row r="809" spans="1:22" x14ac:dyDescent="0.3">
      <c r="A809" t="s">
        <v>3833</v>
      </c>
      <c r="B809" t="s">
        <v>631</v>
      </c>
      <c r="C809" t="s">
        <v>632</v>
      </c>
      <c r="D809" t="s">
        <v>1548</v>
      </c>
      <c r="E809" t="s">
        <v>26</v>
      </c>
      <c r="F809" t="s">
        <v>26</v>
      </c>
      <c r="G809" t="s">
        <v>27</v>
      </c>
      <c r="H809" t="s">
        <v>104</v>
      </c>
      <c r="I809" t="s">
        <v>69</v>
      </c>
      <c r="J809" t="s">
        <v>70</v>
      </c>
      <c r="K809" t="s">
        <v>245</v>
      </c>
      <c r="L809" t="s">
        <v>653</v>
      </c>
      <c r="M809" t="s">
        <v>1485</v>
      </c>
      <c r="N809" t="s">
        <v>179</v>
      </c>
      <c r="O809" t="s">
        <v>1485</v>
      </c>
      <c r="P809" t="s">
        <v>2819</v>
      </c>
      <c r="Q809" t="s">
        <v>459</v>
      </c>
      <c r="R809" t="s">
        <v>3834</v>
      </c>
      <c r="S809" t="s">
        <v>182</v>
      </c>
      <c r="T809" t="s">
        <v>610</v>
      </c>
      <c r="U809" t="s">
        <v>362</v>
      </c>
      <c r="V809" t="s">
        <v>42</v>
      </c>
    </row>
    <row r="810" spans="1:22" x14ac:dyDescent="0.3">
      <c r="A810" t="s">
        <v>3835</v>
      </c>
      <c r="B810" t="s">
        <v>2277</v>
      </c>
      <c r="C810" t="s">
        <v>2278</v>
      </c>
      <c r="D810" t="s">
        <v>920</v>
      </c>
      <c r="E810" t="s">
        <v>87</v>
      </c>
      <c r="F810" t="s">
        <v>26</v>
      </c>
      <c r="G810" t="s">
        <v>213</v>
      </c>
      <c r="H810" t="s">
        <v>268</v>
      </c>
      <c r="I810" t="s">
        <v>29</v>
      </c>
      <c r="J810" t="s">
        <v>162</v>
      </c>
      <c r="K810" t="s">
        <v>89</v>
      </c>
      <c r="L810" t="s">
        <v>663</v>
      </c>
      <c r="M810" t="s">
        <v>1705</v>
      </c>
      <c r="N810" t="s">
        <v>695</v>
      </c>
      <c r="O810" t="s">
        <v>358</v>
      </c>
      <c r="P810" t="s">
        <v>136</v>
      </c>
      <c r="Q810" t="s">
        <v>921</v>
      </c>
      <c r="R810" t="s">
        <v>3836</v>
      </c>
      <c r="S810" t="s">
        <v>97</v>
      </c>
      <c r="T810" t="s">
        <v>92</v>
      </c>
      <c r="U810" t="s">
        <v>98</v>
      </c>
      <c r="V810" t="s">
        <v>79</v>
      </c>
    </row>
    <row r="811" spans="1:22" x14ac:dyDescent="0.3">
      <c r="A811" t="s">
        <v>3837</v>
      </c>
      <c r="B811" t="s">
        <v>2443</v>
      </c>
      <c r="C811" t="s">
        <v>2444</v>
      </c>
      <c r="D811" t="s">
        <v>1375</v>
      </c>
      <c r="E811" t="s">
        <v>780</v>
      </c>
      <c r="F811" t="s">
        <v>282</v>
      </c>
      <c r="G811" t="s">
        <v>213</v>
      </c>
      <c r="H811" t="s">
        <v>104</v>
      </c>
      <c r="I811" t="s">
        <v>69</v>
      </c>
      <c r="J811" t="s">
        <v>70</v>
      </c>
      <c r="K811" t="s">
        <v>71</v>
      </c>
      <c r="L811" t="s">
        <v>119</v>
      </c>
      <c r="M811" t="s">
        <v>2609</v>
      </c>
      <c r="N811" t="s">
        <v>1230</v>
      </c>
      <c r="O811" t="s">
        <v>3838</v>
      </c>
      <c r="P811" t="s">
        <v>232</v>
      </c>
      <c r="Q811" t="s">
        <v>3165</v>
      </c>
      <c r="R811" t="s">
        <v>3839</v>
      </c>
      <c r="S811" t="s">
        <v>79</v>
      </c>
      <c r="T811" t="s">
        <v>573</v>
      </c>
      <c r="U811" t="s">
        <v>744</v>
      </c>
      <c r="V811" t="s">
        <v>79</v>
      </c>
    </row>
    <row r="812" spans="1:22" x14ac:dyDescent="0.3">
      <c r="A812" t="s">
        <v>3840</v>
      </c>
      <c r="B812" t="s">
        <v>210</v>
      </c>
      <c r="C812" t="s">
        <v>211</v>
      </c>
      <c r="D812" t="s">
        <v>64</v>
      </c>
      <c r="E812" t="s">
        <v>161</v>
      </c>
      <c r="F812" t="s">
        <v>161</v>
      </c>
      <c r="G812" t="s">
        <v>118</v>
      </c>
      <c r="H812" t="s">
        <v>268</v>
      </c>
      <c r="I812" t="s">
        <v>69</v>
      </c>
      <c r="J812" t="s">
        <v>70</v>
      </c>
      <c r="K812" t="s">
        <v>31</v>
      </c>
      <c r="L812" t="s">
        <v>362</v>
      </c>
      <c r="M812" t="s">
        <v>1128</v>
      </c>
      <c r="N812" t="s">
        <v>276</v>
      </c>
      <c r="O812" t="s">
        <v>1114</v>
      </c>
      <c r="P812" t="s">
        <v>2378</v>
      </c>
      <c r="Q812" t="s">
        <v>2629</v>
      </c>
      <c r="R812" t="s">
        <v>3841</v>
      </c>
      <c r="S812" t="s">
        <v>182</v>
      </c>
      <c r="T812" t="s">
        <v>567</v>
      </c>
      <c r="U812" t="s">
        <v>41</v>
      </c>
      <c r="V812" t="s">
        <v>114</v>
      </c>
    </row>
    <row r="813" spans="1:22" x14ac:dyDescent="0.3">
      <c r="A813" t="s">
        <v>3842</v>
      </c>
      <c r="B813" t="s">
        <v>860</v>
      </c>
      <c r="C813" t="s">
        <v>861</v>
      </c>
      <c r="D813" t="s">
        <v>2170</v>
      </c>
      <c r="E813" t="s">
        <v>47</v>
      </c>
      <c r="F813" t="s">
        <v>26</v>
      </c>
      <c r="G813" t="s">
        <v>213</v>
      </c>
      <c r="H813" t="s">
        <v>28</v>
      </c>
      <c r="I813" t="s">
        <v>29</v>
      </c>
      <c r="J813" t="s">
        <v>30</v>
      </c>
      <c r="K813" t="s">
        <v>200</v>
      </c>
      <c r="L813" t="s">
        <v>598</v>
      </c>
      <c r="M813" t="s">
        <v>1844</v>
      </c>
      <c r="N813" t="s">
        <v>751</v>
      </c>
      <c r="O813" t="s">
        <v>1604</v>
      </c>
      <c r="P813" t="s">
        <v>506</v>
      </c>
      <c r="Q813" t="s">
        <v>985</v>
      </c>
      <c r="R813" t="s">
        <v>3843</v>
      </c>
      <c r="S813" t="s">
        <v>79</v>
      </c>
      <c r="T813" t="s">
        <v>613</v>
      </c>
      <c r="U813" t="s">
        <v>394</v>
      </c>
      <c r="V813" t="s">
        <v>114</v>
      </c>
    </row>
    <row r="814" spans="1:22" x14ac:dyDescent="0.3">
      <c r="A814" t="s">
        <v>3844</v>
      </c>
      <c r="B814" t="s">
        <v>2856</v>
      </c>
      <c r="C814" t="s">
        <v>2857</v>
      </c>
      <c r="D814" t="s">
        <v>1497</v>
      </c>
      <c r="E814" t="s">
        <v>160</v>
      </c>
      <c r="F814" t="s">
        <v>161</v>
      </c>
      <c r="G814" t="s">
        <v>118</v>
      </c>
      <c r="H814" t="s">
        <v>88</v>
      </c>
      <c r="I814" t="s">
        <v>69</v>
      </c>
      <c r="J814" t="s">
        <v>257</v>
      </c>
      <c r="K814" t="s">
        <v>245</v>
      </c>
      <c r="L814" t="s">
        <v>682</v>
      </c>
      <c r="M814" t="s">
        <v>3763</v>
      </c>
      <c r="N814" t="s">
        <v>179</v>
      </c>
      <c r="O814" t="s">
        <v>3763</v>
      </c>
      <c r="P814" t="s">
        <v>2193</v>
      </c>
      <c r="Q814" t="s">
        <v>665</v>
      </c>
      <c r="R814" t="s">
        <v>3845</v>
      </c>
      <c r="S814" t="s">
        <v>58</v>
      </c>
      <c r="T814" t="s">
        <v>986</v>
      </c>
      <c r="U814" t="s">
        <v>155</v>
      </c>
      <c r="V814" t="s">
        <v>114</v>
      </c>
    </row>
    <row r="815" spans="1:22" x14ac:dyDescent="0.3">
      <c r="A815" t="s">
        <v>3846</v>
      </c>
      <c r="B815" t="s">
        <v>586</v>
      </c>
      <c r="C815" t="s">
        <v>587</v>
      </c>
      <c r="D815" t="s">
        <v>3277</v>
      </c>
      <c r="E815" t="s">
        <v>243</v>
      </c>
      <c r="F815" t="s">
        <v>244</v>
      </c>
      <c r="G815" t="s">
        <v>48</v>
      </c>
      <c r="H815" t="s">
        <v>68</v>
      </c>
      <c r="I815" t="s">
        <v>69</v>
      </c>
      <c r="J815" t="s">
        <v>30</v>
      </c>
      <c r="K815" t="s">
        <v>89</v>
      </c>
      <c r="L815" t="s">
        <v>1987</v>
      </c>
      <c r="M815" t="s">
        <v>3847</v>
      </c>
      <c r="N815" t="s">
        <v>440</v>
      </c>
      <c r="O815" t="s">
        <v>1990</v>
      </c>
      <c r="P815" t="s">
        <v>619</v>
      </c>
      <c r="Q815" t="s">
        <v>2125</v>
      </c>
      <c r="R815" t="s">
        <v>3848</v>
      </c>
      <c r="S815" t="s">
        <v>58</v>
      </c>
      <c r="T815" t="s">
        <v>648</v>
      </c>
      <c r="U815" t="s">
        <v>349</v>
      </c>
      <c r="V815" t="s">
        <v>42</v>
      </c>
    </row>
    <row r="816" spans="1:22" x14ac:dyDescent="0.3">
      <c r="A816" t="s">
        <v>3849</v>
      </c>
      <c r="B816" t="s">
        <v>2928</v>
      </c>
      <c r="C816" t="s">
        <v>2929</v>
      </c>
      <c r="D816" t="s">
        <v>3664</v>
      </c>
      <c r="E816" t="s">
        <v>176</v>
      </c>
      <c r="F816" t="s">
        <v>161</v>
      </c>
      <c r="G816" t="s">
        <v>67</v>
      </c>
      <c r="H816" t="s">
        <v>28</v>
      </c>
      <c r="I816" t="s">
        <v>69</v>
      </c>
      <c r="J816" t="s">
        <v>162</v>
      </c>
      <c r="K816" t="s">
        <v>71</v>
      </c>
      <c r="L816" t="s">
        <v>72</v>
      </c>
      <c r="M816" t="s">
        <v>992</v>
      </c>
      <c r="N816" t="s">
        <v>179</v>
      </c>
      <c r="O816" t="s">
        <v>992</v>
      </c>
      <c r="P816" t="s">
        <v>2319</v>
      </c>
      <c r="Q816" t="s">
        <v>319</v>
      </c>
      <c r="R816" t="s">
        <v>3850</v>
      </c>
      <c r="S816" t="s">
        <v>58</v>
      </c>
      <c r="T816" t="s">
        <v>735</v>
      </c>
      <c r="U816" t="s">
        <v>373</v>
      </c>
      <c r="V816" t="s">
        <v>58</v>
      </c>
    </row>
    <row r="817" spans="1:22" x14ac:dyDescent="0.3">
      <c r="A817" t="s">
        <v>3851</v>
      </c>
      <c r="B817" t="s">
        <v>1343</v>
      </c>
      <c r="C817" t="s">
        <v>1344</v>
      </c>
      <c r="D817" t="s">
        <v>1470</v>
      </c>
      <c r="E817" t="s">
        <v>65</v>
      </c>
      <c r="F817" t="s">
        <v>66</v>
      </c>
      <c r="G817" t="s">
        <v>213</v>
      </c>
      <c r="H817" t="s">
        <v>28</v>
      </c>
      <c r="I817" t="s">
        <v>69</v>
      </c>
      <c r="J817" t="s">
        <v>30</v>
      </c>
      <c r="K817" t="s">
        <v>215</v>
      </c>
      <c r="L817" t="s">
        <v>598</v>
      </c>
      <c r="M817" t="s">
        <v>1449</v>
      </c>
      <c r="N817" t="s">
        <v>179</v>
      </c>
      <c r="O817" t="s">
        <v>1449</v>
      </c>
      <c r="P817" t="s">
        <v>2449</v>
      </c>
      <c r="Q817" t="s">
        <v>206</v>
      </c>
      <c r="R817" t="s">
        <v>3852</v>
      </c>
      <c r="S817" t="s">
        <v>58</v>
      </c>
      <c r="T817" t="s">
        <v>655</v>
      </c>
      <c r="U817" t="s">
        <v>98</v>
      </c>
      <c r="V817" t="s">
        <v>114</v>
      </c>
    </row>
    <row r="818" spans="1:22" x14ac:dyDescent="0.3">
      <c r="A818" t="s">
        <v>3853</v>
      </c>
      <c r="B818" t="s">
        <v>3854</v>
      </c>
      <c r="C818" t="s">
        <v>3855</v>
      </c>
      <c r="D818" t="s">
        <v>1626</v>
      </c>
      <c r="E818" t="s">
        <v>780</v>
      </c>
      <c r="F818" t="s">
        <v>282</v>
      </c>
      <c r="G818" t="s">
        <v>27</v>
      </c>
      <c r="H818" t="s">
        <v>88</v>
      </c>
      <c r="I818" t="s">
        <v>69</v>
      </c>
      <c r="J818" t="s">
        <v>70</v>
      </c>
      <c r="K818" t="s">
        <v>200</v>
      </c>
      <c r="L818" t="s">
        <v>663</v>
      </c>
      <c r="M818" t="s">
        <v>2143</v>
      </c>
      <c r="N818" t="s">
        <v>655</v>
      </c>
      <c r="O818" t="s">
        <v>1402</v>
      </c>
      <c r="P818" t="s">
        <v>544</v>
      </c>
      <c r="Q818" t="s">
        <v>1569</v>
      </c>
      <c r="R818" t="s">
        <v>3856</v>
      </c>
      <c r="S818" t="s">
        <v>182</v>
      </c>
      <c r="T818" t="s">
        <v>448</v>
      </c>
      <c r="U818" t="s">
        <v>867</v>
      </c>
      <c r="V818" t="s">
        <v>82</v>
      </c>
    </row>
    <row r="819" spans="1:22" x14ac:dyDescent="0.3">
      <c r="A819" t="s">
        <v>3857</v>
      </c>
      <c r="B819" t="s">
        <v>3300</v>
      </c>
      <c r="C819" t="s">
        <v>3301</v>
      </c>
      <c r="D819" t="s">
        <v>964</v>
      </c>
      <c r="E819" t="s">
        <v>161</v>
      </c>
      <c r="F819" t="s">
        <v>161</v>
      </c>
      <c r="G819" t="s">
        <v>103</v>
      </c>
      <c r="H819" t="s">
        <v>104</v>
      </c>
      <c r="I819" t="s">
        <v>69</v>
      </c>
      <c r="J819" t="s">
        <v>257</v>
      </c>
      <c r="K819" t="s">
        <v>50</v>
      </c>
      <c r="L819" t="s">
        <v>51</v>
      </c>
      <c r="M819" t="s">
        <v>76</v>
      </c>
      <c r="N819" t="s">
        <v>770</v>
      </c>
      <c r="O819" t="s">
        <v>347</v>
      </c>
      <c r="P819" t="s">
        <v>742</v>
      </c>
      <c r="Q819" t="s">
        <v>74</v>
      </c>
      <c r="R819" t="s">
        <v>1129</v>
      </c>
      <c r="S819" t="s">
        <v>182</v>
      </c>
      <c r="T819" t="s">
        <v>543</v>
      </c>
      <c r="U819" t="s">
        <v>300</v>
      </c>
      <c r="V819" t="s">
        <v>58</v>
      </c>
    </row>
    <row r="820" spans="1:22" x14ac:dyDescent="0.3">
      <c r="A820" t="s">
        <v>3858</v>
      </c>
      <c r="B820" t="s">
        <v>2915</v>
      </c>
      <c r="C820" t="s">
        <v>2916</v>
      </c>
      <c r="D820" t="s">
        <v>3831</v>
      </c>
      <c r="E820" t="s">
        <v>267</v>
      </c>
      <c r="F820" t="s">
        <v>66</v>
      </c>
      <c r="G820" t="s">
        <v>67</v>
      </c>
      <c r="H820" t="s">
        <v>49</v>
      </c>
      <c r="I820" t="s">
        <v>69</v>
      </c>
      <c r="J820" t="s">
        <v>30</v>
      </c>
      <c r="K820" t="s">
        <v>71</v>
      </c>
      <c r="L820" t="s">
        <v>51</v>
      </c>
      <c r="M820" t="s">
        <v>1235</v>
      </c>
      <c r="N820" t="s">
        <v>179</v>
      </c>
      <c r="O820" t="s">
        <v>1235</v>
      </c>
      <c r="P820" t="s">
        <v>106</v>
      </c>
      <c r="Q820" t="s">
        <v>1826</v>
      </c>
      <c r="R820" t="s">
        <v>3859</v>
      </c>
      <c r="S820" t="s">
        <v>126</v>
      </c>
      <c r="T820" t="s">
        <v>37</v>
      </c>
      <c r="U820" t="s">
        <v>423</v>
      </c>
      <c r="V820" t="s">
        <v>79</v>
      </c>
    </row>
    <row r="821" spans="1:22" x14ac:dyDescent="0.3">
      <c r="A821" t="s">
        <v>3860</v>
      </c>
      <c r="B821" t="s">
        <v>1046</v>
      </c>
      <c r="C821" t="s">
        <v>1047</v>
      </c>
      <c r="D821" t="s">
        <v>1182</v>
      </c>
      <c r="E821" t="s">
        <v>87</v>
      </c>
      <c r="F821" t="s">
        <v>26</v>
      </c>
      <c r="G821" t="s">
        <v>27</v>
      </c>
      <c r="H821" t="s">
        <v>88</v>
      </c>
      <c r="I821" t="s">
        <v>69</v>
      </c>
      <c r="J821" t="s">
        <v>30</v>
      </c>
      <c r="K821" t="s">
        <v>215</v>
      </c>
      <c r="L821" t="s">
        <v>682</v>
      </c>
      <c r="M821" t="s">
        <v>2061</v>
      </c>
      <c r="N821" t="s">
        <v>602</v>
      </c>
      <c r="O821" t="s">
        <v>3861</v>
      </c>
      <c r="P821" t="s">
        <v>526</v>
      </c>
      <c r="Q821" t="s">
        <v>179</v>
      </c>
      <c r="R821" t="s">
        <v>179</v>
      </c>
      <c r="S821" t="s">
        <v>97</v>
      </c>
      <c r="T821" t="s">
        <v>80</v>
      </c>
      <c r="U821" t="s">
        <v>362</v>
      </c>
      <c r="V821" t="s">
        <v>42</v>
      </c>
    </row>
    <row r="822" spans="1:22" x14ac:dyDescent="0.3">
      <c r="A822" t="s">
        <v>3862</v>
      </c>
      <c r="B822" t="s">
        <v>3863</v>
      </c>
      <c r="C822" t="s">
        <v>3864</v>
      </c>
      <c r="D822" t="s">
        <v>3640</v>
      </c>
      <c r="E822" t="s">
        <v>282</v>
      </c>
      <c r="F822" t="s">
        <v>282</v>
      </c>
      <c r="G822" t="s">
        <v>103</v>
      </c>
      <c r="H822" t="s">
        <v>229</v>
      </c>
      <c r="I822" t="s">
        <v>29</v>
      </c>
      <c r="J822" t="s">
        <v>30</v>
      </c>
      <c r="K822" t="s">
        <v>293</v>
      </c>
      <c r="L822" t="s">
        <v>927</v>
      </c>
      <c r="M822" t="s">
        <v>220</v>
      </c>
      <c r="N822" t="s">
        <v>237</v>
      </c>
      <c r="O822" t="s">
        <v>620</v>
      </c>
      <c r="P822" t="s">
        <v>2440</v>
      </c>
      <c r="Q822" t="s">
        <v>1162</v>
      </c>
      <c r="R822" t="s">
        <v>3865</v>
      </c>
      <c r="S822" t="s">
        <v>126</v>
      </c>
      <c r="T822" t="s">
        <v>751</v>
      </c>
      <c r="U822" t="s">
        <v>41</v>
      </c>
      <c r="V822" t="s">
        <v>82</v>
      </c>
    </row>
    <row r="823" spans="1:22" x14ac:dyDescent="0.3">
      <c r="A823" t="s">
        <v>3866</v>
      </c>
      <c r="B823" t="s">
        <v>3867</v>
      </c>
      <c r="C823" t="s">
        <v>3868</v>
      </c>
      <c r="D823" t="s">
        <v>3624</v>
      </c>
      <c r="E823" t="s">
        <v>228</v>
      </c>
      <c r="F823" t="s">
        <v>228</v>
      </c>
      <c r="G823" t="s">
        <v>118</v>
      </c>
      <c r="H823" t="s">
        <v>49</v>
      </c>
      <c r="I823" t="s">
        <v>69</v>
      </c>
      <c r="J823" t="s">
        <v>70</v>
      </c>
      <c r="K823" t="s">
        <v>50</v>
      </c>
      <c r="L823" t="s">
        <v>812</v>
      </c>
      <c r="M823" t="s">
        <v>106</v>
      </c>
      <c r="N823" t="s">
        <v>321</v>
      </c>
      <c r="O823" t="s">
        <v>411</v>
      </c>
      <c r="P823" t="s">
        <v>404</v>
      </c>
      <c r="Q823" t="s">
        <v>271</v>
      </c>
      <c r="R823" t="s">
        <v>3869</v>
      </c>
      <c r="S823" t="s">
        <v>126</v>
      </c>
      <c r="T823" t="s">
        <v>710</v>
      </c>
      <c r="U823" t="s">
        <v>407</v>
      </c>
      <c r="V823" t="s">
        <v>79</v>
      </c>
    </row>
    <row r="824" spans="1:22" x14ac:dyDescent="0.3">
      <c r="A824" t="s">
        <v>3870</v>
      </c>
      <c r="B824" t="s">
        <v>3871</v>
      </c>
      <c r="C824" t="s">
        <v>3872</v>
      </c>
      <c r="D824" t="s">
        <v>3873</v>
      </c>
      <c r="E824" t="s">
        <v>26</v>
      </c>
      <c r="F824" t="s">
        <v>26</v>
      </c>
      <c r="G824" t="s">
        <v>27</v>
      </c>
      <c r="H824" t="s">
        <v>88</v>
      </c>
      <c r="I824" t="s">
        <v>29</v>
      </c>
      <c r="J824" t="s">
        <v>70</v>
      </c>
      <c r="K824" t="s">
        <v>200</v>
      </c>
      <c r="L824" t="s">
        <v>72</v>
      </c>
      <c r="M824" t="s">
        <v>2285</v>
      </c>
      <c r="N824" t="s">
        <v>150</v>
      </c>
      <c r="O824" t="s">
        <v>403</v>
      </c>
      <c r="P824" t="s">
        <v>506</v>
      </c>
      <c r="Q824" t="s">
        <v>1222</v>
      </c>
      <c r="R824" t="s">
        <v>3052</v>
      </c>
      <c r="S824" t="s">
        <v>58</v>
      </c>
      <c r="T824" t="s">
        <v>170</v>
      </c>
      <c r="U824" t="s">
        <v>98</v>
      </c>
      <c r="V824" t="s">
        <v>114</v>
      </c>
    </row>
    <row r="825" spans="1:22" x14ac:dyDescent="0.3">
      <c r="A825" t="s">
        <v>3874</v>
      </c>
      <c r="B825" t="s">
        <v>1630</v>
      </c>
      <c r="C825" t="s">
        <v>1631</v>
      </c>
      <c r="D825" t="s">
        <v>2666</v>
      </c>
      <c r="E825" t="s">
        <v>378</v>
      </c>
      <c r="F825" t="s">
        <v>282</v>
      </c>
      <c r="G825" t="s">
        <v>48</v>
      </c>
      <c r="H825" t="s">
        <v>28</v>
      </c>
      <c r="I825" t="s">
        <v>29</v>
      </c>
      <c r="J825" t="s">
        <v>30</v>
      </c>
      <c r="K825" t="s">
        <v>89</v>
      </c>
      <c r="L825" t="s">
        <v>177</v>
      </c>
      <c r="M825" t="s">
        <v>930</v>
      </c>
      <c r="N825" t="s">
        <v>179</v>
      </c>
      <c r="O825" t="s">
        <v>930</v>
      </c>
      <c r="P825" t="s">
        <v>75</v>
      </c>
      <c r="Q825" t="s">
        <v>1744</v>
      </c>
      <c r="R825" t="s">
        <v>3875</v>
      </c>
      <c r="S825" t="s">
        <v>126</v>
      </c>
      <c r="T825" t="s">
        <v>1694</v>
      </c>
      <c r="U825" t="s">
        <v>171</v>
      </c>
      <c r="V825" t="s">
        <v>58</v>
      </c>
    </row>
    <row r="826" spans="1:22" x14ac:dyDescent="0.3">
      <c r="A826" t="s">
        <v>3876</v>
      </c>
      <c r="B826" t="s">
        <v>1512</v>
      </c>
      <c r="C826" t="s">
        <v>1513</v>
      </c>
      <c r="D826" t="s">
        <v>1714</v>
      </c>
      <c r="E826" t="s">
        <v>780</v>
      </c>
      <c r="F826" t="s">
        <v>282</v>
      </c>
      <c r="G826" t="s">
        <v>48</v>
      </c>
      <c r="H826" t="s">
        <v>68</v>
      </c>
      <c r="I826" t="s">
        <v>69</v>
      </c>
      <c r="J826" t="s">
        <v>70</v>
      </c>
      <c r="K826" t="s">
        <v>245</v>
      </c>
      <c r="L826" t="s">
        <v>201</v>
      </c>
      <c r="M826" t="s">
        <v>3877</v>
      </c>
      <c r="N826" t="s">
        <v>168</v>
      </c>
      <c r="O826" t="s">
        <v>3878</v>
      </c>
      <c r="P826" t="s">
        <v>2036</v>
      </c>
      <c r="Q826" t="s">
        <v>2982</v>
      </c>
      <c r="R826" t="s">
        <v>3879</v>
      </c>
      <c r="S826" t="s">
        <v>79</v>
      </c>
      <c r="T826" t="s">
        <v>1665</v>
      </c>
      <c r="U826" t="s">
        <v>362</v>
      </c>
      <c r="V826" t="s">
        <v>58</v>
      </c>
    </row>
    <row r="827" spans="1:22" x14ac:dyDescent="0.3">
      <c r="A827" t="s">
        <v>3880</v>
      </c>
      <c r="B827" t="s">
        <v>660</v>
      </c>
      <c r="C827" t="s">
        <v>661</v>
      </c>
      <c r="D827" t="s">
        <v>3873</v>
      </c>
      <c r="E827" t="s">
        <v>228</v>
      </c>
      <c r="F827" t="s">
        <v>228</v>
      </c>
      <c r="G827" t="s">
        <v>103</v>
      </c>
      <c r="H827" t="s">
        <v>214</v>
      </c>
      <c r="I827" t="s">
        <v>69</v>
      </c>
      <c r="J827" t="s">
        <v>30</v>
      </c>
      <c r="K827" t="s">
        <v>245</v>
      </c>
      <c r="L827" t="s">
        <v>1139</v>
      </c>
      <c r="M827" t="s">
        <v>3881</v>
      </c>
      <c r="N827" t="s">
        <v>735</v>
      </c>
      <c r="O827" t="s">
        <v>2660</v>
      </c>
      <c r="P827" t="s">
        <v>1604</v>
      </c>
      <c r="Q827" t="s">
        <v>666</v>
      </c>
      <c r="R827" t="s">
        <v>3882</v>
      </c>
      <c r="S827" t="s">
        <v>58</v>
      </c>
      <c r="T827" t="s">
        <v>328</v>
      </c>
      <c r="U827" t="s">
        <v>568</v>
      </c>
      <c r="V827" t="s">
        <v>42</v>
      </c>
    </row>
    <row r="828" spans="1:22" x14ac:dyDescent="0.3">
      <c r="A828" t="s">
        <v>3883</v>
      </c>
      <c r="B828" t="s">
        <v>1708</v>
      </c>
      <c r="C828" t="s">
        <v>1709</v>
      </c>
      <c r="D828" t="s">
        <v>1207</v>
      </c>
      <c r="E828" t="s">
        <v>1321</v>
      </c>
      <c r="F828" t="s">
        <v>228</v>
      </c>
      <c r="G828" t="s">
        <v>27</v>
      </c>
      <c r="H828" t="s">
        <v>104</v>
      </c>
      <c r="I828" t="s">
        <v>69</v>
      </c>
      <c r="J828" t="s">
        <v>30</v>
      </c>
      <c r="K828" t="s">
        <v>89</v>
      </c>
      <c r="L828" t="s">
        <v>258</v>
      </c>
      <c r="M828" t="s">
        <v>1336</v>
      </c>
      <c r="N828" t="s">
        <v>583</v>
      </c>
      <c r="O828" t="s">
        <v>873</v>
      </c>
      <c r="P828" t="s">
        <v>949</v>
      </c>
      <c r="Q828" t="s">
        <v>1096</v>
      </c>
      <c r="R828" t="s">
        <v>3884</v>
      </c>
      <c r="S828" t="s">
        <v>126</v>
      </c>
      <c r="T828" t="s">
        <v>92</v>
      </c>
      <c r="U828" t="s">
        <v>155</v>
      </c>
      <c r="V828" t="s">
        <v>58</v>
      </c>
    </row>
    <row r="829" spans="1:22" x14ac:dyDescent="0.3">
      <c r="A829" t="s">
        <v>3885</v>
      </c>
      <c r="B829" t="s">
        <v>1298</v>
      </c>
      <c r="C829" t="s">
        <v>1299</v>
      </c>
      <c r="D829" t="s">
        <v>3886</v>
      </c>
      <c r="E829" t="s">
        <v>65</v>
      </c>
      <c r="F829" t="s">
        <v>66</v>
      </c>
      <c r="G829" t="s">
        <v>118</v>
      </c>
      <c r="H829" t="s">
        <v>268</v>
      </c>
      <c r="I829" t="s">
        <v>29</v>
      </c>
      <c r="J829" t="s">
        <v>30</v>
      </c>
      <c r="K829" t="s">
        <v>71</v>
      </c>
      <c r="L829" t="s">
        <v>72</v>
      </c>
      <c r="M829" t="s">
        <v>249</v>
      </c>
      <c r="N829" t="s">
        <v>567</v>
      </c>
      <c r="O829" t="s">
        <v>1414</v>
      </c>
      <c r="P829" t="s">
        <v>235</v>
      </c>
      <c r="Q829" t="s">
        <v>3012</v>
      </c>
      <c r="R829" t="s">
        <v>3327</v>
      </c>
      <c r="S829" t="s">
        <v>126</v>
      </c>
      <c r="T829" t="s">
        <v>321</v>
      </c>
      <c r="U829" t="s">
        <v>128</v>
      </c>
      <c r="V829" t="s">
        <v>79</v>
      </c>
    </row>
    <row r="830" spans="1:22" x14ac:dyDescent="0.3">
      <c r="A830" t="s">
        <v>3887</v>
      </c>
      <c r="B830" t="s">
        <v>2697</v>
      </c>
      <c r="C830" t="s">
        <v>2698</v>
      </c>
      <c r="D830" t="s">
        <v>3888</v>
      </c>
      <c r="E830" t="s">
        <v>672</v>
      </c>
      <c r="F830" t="s">
        <v>244</v>
      </c>
      <c r="G830" t="s">
        <v>147</v>
      </c>
      <c r="H830" t="s">
        <v>268</v>
      </c>
      <c r="I830" t="s">
        <v>69</v>
      </c>
      <c r="J830" t="s">
        <v>70</v>
      </c>
      <c r="K830" t="s">
        <v>71</v>
      </c>
      <c r="L830" t="s">
        <v>258</v>
      </c>
      <c r="M830" t="s">
        <v>1248</v>
      </c>
      <c r="N830" t="s">
        <v>543</v>
      </c>
      <c r="O830" t="s">
        <v>2401</v>
      </c>
      <c r="P830" t="s">
        <v>2824</v>
      </c>
      <c r="Q830" t="s">
        <v>344</v>
      </c>
      <c r="R830" t="s">
        <v>3585</v>
      </c>
      <c r="S830" t="s">
        <v>126</v>
      </c>
      <c r="T830" t="s">
        <v>121</v>
      </c>
      <c r="U830" t="s">
        <v>407</v>
      </c>
      <c r="V830" t="s">
        <v>114</v>
      </c>
    </row>
    <row r="831" spans="1:22" x14ac:dyDescent="0.3">
      <c r="A831" t="s">
        <v>3889</v>
      </c>
      <c r="B831" t="s">
        <v>3890</v>
      </c>
      <c r="C831" t="s">
        <v>3891</v>
      </c>
      <c r="D831" t="s">
        <v>1799</v>
      </c>
      <c r="E831" t="s">
        <v>634</v>
      </c>
      <c r="F831" t="s">
        <v>228</v>
      </c>
      <c r="G831" t="s">
        <v>27</v>
      </c>
      <c r="H831" t="s">
        <v>88</v>
      </c>
      <c r="I831" t="s">
        <v>69</v>
      </c>
      <c r="J831" t="s">
        <v>30</v>
      </c>
      <c r="K831" t="s">
        <v>293</v>
      </c>
      <c r="L831" t="s">
        <v>201</v>
      </c>
      <c r="M831" t="s">
        <v>1170</v>
      </c>
      <c r="N831" t="s">
        <v>499</v>
      </c>
      <c r="O831" t="s">
        <v>2061</v>
      </c>
      <c r="P831" t="s">
        <v>774</v>
      </c>
      <c r="Q831" t="s">
        <v>1011</v>
      </c>
      <c r="R831" t="s">
        <v>3892</v>
      </c>
      <c r="S831" t="s">
        <v>58</v>
      </c>
      <c r="T831" t="s">
        <v>165</v>
      </c>
      <c r="U831" t="s">
        <v>385</v>
      </c>
      <c r="V831" t="s">
        <v>79</v>
      </c>
    </row>
    <row r="832" spans="1:22" x14ac:dyDescent="0.3">
      <c r="A832" t="s">
        <v>3893</v>
      </c>
      <c r="B832" t="s">
        <v>3537</v>
      </c>
      <c r="C832" t="s">
        <v>3538</v>
      </c>
      <c r="D832" t="s">
        <v>2996</v>
      </c>
      <c r="E832" t="s">
        <v>65</v>
      </c>
      <c r="F832" t="s">
        <v>66</v>
      </c>
      <c r="G832" t="s">
        <v>213</v>
      </c>
      <c r="H832" t="s">
        <v>68</v>
      </c>
      <c r="I832" t="s">
        <v>69</v>
      </c>
      <c r="J832" t="s">
        <v>70</v>
      </c>
      <c r="K832" t="s">
        <v>215</v>
      </c>
      <c r="L832" t="s">
        <v>682</v>
      </c>
      <c r="M832" t="s">
        <v>1725</v>
      </c>
      <c r="N832" t="s">
        <v>1224</v>
      </c>
      <c r="O832" t="s">
        <v>805</v>
      </c>
      <c r="P832" t="s">
        <v>565</v>
      </c>
      <c r="Q832" t="s">
        <v>150</v>
      </c>
      <c r="R832" t="s">
        <v>3894</v>
      </c>
      <c r="S832" t="s">
        <v>182</v>
      </c>
      <c r="T832" t="s">
        <v>165</v>
      </c>
      <c r="U832" t="s">
        <v>423</v>
      </c>
      <c r="V832" t="s">
        <v>79</v>
      </c>
    </row>
    <row r="833" spans="1:22" x14ac:dyDescent="0.3">
      <c r="A833" t="s">
        <v>3895</v>
      </c>
      <c r="B833" t="s">
        <v>3509</v>
      </c>
      <c r="C833" t="s">
        <v>3510</v>
      </c>
      <c r="D833" t="s">
        <v>1923</v>
      </c>
      <c r="E833" t="s">
        <v>780</v>
      </c>
      <c r="F833" t="s">
        <v>282</v>
      </c>
      <c r="G833" t="s">
        <v>27</v>
      </c>
      <c r="H833" t="s">
        <v>28</v>
      </c>
      <c r="I833" t="s">
        <v>69</v>
      </c>
      <c r="J833" t="s">
        <v>162</v>
      </c>
      <c r="K833" t="s">
        <v>71</v>
      </c>
      <c r="L833" t="s">
        <v>466</v>
      </c>
      <c r="M833" t="s">
        <v>750</v>
      </c>
      <c r="N833" t="s">
        <v>179</v>
      </c>
      <c r="O833" t="s">
        <v>750</v>
      </c>
      <c r="P833" t="s">
        <v>1485</v>
      </c>
      <c r="Q833" t="s">
        <v>553</v>
      </c>
      <c r="R833" t="s">
        <v>3896</v>
      </c>
      <c r="S833" t="s">
        <v>58</v>
      </c>
      <c r="T833" t="s">
        <v>121</v>
      </c>
      <c r="U833" t="s">
        <v>385</v>
      </c>
      <c r="V833" t="s">
        <v>114</v>
      </c>
    </row>
    <row r="834" spans="1:22" x14ac:dyDescent="0.3">
      <c r="A834" t="s">
        <v>3897</v>
      </c>
      <c r="B834" t="s">
        <v>1166</v>
      </c>
      <c r="C834" t="s">
        <v>1167</v>
      </c>
      <c r="D834" t="s">
        <v>341</v>
      </c>
      <c r="E834" t="s">
        <v>161</v>
      </c>
      <c r="F834" t="s">
        <v>161</v>
      </c>
      <c r="G834" t="s">
        <v>67</v>
      </c>
      <c r="H834" t="s">
        <v>104</v>
      </c>
      <c r="I834" t="s">
        <v>69</v>
      </c>
      <c r="J834" t="s">
        <v>257</v>
      </c>
      <c r="K834" t="s">
        <v>293</v>
      </c>
      <c r="L834" t="s">
        <v>258</v>
      </c>
      <c r="M834" t="s">
        <v>1982</v>
      </c>
      <c r="N834" t="s">
        <v>1013</v>
      </c>
      <c r="O834" t="s">
        <v>94</v>
      </c>
      <c r="P834" t="s">
        <v>2501</v>
      </c>
      <c r="Q834" t="s">
        <v>714</v>
      </c>
      <c r="R834" t="s">
        <v>3898</v>
      </c>
      <c r="S834" t="s">
        <v>79</v>
      </c>
      <c r="T834" t="s">
        <v>567</v>
      </c>
      <c r="U834" t="s">
        <v>288</v>
      </c>
      <c r="V834" t="s">
        <v>42</v>
      </c>
    </row>
    <row r="835" spans="1:22" x14ac:dyDescent="0.3">
      <c r="A835" t="s">
        <v>3899</v>
      </c>
      <c r="B835" t="s">
        <v>454</v>
      </c>
      <c r="C835" t="s">
        <v>455</v>
      </c>
      <c r="D835" t="s">
        <v>2076</v>
      </c>
      <c r="E835" t="s">
        <v>66</v>
      </c>
      <c r="F835" t="s">
        <v>66</v>
      </c>
      <c r="G835" t="s">
        <v>103</v>
      </c>
      <c r="H835" t="s">
        <v>88</v>
      </c>
      <c r="I835" t="s">
        <v>69</v>
      </c>
      <c r="J835" t="s">
        <v>70</v>
      </c>
      <c r="K835" t="s">
        <v>89</v>
      </c>
      <c r="L835" t="s">
        <v>812</v>
      </c>
      <c r="M835" t="s">
        <v>3900</v>
      </c>
      <c r="N835" t="s">
        <v>966</v>
      </c>
      <c r="O835" t="s">
        <v>190</v>
      </c>
      <c r="P835" t="s">
        <v>2424</v>
      </c>
      <c r="Q835" t="s">
        <v>666</v>
      </c>
      <c r="R835" t="s">
        <v>3901</v>
      </c>
      <c r="S835" t="s">
        <v>182</v>
      </c>
      <c r="T835" t="s">
        <v>735</v>
      </c>
      <c r="U835" t="s">
        <v>362</v>
      </c>
      <c r="V835" t="s">
        <v>58</v>
      </c>
    </row>
    <row r="836" spans="1:22" x14ac:dyDescent="0.3">
      <c r="A836" t="s">
        <v>3902</v>
      </c>
      <c r="B836" t="s">
        <v>3903</v>
      </c>
      <c r="C836" t="s">
        <v>3904</v>
      </c>
      <c r="D836" t="s">
        <v>1294</v>
      </c>
      <c r="E836" t="s">
        <v>134</v>
      </c>
      <c r="F836" t="s">
        <v>134</v>
      </c>
      <c r="G836" t="s">
        <v>213</v>
      </c>
      <c r="H836" t="s">
        <v>88</v>
      </c>
      <c r="I836" t="s">
        <v>69</v>
      </c>
      <c r="J836" t="s">
        <v>162</v>
      </c>
      <c r="K836" t="s">
        <v>50</v>
      </c>
      <c r="L836" t="s">
        <v>105</v>
      </c>
      <c r="M836" t="s">
        <v>250</v>
      </c>
      <c r="N836" t="s">
        <v>782</v>
      </c>
      <c r="O836" t="s">
        <v>1254</v>
      </c>
      <c r="P836" t="s">
        <v>645</v>
      </c>
      <c r="Q836" t="s">
        <v>2125</v>
      </c>
      <c r="R836" t="s">
        <v>3905</v>
      </c>
      <c r="S836" t="s">
        <v>126</v>
      </c>
      <c r="T836" t="s">
        <v>1099</v>
      </c>
      <c r="U836" t="s">
        <v>98</v>
      </c>
      <c r="V836" t="s">
        <v>114</v>
      </c>
    </row>
    <row r="837" spans="1:22" x14ac:dyDescent="0.3">
      <c r="A837" t="s">
        <v>3906</v>
      </c>
      <c r="B837" t="s">
        <v>631</v>
      </c>
      <c r="C837" t="s">
        <v>632</v>
      </c>
      <c r="D837" t="s">
        <v>3552</v>
      </c>
      <c r="E837" t="s">
        <v>417</v>
      </c>
      <c r="F837" t="s">
        <v>134</v>
      </c>
      <c r="G837" t="s">
        <v>48</v>
      </c>
      <c r="H837" t="s">
        <v>88</v>
      </c>
      <c r="I837" t="s">
        <v>69</v>
      </c>
      <c r="J837" t="s">
        <v>30</v>
      </c>
      <c r="K837" t="s">
        <v>245</v>
      </c>
      <c r="L837" t="s">
        <v>105</v>
      </c>
      <c r="M837" t="s">
        <v>685</v>
      </c>
      <c r="N837" t="s">
        <v>308</v>
      </c>
      <c r="O837" t="s">
        <v>544</v>
      </c>
      <c r="P837" t="s">
        <v>1028</v>
      </c>
      <c r="Q837" t="s">
        <v>361</v>
      </c>
      <c r="R837" t="s">
        <v>3907</v>
      </c>
      <c r="S837" t="s">
        <v>58</v>
      </c>
      <c r="T837" t="s">
        <v>770</v>
      </c>
      <c r="U837" t="s">
        <v>128</v>
      </c>
      <c r="V837" t="s">
        <v>42</v>
      </c>
    </row>
    <row r="838" spans="1:22" x14ac:dyDescent="0.3">
      <c r="A838" t="s">
        <v>3908</v>
      </c>
      <c r="B838" t="s">
        <v>3342</v>
      </c>
      <c r="C838" t="s">
        <v>3343</v>
      </c>
      <c r="D838" t="s">
        <v>3909</v>
      </c>
      <c r="E838" t="s">
        <v>438</v>
      </c>
      <c r="F838" t="s">
        <v>188</v>
      </c>
      <c r="G838" t="s">
        <v>48</v>
      </c>
      <c r="H838" t="s">
        <v>268</v>
      </c>
      <c r="I838" t="s">
        <v>69</v>
      </c>
      <c r="J838" t="s">
        <v>30</v>
      </c>
      <c r="K838" t="s">
        <v>200</v>
      </c>
      <c r="L838" t="s">
        <v>2637</v>
      </c>
      <c r="M838" t="s">
        <v>1201</v>
      </c>
      <c r="N838" t="s">
        <v>648</v>
      </c>
      <c r="O838" t="s">
        <v>504</v>
      </c>
      <c r="P838" t="s">
        <v>2440</v>
      </c>
      <c r="Q838" t="s">
        <v>2262</v>
      </c>
      <c r="R838" t="s">
        <v>3910</v>
      </c>
      <c r="S838" t="s">
        <v>39</v>
      </c>
      <c r="T838" t="s">
        <v>724</v>
      </c>
      <c r="U838" t="s">
        <v>472</v>
      </c>
      <c r="V838" t="s">
        <v>42</v>
      </c>
    </row>
    <row r="839" spans="1:22" x14ac:dyDescent="0.3">
      <c r="A839" t="s">
        <v>3911</v>
      </c>
      <c r="B839" t="s">
        <v>2157</v>
      </c>
      <c r="C839" t="s">
        <v>2158</v>
      </c>
      <c r="D839" t="s">
        <v>3604</v>
      </c>
      <c r="E839" t="s">
        <v>87</v>
      </c>
      <c r="F839" t="s">
        <v>26</v>
      </c>
      <c r="G839" t="s">
        <v>27</v>
      </c>
      <c r="H839" t="s">
        <v>68</v>
      </c>
      <c r="I839" t="s">
        <v>69</v>
      </c>
      <c r="J839" t="s">
        <v>30</v>
      </c>
      <c r="K839" t="s">
        <v>230</v>
      </c>
      <c r="L839" t="s">
        <v>871</v>
      </c>
      <c r="M839" t="s">
        <v>674</v>
      </c>
      <c r="N839" t="s">
        <v>179</v>
      </c>
      <c r="O839" t="s">
        <v>3912</v>
      </c>
      <c r="P839" t="s">
        <v>692</v>
      </c>
      <c r="Q839" t="s">
        <v>1527</v>
      </c>
      <c r="R839" t="s">
        <v>3913</v>
      </c>
      <c r="S839" t="s">
        <v>126</v>
      </c>
      <c r="T839" t="s">
        <v>74</v>
      </c>
      <c r="U839" t="s">
        <v>362</v>
      </c>
      <c r="V839" t="s">
        <v>79</v>
      </c>
    </row>
    <row r="840" spans="1:22" x14ac:dyDescent="0.3">
      <c r="A840" t="s">
        <v>3914</v>
      </c>
      <c r="B840" t="s">
        <v>3915</v>
      </c>
      <c r="C840" t="s">
        <v>3916</v>
      </c>
      <c r="D840" t="s">
        <v>3643</v>
      </c>
      <c r="E840" t="s">
        <v>228</v>
      </c>
      <c r="F840" t="s">
        <v>228</v>
      </c>
      <c r="G840" t="s">
        <v>67</v>
      </c>
      <c r="H840" t="s">
        <v>28</v>
      </c>
      <c r="I840" t="s">
        <v>1073</v>
      </c>
      <c r="J840" t="s">
        <v>30</v>
      </c>
      <c r="K840" t="s">
        <v>215</v>
      </c>
      <c r="L840" t="s">
        <v>2637</v>
      </c>
      <c r="M840" t="s">
        <v>488</v>
      </c>
      <c r="N840" t="s">
        <v>34</v>
      </c>
      <c r="O840" t="s">
        <v>3917</v>
      </c>
      <c r="P840" t="s">
        <v>109</v>
      </c>
      <c r="Q840" t="s">
        <v>1051</v>
      </c>
      <c r="R840" t="s">
        <v>3918</v>
      </c>
      <c r="S840" t="s">
        <v>39</v>
      </c>
      <c r="T840" t="s">
        <v>721</v>
      </c>
      <c r="U840" t="s">
        <v>300</v>
      </c>
      <c r="V840" t="s">
        <v>82</v>
      </c>
    </row>
    <row r="841" spans="1:22" x14ac:dyDescent="0.3">
      <c r="A841" t="s">
        <v>3919</v>
      </c>
      <c r="B841" t="s">
        <v>2856</v>
      </c>
      <c r="C841" t="s">
        <v>2857</v>
      </c>
      <c r="D841" t="s">
        <v>242</v>
      </c>
      <c r="E841" t="s">
        <v>228</v>
      </c>
      <c r="F841" t="s">
        <v>228</v>
      </c>
      <c r="G841" t="s">
        <v>147</v>
      </c>
      <c r="H841" t="s">
        <v>49</v>
      </c>
      <c r="I841" t="s">
        <v>69</v>
      </c>
      <c r="J841" t="s">
        <v>30</v>
      </c>
      <c r="K841" t="s">
        <v>230</v>
      </c>
      <c r="L841" t="s">
        <v>1394</v>
      </c>
      <c r="M841" t="s">
        <v>477</v>
      </c>
      <c r="N841" t="s">
        <v>165</v>
      </c>
      <c r="O841" t="s">
        <v>478</v>
      </c>
      <c r="P841" t="s">
        <v>470</v>
      </c>
      <c r="Q841" t="s">
        <v>54</v>
      </c>
      <c r="R841" t="s">
        <v>3920</v>
      </c>
      <c r="S841" t="s">
        <v>79</v>
      </c>
      <c r="T841" t="s">
        <v>328</v>
      </c>
      <c r="U841" t="s">
        <v>98</v>
      </c>
      <c r="V841" t="s">
        <v>58</v>
      </c>
    </row>
    <row r="842" spans="1:22" x14ac:dyDescent="0.3">
      <c r="A842" t="s">
        <v>3921</v>
      </c>
      <c r="B842" t="s">
        <v>3922</v>
      </c>
      <c r="C842" t="s">
        <v>3923</v>
      </c>
      <c r="D842" t="s">
        <v>3064</v>
      </c>
      <c r="E842" t="s">
        <v>134</v>
      </c>
      <c r="F842" t="s">
        <v>134</v>
      </c>
      <c r="G842" t="s">
        <v>67</v>
      </c>
      <c r="H842" t="s">
        <v>88</v>
      </c>
      <c r="I842" t="s">
        <v>69</v>
      </c>
      <c r="J842" t="s">
        <v>30</v>
      </c>
      <c r="K842" t="s">
        <v>50</v>
      </c>
      <c r="L842" t="s">
        <v>72</v>
      </c>
      <c r="M842" t="s">
        <v>2997</v>
      </c>
      <c r="N842" t="s">
        <v>179</v>
      </c>
      <c r="O842" t="s">
        <v>2997</v>
      </c>
      <c r="P842" t="s">
        <v>2765</v>
      </c>
      <c r="Q842" t="s">
        <v>310</v>
      </c>
      <c r="R842" t="s">
        <v>3924</v>
      </c>
      <c r="S842" t="s">
        <v>126</v>
      </c>
      <c r="T842" t="s">
        <v>1013</v>
      </c>
      <c r="U842" t="s">
        <v>41</v>
      </c>
      <c r="V842" t="s">
        <v>79</v>
      </c>
    </row>
    <row r="843" spans="1:22" x14ac:dyDescent="0.3">
      <c r="A843" t="s">
        <v>3925</v>
      </c>
      <c r="B843" t="s">
        <v>3926</v>
      </c>
      <c r="C843" t="s">
        <v>3927</v>
      </c>
      <c r="D843" t="s">
        <v>2683</v>
      </c>
      <c r="E843" t="s">
        <v>176</v>
      </c>
      <c r="F843" t="s">
        <v>161</v>
      </c>
      <c r="G843" t="s">
        <v>147</v>
      </c>
      <c r="H843" t="s">
        <v>268</v>
      </c>
      <c r="I843" t="s">
        <v>29</v>
      </c>
      <c r="J843" t="s">
        <v>30</v>
      </c>
      <c r="K843" t="s">
        <v>293</v>
      </c>
      <c r="L843" t="s">
        <v>1049</v>
      </c>
      <c r="M843" t="s">
        <v>760</v>
      </c>
      <c r="N843" t="s">
        <v>695</v>
      </c>
      <c r="O843" t="s">
        <v>421</v>
      </c>
      <c r="P843" t="s">
        <v>370</v>
      </c>
      <c r="Q843" t="s">
        <v>433</v>
      </c>
      <c r="R843" t="s">
        <v>3928</v>
      </c>
      <c r="S843" t="s">
        <v>182</v>
      </c>
      <c r="T843" t="s">
        <v>751</v>
      </c>
      <c r="U843" t="s">
        <v>349</v>
      </c>
      <c r="V843" t="s">
        <v>58</v>
      </c>
    </row>
    <row r="844" spans="1:22" x14ac:dyDescent="0.3">
      <c r="A844" t="s">
        <v>3929</v>
      </c>
      <c r="B844" t="s">
        <v>698</v>
      </c>
      <c r="C844" t="s">
        <v>699</v>
      </c>
      <c r="D844" t="s">
        <v>2640</v>
      </c>
      <c r="E844" t="s">
        <v>730</v>
      </c>
      <c r="F844" t="s">
        <v>26</v>
      </c>
      <c r="G844" t="s">
        <v>580</v>
      </c>
      <c r="H844" t="s">
        <v>104</v>
      </c>
      <c r="I844" t="s">
        <v>29</v>
      </c>
      <c r="J844" t="s">
        <v>30</v>
      </c>
      <c r="K844" t="s">
        <v>71</v>
      </c>
      <c r="L844" t="s">
        <v>428</v>
      </c>
      <c r="M844" t="s">
        <v>3804</v>
      </c>
      <c r="N844" t="s">
        <v>286</v>
      </c>
      <c r="O844" t="s">
        <v>284</v>
      </c>
      <c r="P844" t="s">
        <v>2641</v>
      </c>
      <c r="Q844" t="s">
        <v>1383</v>
      </c>
      <c r="R844" t="s">
        <v>3930</v>
      </c>
      <c r="S844" t="s">
        <v>97</v>
      </c>
      <c r="T844" t="s">
        <v>74</v>
      </c>
      <c r="U844" t="s">
        <v>128</v>
      </c>
      <c r="V844" t="s">
        <v>58</v>
      </c>
    </row>
    <row r="845" spans="1:22" x14ac:dyDescent="0.3">
      <c r="A845" t="s">
        <v>3931</v>
      </c>
      <c r="B845" t="s">
        <v>2547</v>
      </c>
      <c r="C845" t="s">
        <v>2548</v>
      </c>
      <c r="D845" t="s">
        <v>862</v>
      </c>
      <c r="E845" t="s">
        <v>133</v>
      </c>
      <c r="F845" t="s">
        <v>134</v>
      </c>
      <c r="G845" t="s">
        <v>103</v>
      </c>
      <c r="H845" t="s">
        <v>28</v>
      </c>
      <c r="I845" t="s">
        <v>69</v>
      </c>
      <c r="J845" t="s">
        <v>30</v>
      </c>
      <c r="K845" t="s">
        <v>215</v>
      </c>
      <c r="L845" t="s">
        <v>246</v>
      </c>
      <c r="M845" t="s">
        <v>2588</v>
      </c>
      <c r="N845" t="s">
        <v>371</v>
      </c>
      <c r="O845" t="s">
        <v>2589</v>
      </c>
      <c r="P845" t="s">
        <v>3932</v>
      </c>
      <c r="Q845" t="s">
        <v>80</v>
      </c>
      <c r="R845" t="s">
        <v>3933</v>
      </c>
      <c r="S845" t="s">
        <v>182</v>
      </c>
      <c r="T845" t="s">
        <v>121</v>
      </c>
      <c r="U845" t="s">
        <v>373</v>
      </c>
      <c r="V845" t="s">
        <v>79</v>
      </c>
    </row>
    <row r="846" spans="1:22" x14ac:dyDescent="0.3">
      <c r="A846" t="s">
        <v>3934</v>
      </c>
      <c r="B846" t="s">
        <v>2052</v>
      </c>
      <c r="C846" t="s">
        <v>2053</v>
      </c>
      <c r="D846" t="s">
        <v>3935</v>
      </c>
      <c r="E846" t="s">
        <v>342</v>
      </c>
      <c r="F846" t="s">
        <v>244</v>
      </c>
      <c r="G846" t="s">
        <v>147</v>
      </c>
      <c r="H846" t="s">
        <v>88</v>
      </c>
      <c r="I846" t="s">
        <v>29</v>
      </c>
      <c r="J846" t="s">
        <v>70</v>
      </c>
      <c r="K846" t="s">
        <v>230</v>
      </c>
      <c r="L846" t="s">
        <v>871</v>
      </c>
      <c r="M846" t="s">
        <v>2555</v>
      </c>
      <c r="N846" t="s">
        <v>179</v>
      </c>
      <c r="O846" t="s">
        <v>2555</v>
      </c>
      <c r="P846" t="s">
        <v>75</v>
      </c>
      <c r="Q846" t="s">
        <v>2160</v>
      </c>
      <c r="R846" t="s">
        <v>3936</v>
      </c>
      <c r="S846" t="s">
        <v>58</v>
      </c>
      <c r="T846" t="s">
        <v>336</v>
      </c>
      <c r="U846" t="s">
        <v>373</v>
      </c>
      <c r="V846" t="s">
        <v>82</v>
      </c>
    </row>
    <row r="847" spans="1:22" x14ac:dyDescent="0.3">
      <c r="A847" t="s">
        <v>3937</v>
      </c>
      <c r="B847" t="s">
        <v>1269</v>
      </c>
      <c r="C847" t="s">
        <v>1270</v>
      </c>
      <c r="D847" t="s">
        <v>86</v>
      </c>
      <c r="E847" t="s">
        <v>66</v>
      </c>
      <c r="F847" t="s">
        <v>66</v>
      </c>
      <c r="G847" t="s">
        <v>67</v>
      </c>
      <c r="H847" t="s">
        <v>88</v>
      </c>
      <c r="I847" t="s">
        <v>69</v>
      </c>
      <c r="J847" t="s">
        <v>162</v>
      </c>
      <c r="K847" t="s">
        <v>215</v>
      </c>
      <c r="L847" t="s">
        <v>258</v>
      </c>
      <c r="M847" t="s">
        <v>3938</v>
      </c>
      <c r="N847" t="s">
        <v>40</v>
      </c>
      <c r="O847" t="s">
        <v>2589</v>
      </c>
      <c r="P847" t="s">
        <v>3525</v>
      </c>
      <c r="Q847" t="s">
        <v>1827</v>
      </c>
      <c r="R847" t="s">
        <v>3939</v>
      </c>
      <c r="S847" t="s">
        <v>79</v>
      </c>
      <c r="T847" t="s">
        <v>260</v>
      </c>
      <c r="U847" t="s">
        <v>128</v>
      </c>
      <c r="V847" t="s">
        <v>58</v>
      </c>
    </row>
    <row r="848" spans="1:22" x14ac:dyDescent="0.3">
      <c r="A848" t="s">
        <v>3940</v>
      </c>
      <c r="B848" t="s">
        <v>1899</v>
      </c>
      <c r="C848" t="s">
        <v>1900</v>
      </c>
      <c r="D848" t="s">
        <v>2475</v>
      </c>
      <c r="E848" t="s">
        <v>47</v>
      </c>
      <c r="F848" t="s">
        <v>26</v>
      </c>
      <c r="G848" t="s">
        <v>67</v>
      </c>
      <c r="H848" t="s">
        <v>28</v>
      </c>
      <c r="I848" t="s">
        <v>29</v>
      </c>
      <c r="J848" t="s">
        <v>70</v>
      </c>
      <c r="K848" t="s">
        <v>200</v>
      </c>
      <c r="L848" t="s">
        <v>1139</v>
      </c>
      <c r="M848" t="s">
        <v>646</v>
      </c>
      <c r="N848" t="s">
        <v>1162</v>
      </c>
      <c r="O848" t="s">
        <v>768</v>
      </c>
      <c r="P848" t="s">
        <v>1000</v>
      </c>
      <c r="Q848" t="s">
        <v>191</v>
      </c>
      <c r="R848" t="s">
        <v>3941</v>
      </c>
      <c r="S848" t="s">
        <v>79</v>
      </c>
      <c r="T848" t="s">
        <v>321</v>
      </c>
      <c r="U848" t="s">
        <v>238</v>
      </c>
      <c r="V848" t="s">
        <v>58</v>
      </c>
    </row>
    <row r="849" spans="1:22" x14ac:dyDescent="0.3">
      <c r="A849" t="s">
        <v>3942</v>
      </c>
      <c r="B849" t="s">
        <v>1912</v>
      </c>
      <c r="C849" t="s">
        <v>1913</v>
      </c>
      <c r="D849" t="s">
        <v>2284</v>
      </c>
      <c r="E849" t="s">
        <v>399</v>
      </c>
      <c r="F849" t="s">
        <v>188</v>
      </c>
      <c r="G849" t="s">
        <v>67</v>
      </c>
      <c r="H849" t="s">
        <v>49</v>
      </c>
      <c r="I849" t="s">
        <v>69</v>
      </c>
      <c r="J849" t="s">
        <v>257</v>
      </c>
      <c r="K849" t="s">
        <v>230</v>
      </c>
      <c r="L849" t="s">
        <v>2737</v>
      </c>
      <c r="M849" t="s">
        <v>52</v>
      </c>
      <c r="N849" t="s">
        <v>499</v>
      </c>
      <c r="O849" t="s">
        <v>180</v>
      </c>
      <c r="P849" t="s">
        <v>95</v>
      </c>
      <c r="Q849" t="s">
        <v>92</v>
      </c>
      <c r="R849" t="s">
        <v>2833</v>
      </c>
      <c r="S849" t="s">
        <v>97</v>
      </c>
      <c r="T849" t="s">
        <v>59</v>
      </c>
      <c r="U849" t="s">
        <v>41</v>
      </c>
      <c r="V849" t="s">
        <v>82</v>
      </c>
    </row>
    <row r="850" spans="1:22" x14ac:dyDescent="0.3">
      <c r="A850" t="s">
        <v>3943</v>
      </c>
      <c r="B850" t="s">
        <v>3825</v>
      </c>
      <c r="C850" t="s">
        <v>3826</v>
      </c>
      <c r="D850" t="s">
        <v>1610</v>
      </c>
      <c r="E850" t="s">
        <v>893</v>
      </c>
      <c r="F850" t="s">
        <v>188</v>
      </c>
      <c r="G850" t="s">
        <v>147</v>
      </c>
      <c r="H850" t="s">
        <v>214</v>
      </c>
      <c r="I850" t="s">
        <v>29</v>
      </c>
      <c r="J850" t="s">
        <v>30</v>
      </c>
      <c r="K850" t="s">
        <v>215</v>
      </c>
      <c r="L850" t="s">
        <v>561</v>
      </c>
      <c r="M850" t="s">
        <v>1266</v>
      </c>
      <c r="N850" t="s">
        <v>328</v>
      </c>
      <c r="O850" t="s">
        <v>2528</v>
      </c>
      <c r="P850" t="s">
        <v>1642</v>
      </c>
      <c r="Q850" t="s">
        <v>321</v>
      </c>
      <c r="R850" t="s">
        <v>3944</v>
      </c>
      <c r="S850" t="s">
        <v>39</v>
      </c>
      <c r="T850" t="s">
        <v>695</v>
      </c>
      <c r="U850" t="s">
        <v>288</v>
      </c>
      <c r="V850" t="s">
        <v>42</v>
      </c>
    </row>
    <row r="851" spans="1:22" x14ac:dyDescent="0.3">
      <c r="A851" t="s">
        <v>3945</v>
      </c>
      <c r="B851" t="s">
        <v>2856</v>
      </c>
      <c r="C851" t="s">
        <v>2857</v>
      </c>
      <c r="D851" t="s">
        <v>3946</v>
      </c>
      <c r="E851" t="s">
        <v>228</v>
      </c>
      <c r="F851" t="s">
        <v>228</v>
      </c>
      <c r="G851" t="s">
        <v>27</v>
      </c>
      <c r="H851" t="s">
        <v>88</v>
      </c>
      <c r="I851" t="s">
        <v>69</v>
      </c>
      <c r="J851" t="s">
        <v>70</v>
      </c>
      <c r="K851" t="s">
        <v>245</v>
      </c>
      <c r="L851" t="s">
        <v>1915</v>
      </c>
      <c r="M851" t="s">
        <v>52</v>
      </c>
      <c r="N851" t="s">
        <v>621</v>
      </c>
      <c r="O851" t="s">
        <v>77</v>
      </c>
      <c r="P851" t="s">
        <v>724</v>
      </c>
      <c r="Q851" t="s">
        <v>583</v>
      </c>
      <c r="R851" t="s">
        <v>3947</v>
      </c>
      <c r="S851" t="s">
        <v>97</v>
      </c>
      <c r="T851" t="s">
        <v>1099</v>
      </c>
      <c r="U851" t="s">
        <v>98</v>
      </c>
      <c r="V851" t="s">
        <v>79</v>
      </c>
    </row>
    <row r="852" spans="1:22" x14ac:dyDescent="0.3">
      <c r="A852" t="s">
        <v>3948</v>
      </c>
      <c r="B852" t="s">
        <v>3949</v>
      </c>
      <c r="C852" t="s">
        <v>3950</v>
      </c>
      <c r="D852" t="s">
        <v>1906</v>
      </c>
      <c r="E852" t="s">
        <v>26</v>
      </c>
      <c r="F852" t="s">
        <v>26</v>
      </c>
      <c r="G852" t="s">
        <v>27</v>
      </c>
      <c r="H852" t="s">
        <v>214</v>
      </c>
      <c r="I852" t="s">
        <v>69</v>
      </c>
      <c r="J852" t="s">
        <v>30</v>
      </c>
      <c r="K852" t="s">
        <v>215</v>
      </c>
      <c r="L852" t="s">
        <v>428</v>
      </c>
      <c r="M852" t="s">
        <v>334</v>
      </c>
      <c r="N852" t="s">
        <v>179</v>
      </c>
      <c r="O852" t="s">
        <v>334</v>
      </c>
      <c r="P852" t="s">
        <v>518</v>
      </c>
      <c r="Q852" t="s">
        <v>489</v>
      </c>
      <c r="R852" t="s">
        <v>3951</v>
      </c>
      <c r="S852" t="s">
        <v>126</v>
      </c>
      <c r="T852" t="s">
        <v>695</v>
      </c>
      <c r="U852" t="s">
        <v>60</v>
      </c>
      <c r="V852" t="s">
        <v>114</v>
      </c>
    </row>
    <row r="853" spans="1:22" x14ac:dyDescent="0.3">
      <c r="A853" t="s">
        <v>3952</v>
      </c>
      <c r="B853" t="s">
        <v>409</v>
      </c>
      <c r="C853" t="s">
        <v>410</v>
      </c>
      <c r="D853" t="s">
        <v>3953</v>
      </c>
      <c r="E853" t="s">
        <v>378</v>
      </c>
      <c r="F853" t="s">
        <v>282</v>
      </c>
      <c r="G853" t="s">
        <v>118</v>
      </c>
      <c r="H853" t="s">
        <v>49</v>
      </c>
      <c r="I853" t="s">
        <v>29</v>
      </c>
      <c r="J853" t="s">
        <v>70</v>
      </c>
      <c r="K853" t="s">
        <v>293</v>
      </c>
      <c r="L853" t="s">
        <v>111</v>
      </c>
      <c r="M853" t="s">
        <v>124</v>
      </c>
      <c r="N853" t="s">
        <v>543</v>
      </c>
      <c r="O853" t="s">
        <v>753</v>
      </c>
      <c r="P853" t="s">
        <v>319</v>
      </c>
      <c r="Q853" t="s">
        <v>440</v>
      </c>
      <c r="R853" t="s">
        <v>3954</v>
      </c>
      <c r="S853" t="s">
        <v>39</v>
      </c>
      <c r="T853" t="s">
        <v>59</v>
      </c>
      <c r="U853" t="s">
        <v>423</v>
      </c>
      <c r="V853" t="s">
        <v>58</v>
      </c>
    </row>
    <row r="854" spans="1:22" x14ac:dyDescent="0.3">
      <c r="A854" t="s">
        <v>3955</v>
      </c>
      <c r="B854" t="s">
        <v>3956</v>
      </c>
      <c r="C854" t="s">
        <v>3957</v>
      </c>
      <c r="D854" t="s">
        <v>3953</v>
      </c>
      <c r="E854" t="s">
        <v>65</v>
      </c>
      <c r="F854" t="s">
        <v>66</v>
      </c>
      <c r="G854" t="s">
        <v>147</v>
      </c>
      <c r="H854" t="s">
        <v>268</v>
      </c>
      <c r="I854" t="s">
        <v>69</v>
      </c>
      <c r="J854" t="s">
        <v>257</v>
      </c>
      <c r="K854" t="s">
        <v>31</v>
      </c>
      <c r="L854" t="s">
        <v>1382</v>
      </c>
      <c r="M854" t="s">
        <v>1543</v>
      </c>
      <c r="N854" t="s">
        <v>299</v>
      </c>
      <c r="O854" t="s">
        <v>3958</v>
      </c>
      <c r="P854" t="s">
        <v>1272</v>
      </c>
      <c r="Q854" t="s">
        <v>666</v>
      </c>
      <c r="R854" t="s">
        <v>3959</v>
      </c>
      <c r="S854" t="s">
        <v>58</v>
      </c>
      <c r="T854" t="s">
        <v>92</v>
      </c>
      <c r="U854" t="s">
        <v>407</v>
      </c>
      <c r="V854" t="s">
        <v>58</v>
      </c>
    </row>
    <row r="855" spans="1:22" x14ac:dyDescent="0.3">
      <c r="A855" t="s">
        <v>3960</v>
      </c>
      <c r="B855" t="s">
        <v>1675</v>
      </c>
      <c r="C855" t="s">
        <v>1676</v>
      </c>
      <c r="D855" t="s">
        <v>2153</v>
      </c>
      <c r="E855" t="s">
        <v>417</v>
      </c>
      <c r="F855" t="s">
        <v>134</v>
      </c>
      <c r="G855" t="s">
        <v>580</v>
      </c>
      <c r="H855" t="s">
        <v>68</v>
      </c>
      <c r="I855" t="s">
        <v>29</v>
      </c>
      <c r="J855" t="s">
        <v>30</v>
      </c>
      <c r="K855" t="s">
        <v>200</v>
      </c>
      <c r="L855" t="s">
        <v>1037</v>
      </c>
      <c r="M855" t="s">
        <v>205</v>
      </c>
      <c r="N855" t="s">
        <v>179</v>
      </c>
      <c r="O855" t="s">
        <v>205</v>
      </c>
      <c r="P855" t="s">
        <v>2527</v>
      </c>
      <c r="Q855" t="s">
        <v>931</v>
      </c>
      <c r="R855" t="s">
        <v>3961</v>
      </c>
      <c r="S855" t="s">
        <v>182</v>
      </c>
      <c r="T855" t="s">
        <v>137</v>
      </c>
      <c r="U855" t="s">
        <v>238</v>
      </c>
      <c r="V855" t="s">
        <v>114</v>
      </c>
    </row>
    <row r="856" spans="1:22" x14ac:dyDescent="0.3">
      <c r="A856" t="s">
        <v>3962</v>
      </c>
      <c r="B856" t="s">
        <v>3926</v>
      </c>
      <c r="C856" t="s">
        <v>3927</v>
      </c>
      <c r="D856" t="s">
        <v>3132</v>
      </c>
      <c r="E856" t="s">
        <v>227</v>
      </c>
      <c r="F856" t="s">
        <v>228</v>
      </c>
      <c r="G856" t="s">
        <v>67</v>
      </c>
      <c r="H856" t="s">
        <v>49</v>
      </c>
      <c r="I856" t="s">
        <v>29</v>
      </c>
      <c r="J856" t="s">
        <v>70</v>
      </c>
      <c r="K856" t="s">
        <v>71</v>
      </c>
      <c r="L856" t="s">
        <v>487</v>
      </c>
      <c r="M856" t="s">
        <v>1826</v>
      </c>
      <c r="N856" t="s">
        <v>179</v>
      </c>
      <c r="O856" t="s">
        <v>1826</v>
      </c>
      <c r="P856" t="s">
        <v>886</v>
      </c>
      <c r="Q856" t="s">
        <v>628</v>
      </c>
      <c r="R856" t="s">
        <v>3764</v>
      </c>
      <c r="S856" t="s">
        <v>182</v>
      </c>
      <c r="T856" t="s">
        <v>191</v>
      </c>
      <c r="U856" t="s">
        <v>41</v>
      </c>
      <c r="V856" t="s">
        <v>82</v>
      </c>
    </row>
    <row r="857" spans="1:22" x14ac:dyDescent="0.3">
      <c r="A857" t="s">
        <v>3963</v>
      </c>
      <c r="B857" t="s">
        <v>510</v>
      </c>
      <c r="C857" t="s">
        <v>511</v>
      </c>
      <c r="D857" t="s">
        <v>3715</v>
      </c>
      <c r="E857" t="s">
        <v>354</v>
      </c>
      <c r="F857" t="s">
        <v>134</v>
      </c>
      <c r="G857" t="s">
        <v>147</v>
      </c>
      <c r="H857" t="s">
        <v>28</v>
      </c>
      <c r="I857" t="s">
        <v>69</v>
      </c>
      <c r="J857" t="s">
        <v>30</v>
      </c>
      <c r="K857" t="s">
        <v>50</v>
      </c>
      <c r="L857" t="s">
        <v>258</v>
      </c>
      <c r="M857" t="s">
        <v>3964</v>
      </c>
      <c r="N857" t="s">
        <v>127</v>
      </c>
      <c r="O857" t="s">
        <v>3965</v>
      </c>
      <c r="P857" t="s">
        <v>3966</v>
      </c>
      <c r="Q857" t="s">
        <v>55</v>
      </c>
      <c r="R857" t="s">
        <v>3967</v>
      </c>
      <c r="S857" t="s">
        <v>97</v>
      </c>
      <c r="T857" t="s">
        <v>191</v>
      </c>
      <c r="U857" t="s">
        <v>288</v>
      </c>
      <c r="V857" t="s">
        <v>42</v>
      </c>
    </row>
    <row r="858" spans="1:22" x14ac:dyDescent="0.3">
      <c r="A858" t="s">
        <v>3968</v>
      </c>
      <c r="B858" t="s">
        <v>2510</v>
      </c>
      <c r="C858" t="s">
        <v>2511</v>
      </c>
      <c r="D858" t="s">
        <v>3969</v>
      </c>
      <c r="E858" t="s">
        <v>399</v>
      </c>
      <c r="F858" t="s">
        <v>188</v>
      </c>
      <c r="G858" t="s">
        <v>580</v>
      </c>
      <c r="H858" t="s">
        <v>229</v>
      </c>
      <c r="I858" t="s">
        <v>69</v>
      </c>
      <c r="J858" t="s">
        <v>30</v>
      </c>
      <c r="K858" t="s">
        <v>230</v>
      </c>
      <c r="L858" t="s">
        <v>1526</v>
      </c>
      <c r="M858" t="s">
        <v>2176</v>
      </c>
      <c r="N858" t="s">
        <v>107</v>
      </c>
      <c r="O858" t="s">
        <v>2160</v>
      </c>
      <c r="P858" t="s">
        <v>164</v>
      </c>
      <c r="Q858" t="s">
        <v>167</v>
      </c>
      <c r="R858" t="s">
        <v>3970</v>
      </c>
      <c r="S858" t="s">
        <v>182</v>
      </c>
      <c r="T858" t="s">
        <v>369</v>
      </c>
      <c r="U858" t="s">
        <v>394</v>
      </c>
      <c r="V858" t="s">
        <v>42</v>
      </c>
    </row>
    <row r="859" spans="1:22" x14ac:dyDescent="0.3">
      <c r="A859" t="s">
        <v>3971</v>
      </c>
      <c r="B859" t="s">
        <v>3972</v>
      </c>
      <c r="C859" t="s">
        <v>3973</v>
      </c>
      <c r="D859" t="s">
        <v>2027</v>
      </c>
      <c r="E859" t="s">
        <v>417</v>
      </c>
      <c r="F859" t="s">
        <v>134</v>
      </c>
      <c r="G859" t="s">
        <v>147</v>
      </c>
      <c r="H859" t="s">
        <v>28</v>
      </c>
      <c r="I859" t="s">
        <v>29</v>
      </c>
      <c r="J859" t="s">
        <v>30</v>
      </c>
      <c r="K859" t="s">
        <v>200</v>
      </c>
      <c r="L859" t="s">
        <v>362</v>
      </c>
      <c r="M859" t="s">
        <v>2866</v>
      </c>
      <c r="N859" t="s">
        <v>179</v>
      </c>
      <c r="O859" t="s">
        <v>2866</v>
      </c>
      <c r="P859" t="s">
        <v>3191</v>
      </c>
      <c r="Q859" t="s">
        <v>985</v>
      </c>
      <c r="R859" t="s">
        <v>2259</v>
      </c>
      <c r="S859" t="s">
        <v>79</v>
      </c>
      <c r="T859" t="s">
        <v>140</v>
      </c>
      <c r="U859" t="s">
        <v>171</v>
      </c>
      <c r="V859" t="s">
        <v>82</v>
      </c>
    </row>
    <row r="860" spans="1:22" x14ac:dyDescent="0.3">
      <c r="A860" t="s">
        <v>3974</v>
      </c>
      <c r="B860" t="s">
        <v>1881</v>
      </c>
      <c r="C860" t="s">
        <v>1882</v>
      </c>
      <c r="D860" t="s">
        <v>1933</v>
      </c>
      <c r="E860" t="s">
        <v>730</v>
      </c>
      <c r="F860" t="s">
        <v>26</v>
      </c>
      <c r="G860" t="s">
        <v>27</v>
      </c>
      <c r="H860" t="s">
        <v>49</v>
      </c>
      <c r="I860" t="s">
        <v>69</v>
      </c>
      <c r="J860" t="s">
        <v>257</v>
      </c>
      <c r="K860" t="s">
        <v>31</v>
      </c>
      <c r="L860" t="s">
        <v>663</v>
      </c>
      <c r="M860" t="s">
        <v>542</v>
      </c>
      <c r="N860" t="s">
        <v>179</v>
      </c>
      <c r="O860" t="s">
        <v>542</v>
      </c>
      <c r="P860" t="s">
        <v>1456</v>
      </c>
      <c r="Q860" t="s">
        <v>1492</v>
      </c>
      <c r="R860" t="s">
        <v>3975</v>
      </c>
      <c r="S860" t="s">
        <v>79</v>
      </c>
      <c r="T860" t="s">
        <v>543</v>
      </c>
      <c r="U860" t="s">
        <v>60</v>
      </c>
      <c r="V860" t="s">
        <v>114</v>
      </c>
    </row>
    <row r="861" spans="1:22" x14ac:dyDescent="0.3">
      <c r="A861" t="s">
        <v>3976</v>
      </c>
      <c r="B861" t="s">
        <v>716</v>
      </c>
      <c r="C861" t="s">
        <v>717</v>
      </c>
      <c r="D861" t="s">
        <v>1887</v>
      </c>
      <c r="E861" t="s">
        <v>399</v>
      </c>
      <c r="F861" t="s">
        <v>188</v>
      </c>
      <c r="G861" t="s">
        <v>147</v>
      </c>
      <c r="H861" t="s">
        <v>229</v>
      </c>
      <c r="I861" t="s">
        <v>29</v>
      </c>
      <c r="J861" t="s">
        <v>30</v>
      </c>
      <c r="K861" t="s">
        <v>89</v>
      </c>
      <c r="L861" t="s">
        <v>315</v>
      </c>
      <c r="M861" t="s">
        <v>599</v>
      </c>
      <c r="N861" t="s">
        <v>328</v>
      </c>
      <c r="O861" t="s">
        <v>2391</v>
      </c>
      <c r="P861" t="s">
        <v>1979</v>
      </c>
      <c r="Q861" t="s">
        <v>441</v>
      </c>
      <c r="R861" t="s">
        <v>3977</v>
      </c>
      <c r="S861" t="s">
        <v>126</v>
      </c>
      <c r="T861" t="s">
        <v>37</v>
      </c>
      <c r="U861" t="s">
        <v>407</v>
      </c>
      <c r="V861" t="s">
        <v>114</v>
      </c>
    </row>
    <row r="862" spans="1:22" x14ac:dyDescent="0.3">
      <c r="A862" t="s">
        <v>3978</v>
      </c>
      <c r="B862" t="s">
        <v>787</v>
      </c>
      <c r="C862" t="s">
        <v>788</v>
      </c>
      <c r="D862" t="s">
        <v>1351</v>
      </c>
      <c r="E862" t="s">
        <v>87</v>
      </c>
      <c r="F862" t="s">
        <v>26</v>
      </c>
      <c r="G862" t="s">
        <v>103</v>
      </c>
      <c r="H862" t="s">
        <v>104</v>
      </c>
      <c r="I862" t="s">
        <v>69</v>
      </c>
      <c r="J862" t="s">
        <v>70</v>
      </c>
      <c r="K862" t="s">
        <v>215</v>
      </c>
      <c r="L862" t="s">
        <v>269</v>
      </c>
      <c r="M862" t="s">
        <v>2440</v>
      </c>
      <c r="N862" t="s">
        <v>461</v>
      </c>
      <c r="O862" t="s">
        <v>193</v>
      </c>
      <c r="P862" t="s">
        <v>685</v>
      </c>
      <c r="Q862" t="s">
        <v>529</v>
      </c>
      <c r="R862" t="s">
        <v>3979</v>
      </c>
      <c r="S862" t="s">
        <v>182</v>
      </c>
      <c r="T862" t="s">
        <v>1099</v>
      </c>
      <c r="U862" t="s">
        <v>238</v>
      </c>
      <c r="V862" t="s">
        <v>58</v>
      </c>
    </row>
    <row r="863" spans="1:22" x14ac:dyDescent="0.3">
      <c r="A863" t="s">
        <v>3980</v>
      </c>
      <c r="B863" t="s">
        <v>1566</v>
      </c>
      <c r="C863" t="s">
        <v>1567</v>
      </c>
      <c r="D863" t="s">
        <v>3981</v>
      </c>
      <c r="E863" t="s">
        <v>282</v>
      </c>
      <c r="F863" t="s">
        <v>282</v>
      </c>
      <c r="G863" t="s">
        <v>147</v>
      </c>
      <c r="H863" t="s">
        <v>88</v>
      </c>
      <c r="I863" t="s">
        <v>69</v>
      </c>
      <c r="J863" t="s">
        <v>30</v>
      </c>
      <c r="K863" t="s">
        <v>245</v>
      </c>
      <c r="L863" t="s">
        <v>1139</v>
      </c>
      <c r="M863" t="s">
        <v>403</v>
      </c>
      <c r="N863" t="s">
        <v>179</v>
      </c>
      <c r="O863" t="s">
        <v>403</v>
      </c>
      <c r="P863" t="s">
        <v>2765</v>
      </c>
      <c r="Q863" t="s">
        <v>805</v>
      </c>
      <c r="R863" t="s">
        <v>3982</v>
      </c>
      <c r="S863" t="s">
        <v>58</v>
      </c>
      <c r="T863" t="s">
        <v>80</v>
      </c>
      <c r="U863" t="s">
        <v>362</v>
      </c>
      <c r="V863" t="s">
        <v>82</v>
      </c>
    </row>
    <row r="864" spans="1:22" x14ac:dyDescent="0.3">
      <c r="A864" t="s">
        <v>3983</v>
      </c>
      <c r="B864" t="s">
        <v>2547</v>
      </c>
      <c r="C864" t="s">
        <v>2548</v>
      </c>
      <c r="D864" t="s">
        <v>465</v>
      </c>
      <c r="E864" t="s">
        <v>730</v>
      </c>
      <c r="F864" t="s">
        <v>26</v>
      </c>
      <c r="G864" t="s">
        <v>147</v>
      </c>
      <c r="H864" t="s">
        <v>268</v>
      </c>
      <c r="I864" t="s">
        <v>69</v>
      </c>
      <c r="J864" t="s">
        <v>162</v>
      </c>
      <c r="K864" t="s">
        <v>293</v>
      </c>
      <c r="L864" t="s">
        <v>189</v>
      </c>
      <c r="M864" t="s">
        <v>359</v>
      </c>
      <c r="N864" t="s">
        <v>80</v>
      </c>
      <c r="O864" t="s">
        <v>439</v>
      </c>
      <c r="P864" t="s">
        <v>881</v>
      </c>
      <c r="Q864" t="s">
        <v>3984</v>
      </c>
      <c r="R864" t="s">
        <v>3985</v>
      </c>
      <c r="S864" t="s">
        <v>182</v>
      </c>
      <c r="T864" t="s">
        <v>328</v>
      </c>
      <c r="U864" t="s">
        <v>867</v>
      </c>
      <c r="V864" t="s">
        <v>79</v>
      </c>
    </row>
    <row r="865" spans="1:22" x14ac:dyDescent="0.3">
      <c r="A865" t="s">
        <v>3986</v>
      </c>
      <c r="B865" t="s">
        <v>818</v>
      </c>
      <c r="C865" t="s">
        <v>819</v>
      </c>
      <c r="D865" t="s">
        <v>3726</v>
      </c>
      <c r="E865" t="s">
        <v>87</v>
      </c>
      <c r="F865" t="s">
        <v>26</v>
      </c>
      <c r="G865" t="s">
        <v>48</v>
      </c>
      <c r="H865" t="s">
        <v>28</v>
      </c>
      <c r="I865" t="s">
        <v>29</v>
      </c>
      <c r="J865" t="s">
        <v>30</v>
      </c>
      <c r="K865" t="s">
        <v>293</v>
      </c>
      <c r="L865" t="s">
        <v>1037</v>
      </c>
      <c r="M865" t="s">
        <v>390</v>
      </c>
      <c r="N865" t="s">
        <v>751</v>
      </c>
      <c r="O865" t="s">
        <v>685</v>
      </c>
      <c r="P865" t="s">
        <v>1509</v>
      </c>
      <c r="Q865" t="s">
        <v>714</v>
      </c>
      <c r="R865" t="s">
        <v>3987</v>
      </c>
      <c r="S865" t="s">
        <v>39</v>
      </c>
      <c r="T865" t="s">
        <v>1099</v>
      </c>
      <c r="U865" t="s">
        <v>238</v>
      </c>
      <c r="V865" t="s">
        <v>58</v>
      </c>
    </row>
    <row r="866" spans="1:22" x14ac:dyDescent="0.3">
      <c r="A866" t="s">
        <v>3988</v>
      </c>
      <c r="B866" t="s">
        <v>956</v>
      </c>
      <c r="C866" t="s">
        <v>957</v>
      </c>
      <c r="D866" t="s">
        <v>3989</v>
      </c>
      <c r="E866" t="s">
        <v>161</v>
      </c>
      <c r="F866" t="s">
        <v>161</v>
      </c>
      <c r="G866" t="s">
        <v>48</v>
      </c>
      <c r="H866" t="s">
        <v>104</v>
      </c>
      <c r="I866" t="s">
        <v>29</v>
      </c>
      <c r="J866" t="s">
        <v>1514</v>
      </c>
      <c r="K866" t="s">
        <v>293</v>
      </c>
      <c r="L866" t="s">
        <v>937</v>
      </c>
      <c r="M866" t="s">
        <v>106</v>
      </c>
      <c r="N866" t="s">
        <v>183</v>
      </c>
      <c r="O866" t="s">
        <v>2230</v>
      </c>
      <c r="P866" t="s">
        <v>2193</v>
      </c>
      <c r="Q866" t="s">
        <v>1097</v>
      </c>
      <c r="R866" t="s">
        <v>3990</v>
      </c>
      <c r="S866" t="s">
        <v>126</v>
      </c>
      <c r="T866" t="s">
        <v>573</v>
      </c>
      <c r="U866" t="s">
        <v>238</v>
      </c>
      <c r="V866" t="s">
        <v>42</v>
      </c>
    </row>
    <row r="867" spans="1:22" x14ac:dyDescent="0.3">
      <c r="A867" t="s">
        <v>3991</v>
      </c>
      <c r="B867" t="s">
        <v>279</v>
      </c>
      <c r="C867" t="s">
        <v>280</v>
      </c>
      <c r="D867" t="s">
        <v>3992</v>
      </c>
      <c r="E867" t="s">
        <v>282</v>
      </c>
      <c r="F867" t="s">
        <v>282</v>
      </c>
      <c r="G867" t="s">
        <v>27</v>
      </c>
      <c r="H867" t="s">
        <v>49</v>
      </c>
      <c r="I867" t="s">
        <v>69</v>
      </c>
      <c r="J867" t="s">
        <v>30</v>
      </c>
      <c r="K867" t="s">
        <v>31</v>
      </c>
      <c r="L867" t="s">
        <v>333</v>
      </c>
      <c r="M867" t="s">
        <v>491</v>
      </c>
      <c r="N867" t="s">
        <v>95</v>
      </c>
      <c r="O867" t="s">
        <v>297</v>
      </c>
      <c r="P867" t="s">
        <v>611</v>
      </c>
      <c r="Q867" t="s">
        <v>276</v>
      </c>
      <c r="R867" t="s">
        <v>3993</v>
      </c>
      <c r="S867" t="s">
        <v>182</v>
      </c>
      <c r="T867" t="s">
        <v>37</v>
      </c>
      <c r="U867" t="s">
        <v>362</v>
      </c>
      <c r="V867" t="s">
        <v>114</v>
      </c>
    </row>
    <row r="868" spans="1:22" x14ac:dyDescent="0.3">
      <c r="A868" t="s">
        <v>3994</v>
      </c>
      <c r="B868" t="s">
        <v>474</v>
      </c>
      <c r="C868" t="s">
        <v>475</v>
      </c>
      <c r="D868" t="s">
        <v>3995</v>
      </c>
      <c r="E868" t="s">
        <v>65</v>
      </c>
      <c r="F868" t="s">
        <v>66</v>
      </c>
      <c r="G868" t="s">
        <v>213</v>
      </c>
      <c r="H868" t="s">
        <v>49</v>
      </c>
      <c r="I868" t="s">
        <v>69</v>
      </c>
      <c r="J868" t="s">
        <v>70</v>
      </c>
      <c r="K868" t="s">
        <v>245</v>
      </c>
      <c r="L868" t="s">
        <v>294</v>
      </c>
      <c r="M868" t="s">
        <v>914</v>
      </c>
      <c r="N868" t="s">
        <v>286</v>
      </c>
      <c r="O868" t="s">
        <v>1924</v>
      </c>
      <c r="P868" t="s">
        <v>750</v>
      </c>
      <c r="Q868" t="s">
        <v>489</v>
      </c>
      <c r="R868" t="s">
        <v>3996</v>
      </c>
      <c r="S868" t="s">
        <v>79</v>
      </c>
      <c r="T868" t="s">
        <v>770</v>
      </c>
      <c r="U868" t="s">
        <v>98</v>
      </c>
      <c r="V868" t="s">
        <v>42</v>
      </c>
    </row>
    <row r="869" spans="1:22" x14ac:dyDescent="0.3">
      <c r="A869" t="s">
        <v>3997</v>
      </c>
      <c r="B869" t="s">
        <v>1501</v>
      </c>
      <c r="C869" t="s">
        <v>1502</v>
      </c>
      <c r="D869" t="s">
        <v>3998</v>
      </c>
      <c r="E869" t="s">
        <v>243</v>
      </c>
      <c r="F869" t="s">
        <v>244</v>
      </c>
      <c r="G869" t="s">
        <v>67</v>
      </c>
      <c r="H869" t="s">
        <v>68</v>
      </c>
      <c r="I869" t="s">
        <v>29</v>
      </c>
      <c r="J869" t="s">
        <v>30</v>
      </c>
      <c r="K869" t="s">
        <v>200</v>
      </c>
      <c r="L869" t="s">
        <v>400</v>
      </c>
      <c r="M869" t="s">
        <v>2881</v>
      </c>
      <c r="N869" t="s">
        <v>179</v>
      </c>
      <c r="O869" t="s">
        <v>2881</v>
      </c>
      <c r="P869" t="s">
        <v>1004</v>
      </c>
      <c r="Q869" t="s">
        <v>2143</v>
      </c>
      <c r="R869" t="s">
        <v>3999</v>
      </c>
      <c r="S869" t="s">
        <v>79</v>
      </c>
      <c r="T869" t="s">
        <v>1043</v>
      </c>
      <c r="U869" t="s">
        <v>113</v>
      </c>
      <c r="V869" t="s">
        <v>79</v>
      </c>
    </row>
    <row r="870" spans="1:22" x14ac:dyDescent="0.3">
      <c r="A870" t="s">
        <v>4000</v>
      </c>
      <c r="B870" t="s">
        <v>2240</v>
      </c>
      <c r="C870" t="s">
        <v>2241</v>
      </c>
      <c r="D870" t="s">
        <v>1936</v>
      </c>
      <c r="E870" t="s">
        <v>66</v>
      </c>
      <c r="F870" t="s">
        <v>66</v>
      </c>
      <c r="G870" t="s">
        <v>213</v>
      </c>
      <c r="H870" t="s">
        <v>88</v>
      </c>
      <c r="I870" t="s">
        <v>69</v>
      </c>
      <c r="J870" t="s">
        <v>30</v>
      </c>
      <c r="K870" t="s">
        <v>230</v>
      </c>
      <c r="L870" t="s">
        <v>513</v>
      </c>
      <c r="M870" t="s">
        <v>477</v>
      </c>
      <c r="N870" t="s">
        <v>326</v>
      </c>
      <c r="O870" t="s">
        <v>3348</v>
      </c>
      <c r="P870" t="s">
        <v>368</v>
      </c>
      <c r="Q870" t="s">
        <v>124</v>
      </c>
      <c r="R870" t="s">
        <v>4001</v>
      </c>
      <c r="S870" t="s">
        <v>79</v>
      </c>
      <c r="T870" t="s">
        <v>499</v>
      </c>
      <c r="U870" t="s">
        <v>238</v>
      </c>
      <c r="V870" t="s">
        <v>58</v>
      </c>
    </row>
    <row r="871" spans="1:22" x14ac:dyDescent="0.3">
      <c r="A871" t="s">
        <v>4002</v>
      </c>
      <c r="B871" t="s">
        <v>2057</v>
      </c>
      <c r="C871" t="s">
        <v>2058</v>
      </c>
      <c r="D871" t="s">
        <v>4003</v>
      </c>
      <c r="E871" t="s">
        <v>342</v>
      </c>
      <c r="F871" t="s">
        <v>244</v>
      </c>
      <c r="G871" t="s">
        <v>27</v>
      </c>
      <c r="H871" t="s">
        <v>229</v>
      </c>
      <c r="I871" t="s">
        <v>69</v>
      </c>
      <c r="J871" t="s">
        <v>257</v>
      </c>
      <c r="K871" t="s">
        <v>31</v>
      </c>
      <c r="L871" t="s">
        <v>663</v>
      </c>
      <c r="M871" t="s">
        <v>1053</v>
      </c>
      <c r="N871" t="s">
        <v>179</v>
      </c>
      <c r="O871" t="s">
        <v>1053</v>
      </c>
      <c r="P871" t="s">
        <v>3337</v>
      </c>
      <c r="Q871" t="s">
        <v>108</v>
      </c>
      <c r="R871" t="s">
        <v>4004</v>
      </c>
      <c r="S871" t="s">
        <v>79</v>
      </c>
      <c r="T871" t="s">
        <v>107</v>
      </c>
      <c r="U871" t="s">
        <v>288</v>
      </c>
      <c r="V871" t="s">
        <v>79</v>
      </c>
    </row>
    <row r="872" spans="1:22" x14ac:dyDescent="0.3">
      <c r="A872" t="s">
        <v>4005</v>
      </c>
      <c r="B872" t="s">
        <v>4006</v>
      </c>
      <c r="C872" t="s">
        <v>4007</v>
      </c>
      <c r="D872" t="s">
        <v>2272</v>
      </c>
      <c r="E872" t="s">
        <v>378</v>
      </c>
      <c r="F872" t="s">
        <v>282</v>
      </c>
      <c r="G872" t="s">
        <v>118</v>
      </c>
      <c r="H872" t="s">
        <v>268</v>
      </c>
      <c r="I872" t="s">
        <v>69</v>
      </c>
      <c r="J872" t="s">
        <v>162</v>
      </c>
      <c r="K872" t="s">
        <v>215</v>
      </c>
      <c r="L872" t="s">
        <v>1211</v>
      </c>
      <c r="M872" t="s">
        <v>2176</v>
      </c>
      <c r="N872" t="s">
        <v>735</v>
      </c>
      <c r="O872" t="s">
        <v>1635</v>
      </c>
      <c r="P872" t="s">
        <v>665</v>
      </c>
      <c r="Q872" t="s">
        <v>121</v>
      </c>
      <c r="R872" t="s">
        <v>4008</v>
      </c>
      <c r="S872" t="s">
        <v>58</v>
      </c>
      <c r="T872" t="s">
        <v>112</v>
      </c>
      <c r="U872" t="s">
        <v>407</v>
      </c>
      <c r="V872" t="s">
        <v>82</v>
      </c>
    </row>
    <row r="873" spans="1:22" x14ac:dyDescent="0.3">
      <c r="A873" t="s">
        <v>4009</v>
      </c>
      <c r="B873" t="s">
        <v>2621</v>
      </c>
      <c r="C873" t="s">
        <v>2622</v>
      </c>
      <c r="D873" t="s">
        <v>4010</v>
      </c>
      <c r="E873" t="s">
        <v>228</v>
      </c>
      <c r="F873" t="s">
        <v>228</v>
      </c>
      <c r="G873" t="s">
        <v>103</v>
      </c>
      <c r="H873" t="s">
        <v>49</v>
      </c>
      <c r="I873" t="s">
        <v>29</v>
      </c>
      <c r="J873" t="s">
        <v>30</v>
      </c>
      <c r="K873" t="s">
        <v>293</v>
      </c>
      <c r="L873" t="s">
        <v>658</v>
      </c>
      <c r="M873" t="s">
        <v>4011</v>
      </c>
      <c r="N873" t="s">
        <v>179</v>
      </c>
      <c r="O873" t="s">
        <v>4011</v>
      </c>
      <c r="P873" t="s">
        <v>450</v>
      </c>
      <c r="Q873" t="s">
        <v>1420</v>
      </c>
      <c r="R873" t="s">
        <v>1717</v>
      </c>
      <c r="S873" t="s">
        <v>58</v>
      </c>
      <c r="T873" t="s">
        <v>406</v>
      </c>
      <c r="U873" t="s">
        <v>394</v>
      </c>
      <c r="V873" t="s">
        <v>58</v>
      </c>
    </row>
    <row r="874" spans="1:22" x14ac:dyDescent="0.3">
      <c r="A874" t="s">
        <v>4012</v>
      </c>
      <c r="B874" t="s">
        <v>4013</v>
      </c>
      <c r="C874" t="s">
        <v>4014</v>
      </c>
      <c r="D874" t="s">
        <v>2920</v>
      </c>
      <c r="E874" t="s">
        <v>354</v>
      </c>
      <c r="F874" t="s">
        <v>134</v>
      </c>
      <c r="G874" t="s">
        <v>103</v>
      </c>
      <c r="H874" t="s">
        <v>28</v>
      </c>
      <c r="I874" t="s">
        <v>29</v>
      </c>
      <c r="J874" t="s">
        <v>70</v>
      </c>
      <c r="K874" t="s">
        <v>215</v>
      </c>
      <c r="L874" t="s">
        <v>1611</v>
      </c>
      <c r="M874" t="s">
        <v>2307</v>
      </c>
      <c r="N874" t="s">
        <v>179</v>
      </c>
      <c r="O874" t="s">
        <v>2307</v>
      </c>
      <c r="P874" t="s">
        <v>439</v>
      </c>
      <c r="Q874" t="s">
        <v>406</v>
      </c>
      <c r="R874" t="s">
        <v>3786</v>
      </c>
      <c r="S874" t="s">
        <v>79</v>
      </c>
      <c r="T874" t="s">
        <v>461</v>
      </c>
      <c r="V874" t="s">
        <v>42</v>
      </c>
    </row>
    <row r="875" spans="1:22" x14ac:dyDescent="0.3">
      <c r="A875" t="s">
        <v>4015</v>
      </c>
      <c r="B875" t="s">
        <v>4016</v>
      </c>
      <c r="C875" t="s">
        <v>4017</v>
      </c>
      <c r="D875" t="s">
        <v>4018</v>
      </c>
      <c r="E875" t="s">
        <v>188</v>
      </c>
      <c r="F875" t="s">
        <v>188</v>
      </c>
      <c r="G875" t="s">
        <v>213</v>
      </c>
      <c r="H875" t="s">
        <v>268</v>
      </c>
      <c r="I875" t="s">
        <v>29</v>
      </c>
      <c r="J875" t="s">
        <v>30</v>
      </c>
      <c r="K875" t="s">
        <v>215</v>
      </c>
      <c r="L875" t="s">
        <v>983</v>
      </c>
      <c r="M875" t="s">
        <v>947</v>
      </c>
      <c r="N875" t="s">
        <v>179</v>
      </c>
      <c r="O875" t="s">
        <v>947</v>
      </c>
      <c r="P875" t="s">
        <v>752</v>
      </c>
      <c r="Q875" t="s">
        <v>36</v>
      </c>
      <c r="R875" t="s">
        <v>4019</v>
      </c>
      <c r="S875" t="s">
        <v>58</v>
      </c>
      <c r="T875" t="s">
        <v>369</v>
      </c>
      <c r="U875" t="s">
        <v>394</v>
      </c>
      <c r="V875" t="s">
        <v>114</v>
      </c>
    </row>
    <row r="876" spans="1:22" x14ac:dyDescent="0.3">
      <c r="A876" t="s">
        <v>4020</v>
      </c>
      <c r="B876" t="s">
        <v>444</v>
      </c>
      <c r="C876" t="s">
        <v>445</v>
      </c>
      <c r="D876" t="s">
        <v>2119</v>
      </c>
      <c r="E876" t="s">
        <v>893</v>
      </c>
      <c r="F876" t="s">
        <v>188</v>
      </c>
      <c r="G876" t="s">
        <v>103</v>
      </c>
      <c r="H876" t="s">
        <v>268</v>
      </c>
      <c r="I876" t="s">
        <v>29</v>
      </c>
      <c r="J876" t="s">
        <v>30</v>
      </c>
      <c r="K876" t="s">
        <v>31</v>
      </c>
      <c r="L876" t="s">
        <v>1139</v>
      </c>
      <c r="M876" t="s">
        <v>1455</v>
      </c>
      <c r="N876" t="s">
        <v>179</v>
      </c>
      <c r="O876" t="s">
        <v>1455</v>
      </c>
      <c r="P876" t="s">
        <v>526</v>
      </c>
      <c r="Q876" t="s">
        <v>233</v>
      </c>
      <c r="R876" t="s">
        <v>3996</v>
      </c>
      <c r="S876" t="s">
        <v>97</v>
      </c>
      <c r="T876" t="s">
        <v>369</v>
      </c>
      <c r="U876" t="s">
        <v>277</v>
      </c>
      <c r="V876" t="s">
        <v>114</v>
      </c>
    </row>
    <row r="877" spans="1:22" x14ac:dyDescent="0.3">
      <c r="A877" t="s">
        <v>4021</v>
      </c>
      <c r="B877" t="s">
        <v>2146</v>
      </c>
      <c r="C877" t="s">
        <v>2147</v>
      </c>
      <c r="D877" t="s">
        <v>4022</v>
      </c>
      <c r="E877" t="s">
        <v>893</v>
      </c>
      <c r="F877" t="s">
        <v>188</v>
      </c>
      <c r="G877" t="s">
        <v>67</v>
      </c>
      <c r="H877" t="s">
        <v>104</v>
      </c>
      <c r="I877" t="s">
        <v>69</v>
      </c>
      <c r="J877" t="s">
        <v>30</v>
      </c>
      <c r="K877" t="s">
        <v>71</v>
      </c>
      <c r="L877" t="s">
        <v>1295</v>
      </c>
      <c r="M877" t="s">
        <v>2237</v>
      </c>
      <c r="N877" t="s">
        <v>179</v>
      </c>
      <c r="O877" t="s">
        <v>2237</v>
      </c>
      <c r="P877" t="s">
        <v>526</v>
      </c>
      <c r="Q877" t="s">
        <v>489</v>
      </c>
      <c r="R877" t="s">
        <v>4023</v>
      </c>
      <c r="S877" t="s">
        <v>39</v>
      </c>
      <c r="T877" t="s">
        <v>695</v>
      </c>
      <c r="U877" t="s">
        <v>385</v>
      </c>
      <c r="V877" t="s">
        <v>114</v>
      </c>
    </row>
    <row r="878" spans="1:22" x14ac:dyDescent="0.3">
      <c r="A878" t="s">
        <v>4024</v>
      </c>
      <c r="B878" t="s">
        <v>2017</v>
      </c>
      <c r="C878" t="s">
        <v>2018</v>
      </c>
      <c r="D878" t="s">
        <v>1393</v>
      </c>
      <c r="E878" t="s">
        <v>161</v>
      </c>
      <c r="F878" t="s">
        <v>161</v>
      </c>
      <c r="G878" t="s">
        <v>580</v>
      </c>
      <c r="H878" t="s">
        <v>49</v>
      </c>
      <c r="I878" t="s">
        <v>69</v>
      </c>
      <c r="J878" t="s">
        <v>162</v>
      </c>
      <c r="K878" t="s">
        <v>215</v>
      </c>
      <c r="L878" t="s">
        <v>189</v>
      </c>
      <c r="M878" t="s">
        <v>109</v>
      </c>
      <c r="N878" t="s">
        <v>613</v>
      </c>
      <c r="O878" t="s">
        <v>1485</v>
      </c>
      <c r="P878" t="s">
        <v>1322</v>
      </c>
      <c r="Q878" t="s">
        <v>107</v>
      </c>
      <c r="R878" t="s">
        <v>4025</v>
      </c>
      <c r="S878" t="s">
        <v>126</v>
      </c>
      <c r="T878" t="s">
        <v>384</v>
      </c>
      <c r="U878" t="s">
        <v>394</v>
      </c>
      <c r="V878" t="s">
        <v>82</v>
      </c>
    </row>
    <row r="879" spans="1:22" x14ac:dyDescent="0.3">
      <c r="A879" t="s">
        <v>4026</v>
      </c>
      <c r="B879" t="s">
        <v>4027</v>
      </c>
      <c r="C879" t="s">
        <v>4028</v>
      </c>
      <c r="D879" t="s">
        <v>4029</v>
      </c>
      <c r="E879" t="s">
        <v>228</v>
      </c>
      <c r="F879" t="s">
        <v>228</v>
      </c>
      <c r="G879" t="s">
        <v>27</v>
      </c>
      <c r="H879" t="s">
        <v>68</v>
      </c>
      <c r="I879" t="s">
        <v>69</v>
      </c>
      <c r="J879" t="s">
        <v>162</v>
      </c>
      <c r="K879" t="s">
        <v>200</v>
      </c>
      <c r="L879" t="s">
        <v>111</v>
      </c>
      <c r="M879" t="s">
        <v>4030</v>
      </c>
      <c r="N879" t="s">
        <v>655</v>
      </c>
      <c r="O879" t="s">
        <v>4031</v>
      </c>
      <c r="P879" t="s">
        <v>590</v>
      </c>
      <c r="Q879" t="s">
        <v>149</v>
      </c>
      <c r="R879" t="s">
        <v>4032</v>
      </c>
      <c r="S879" t="s">
        <v>79</v>
      </c>
      <c r="T879" t="s">
        <v>2765</v>
      </c>
      <c r="U879" t="s">
        <v>867</v>
      </c>
      <c r="V879" t="s">
        <v>114</v>
      </c>
    </row>
    <row r="880" spans="1:22" x14ac:dyDescent="0.3">
      <c r="A880" t="s">
        <v>4033</v>
      </c>
      <c r="B880" t="s">
        <v>3204</v>
      </c>
      <c r="C880" t="s">
        <v>3205</v>
      </c>
      <c r="D880" t="s">
        <v>4034</v>
      </c>
      <c r="E880" t="s">
        <v>354</v>
      </c>
      <c r="F880" t="s">
        <v>134</v>
      </c>
      <c r="G880" t="s">
        <v>103</v>
      </c>
      <c r="H880" t="s">
        <v>88</v>
      </c>
      <c r="I880" t="s">
        <v>69</v>
      </c>
      <c r="J880" t="s">
        <v>30</v>
      </c>
      <c r="K880" t="s">
        <v>215</v>
      </c>
      <c r="L880" t="s">
        <v>1211</v>
      </c>
      <c r="M880" t="s">
        <v>1647</v>
      </c>
      <c r="N880" t="s">
        <v>179</v>
      </c>
      <c r="O880" t="s">
        <v>1647</v>
      </c>
      <c r="P880" t="s">
        <v>250</v>
      </c>
      <c r="Q880" t="s">
        <v>602</v>
      </c>
      <c r="R880" t="s">
        <v>4035</v>
      </c>
      <c r="S880" t="s">
        <v>182</v>
      </c>
      <c r="T880" t="s">
        <v>384</v>
      </c>
      <c r="U880" t="s">
        <v>867</v>
      </c>
      <c r="V880" t="s">
        <v>58</v>
      </c>
    </row>
    <row r="881" spans="1:22" x14ac:dyDescent="0.3">
      <c r="A881" t="s">
        <v>4036</v>
      </c>
      <c r="B881" t="s">
        <v>1816</v>
      </c>
      <c r="C881" t="s">
        <v>1817</v>
      </c>
      <c r="D881" t="s">
        <v>3112</v>
      </c>
      <c r="E881" t="s">
        <v>134</v>
      </c>
      <c r="F881" t="s">
        <v>134</v>
      </c>
      <c r="G881" t="s">
        <v>67</v>
      </c>
      <c r="H881" t="s">
        <v>68</v>
      </c>
      <c r="I881" t="s">
        <v>69</v>
      </c>
      <c r="J881" t="s">
        <v>30</v>
      </c>
      <c r="K881" t="s">
        <v>71</v>
      </c>
      <c r="L881" t="s">
        <v>766</v>
      </c>
      <c r="M881" t="s">
        <v>1364</v>
      </c>
      <c r="N881" t="s">
        <v>179</v>
      </c>
      <c r="O881" t="s">
        <v>1364</v>
      </c>
      <c r="P881" t="s">
        <v>1553</v>
      </c>
      <c r="Q881" t="s">
        <v>382</v>
      </c>
      <c r="R881" t="s">
        <v>4037</v>
      </c>
      <c r="S881" t="s">
        <v>182</v>
      </c>
      <c r="T881" t="s">
        <v>276</v>
      </c>
      <c r="U881" t="s">
        <v>373</v>
      </c>
      <c r="V881" t="s">
        <v>58</v>
      </c>
    </row>
    <row r="882" spans="1:22" x14ac:dyDescent="0.3">
      <c r="A882" t="s">
        <v>4038</v>
      </c>
      <c r="B882" t="s">
        <v>3825</v>
      </c>
      <c r="C882" t="s">
        <v>3826</v>
      </c>
      <c r="D882" t="s">
        <v>841</v>
      </c>
      <c r="E882" t="s">
        <v>378</v>
      </c>
      <c r="F882" t="s">
        <v>282</v>
      </c>
      <c r="G882" t="s">
        <v>27</v>
      </c>
      <c r="H882" t="s">
        <v>68</v>
      </c>
      <c r="I882" t="s">
        <v>29</v>
      </c>
      <c r="J882" t="s">
        <v>70</v>
      </c>
      <c r="K882" t="s">
        <v>245</v>
      </c>
      <c r="L882" t="s">
        <v>269</v>
      </c>
      <c r="M882" t="s">
        <v>565</v>
      </c>
      <c r="N882" t="s">
        <v>53</v>
      </c>
      <c r="O882" t="s">
        <v>439</v>
      </c>
      <c r="P882" t="s">
        <v>714</v>
      </c>
      <c r="Q882" t="s">
        <v>529</v>
      </c>
      <c r="R882" t="s">
        <v>4039</v>
      </c>
      <c r="S882" t="s">
        <v>182</v>
      </c>
      <c r="T882" t="s">
        <v>440</v>
      </c>
      <c r="U882" t="s">
        <v>128</v>
      </c>
      <c r="V882" t="s">
        <v>79</v>
      </c>
    </row>
    <row r="883" spans="1:22" x14ac:dyDescent="0.3">
      <c r="A883" t="s">
        <v>4040</v>
      </c>
      <c r="B883" t="s">
        <v>2552</v>
      </c>
      <c r="C883" t="s">
        <v>2553</v>
      </c>
      <c r="D883" t="s">
        <v>884</v>
      </c>
      <c r="E883" t="s">
        <v>438</v>
      </c>
      <c r="F883" t="s">
        <v>188</v>
      </c>
      <c r="G883" t="s">
        <v>580</v>
      </c>
      <c r="H883" t="s">
        <v>214</v>
      </c>
      <c r="I883" t="s">
        <v>69</v>
      </c>
      <c r="J883" t="s">
        <v>30</v>
      </c>
      <c r="K883" t="s">
        <v>245</v>
      </c>
      <c r="L883" t="s">
        <v>1295</v>
      </c>
      <c r="M883" t="s">
        <v>2387</v>
      </c>
      <c r="N883" t="s">
        <v>1434</v>
      </c>
      <c r="O883" t="s">
        <v>4041</v>
      </c>
      <c r="P883" t="s">
        <v>192</v>
      </c>
      <c r="Q883" t="s">
        <v>767</v>
      </c>
      <c r="R883" t="s">
        <v>4042</v>
      </c>
      <c r="S883" t="s">
        <v>58</v>
      </c>
      <c r="T883" t="s">
        <v>37</v>
      </c>
      <c r="U883" t="s">
        <v>537</v>
      </c>
      <c r="V883" t="s">
        <v>82</v>
      </c>
    </row>
    <row r="884" spans="1:22" x14ac:dyDescent="0.3">
      <c r="A884" t="s">
        <v>4043</v>
      </c>
      <c r="B884" t="s">
        <v>615</v>
      </c>
      <c r="C884" t="s">
        <v>616</v>
      </c>
      <c r="D884" t="s">
        <v>4044</v>
      </c>
      <c r="E884" t="s">
        <v>176</v>
      </c>
      <c r="F884" t="s">
        <v>161</v>
      </c>
      <c r="G884" t="s">
        <v>580</v>
      </c>
      <c r="H884" t="s">
        <v>49</v>
      </c>
      <c r="I884" t="s">
        <v>69</v>
      </c>
      <c r="J884" t="s">
        <v>30</v>
      </c>
      <c r="K884" t="s">
        <v>293</v>
      </c>
      <c r="L884" t="s">
        <v>177</v>
      </c>
      <c r="M884" t="s">
        <v>52</v>
      </c>
      <c r="N884" t="s">
        <v>1230</v>
      </c>
      <c r="O884" t="s">
        <v>2037</v>
      </c>
      <c r="P884" t="s">
        <v>107</v>
      </c>
      <c r="Q884" t="s">
        <v>361</v>
      </c>
      <c r="R884" t="s">
        <v>4045</v>
      </c>
      <c r="S884" t="s">
        <v>58</v>
      </c>
      <c r="T884" t="s">
        <v>1224</v>
      </c>
      <c r="U884" t="s">
        <v>362</v>
      </c>
      <c r="V884" t="s">
        <v>114</v>
      </c>
    </row>
    <row r="885" spans="1:22" x14ac:dyDescent="0.3">
      <c r="A885" t="s">
        <v>4046</v>
      </c>
      <c r="B885" t="s">
        <v>2000</v>
      </c>
      <c r="C885" t="s">
        <v>2001</v>
      </c>
      <c r="D885" t="s">
        <v>3624</v>
      </c>
      <c r="E885" t="s">
        <v>65</v>
      </c>
      <c r="F885" t="s">
        <v>66</v>
      </c>
      <c r="G885" t="s">
        <v>67</v>
      </c>
      <c r="H885" t="s">
        <v>104</v>
      </c>
      <c r="I885" t="s">
        <v>69</v>
      </c>
      <c r="J885" t="s">
        <v>162</v>
      </c>
      <c r="K885" t="s">
        <v>71</v>
      </c>
      <c r="L885" t="s">
        <v>294</v>
      </c>
      <c r="M885" t="s">
        <v>526</v>
      </c>
      <c r="N885" t="s">
        <v>179</v>
      </c>
      <c r="O885" t="s">
        <v>526</v>
      </c>
      <c r="P885" t="s">
        <v>2549</v>
      </c>
      <c r="Q885" t="s">
        <v>600</v>
      </c>
      <c r="R885" t="s">
        <v>4047</v>
      </c>
      <c r="S885" t="s">
        <v>79</v>
      </c>
      <c r="T885" t="s">
        <v>170</v>
      </c>
      <c r="U885" t="s">
        <v>300</v>
      </c>
      <c r="V885" t="s">
        <v>42</v>
      </c>
    </row>
    <row r="886" spans="1:22" x14ac:dyDescent="0.3">
      <c r="A886" t="s">
        <v>4048</v>
      </c>
      <c r="B886" t="s">
        <v>995</v>
      </c>
      <c r="C886" t="s">
        <v>996</v>
      </c>
      <c r="D886" t="s">
        <v>884</v>
      </c>
      <c r="E886" t="s">
        <v>66</v>
      </c>
      <c r="F886" t="s">
        <v>66</v>
      </c>
      <c r="G886" t="s">
        <v>580</v>
      </c>
      <c r="H886" t="s">
        <v>229</v>
      </c>
      <c r="I886" t="s">
        <v>69</v>
      </c>
      <c r="J886" t="s">
        <v>30</v>
      </c>
      <c r="K886" t="s">
        <v>215</v>
      </c>
      <c r="L886" t="s">
        <v>561</v>
      </c>
      <c r="M886" t="s">
        <v>2641</v>
      </c>
      <c r="N886" t="s">
        <v>648</v>
      </c>
      <c r="O886" t="s">
        <v>1289</v>
      </c>
      <c r="P886" t="s">
        <v>1114</v>
      </c>
      <c r="Q886" t="s">
        <v>319</v>
      </c>
      <c r="R886" t="s">
        <v>4049</v>
      </c>
      <c r="S886" t="s">
        <v>58</v>
      </c>
      <c r="T886" t="s">
        <v>137</v>
      </c>
      <c r="U886" t="s">
        <v>41</v>
      </c>
      <c r="V886" t="s">
        <v>79</v>
      </c>
    </row>
    <row r="887" spans="1:22" x14ac:dyDescent="0.3">
      <c r="A887" t="s">
        <v>4050</v>
      </c>
      <c r="B887" t="s">
        <v>2510</v>
      </c>
      <c r="C887" t="s">
        <v>2511</v>
      </c>
      <c r="D887" t="s">
        <v>1078</v>
      </c>
      <c r="E887" t="s">
        <v>780</v>
      </c>
      <c r="F887" t="s">
        <v>282</v>
      </c>
      <c r="G887" t="s">
        <v>67</v>
      </c>
      <c r="H887" t="s">
        <v>28</v>
      </c>
      <c r="I887" t="s">
        <v>69</v>
      </c>
      <c r="J887" t="s">
        <v>70</v>
      </c>
      <c r="K887" t="s">
        <v>215</v>
      </c>
      <c r="L887" t="s">
        <v>561</v>
      </c>
      <c r="M887" t="s">
        <v>4051</v>
      </c>
      <c r="N887" t="s">
        <v>179</v>
      </c>
      <c r="O887" t="s">
        <v>4051</v>
      </c>
      <c r="P887" t="s">
        <v>3534</v>
      </c>
      <c r="Q887" t="s">
        <v>1028</v>
      </c>
      <c r="R887" t="s">
        <v>3996</v>
      </c>
      <c r="S887" t="s">
        <v>39</v>
      </c>
      <c r="T887" t="s">
        <v>489</v>
      </c>
      <c r="U887" t="s">
        <v>98</v>
      </c>
      <c r="V887" t="s">
        <v>114</v>
      </c>
    </row>
    <row r="888" spans="1:22" x14ac:dyDescent="0.3">
      <c r="A888" t="s">
        <v>4052</v>
      </c>
      <c r="B888" t="s">
        <v>956</v>
      </c>
      <c r="C888" t="s">
        <v>957</v>
      </c>
      <c r="D888" t="s">
        <v>3331</v>
      </c>
      <c r="E888" t="s">
        <v>282</v>
      </c>
      <c r="F888" t="s">
        <v>282</v>
      </c>
      <c r="G888" t="s">
        <v>67</v>
      </c>
      <c r="H888" t="s">
        <v>104</v>
      </c>
      <c r="I888" t="s">
        <v>29</v>
      </c>
      <c r="J888" t="s">
        <v>30</v>
      </c>
      <c r="K888" t="s">
        <v>89</v>
      </c>
      <c r="L888" t="s">
        <v>258</v>
      </c>
      <c r="M888" t="s">
        <v>856</v>
      </c>
      <c r="N888" t="s">
        <v>179</v>
      </c>
      <c r="O888" t="s">
        <v>856</v>
      </c>
      <c r="P888" t="s">
        <v>136</v>
      </c>
      <c r="Q888" t="s">
        <v>259</v>
      </c>
      <c r="R888" t="s">
        <v>4053</v>
      </c>
      <c r="S888" t="s">
        <v>126</v>
      </c>
      <c r="T888" t="s">
        <v>1162</v>
      </c>
      <c r="U888" t="s">
        <v>60</v>
      </c>
      <c r="V888" t="s">
        <v>114</v>
      </c>
    </row>
    <row r="889" spans="1:22" x14ac:dyDescent="0.3">
      <c r="A889" t="s">
        <v>4054</v>
      </c>
      <c r="B889" t="s">
        <v>2005</v>
      </c>
      <c r="C889" t="s">
        <v>2006</v>
      </c>
      <c r="D889" t="s">
        <v>3035</v>
      </c>
      <c r="E889" t="s">
        <v>47</v>
      </c>
      <c r="F889" t="s">
        <v>26</v>
      </c>
      <c r="G889" t="s">
        <v>118</v>
      </c>
      <c r="H889" t="s">
        <v>49</v>
      </c>
      <c r="I889" t="s">
        <v>29</v>
      </c>
      <c r="J889" t="s">
        <v>30</v>
      </c>
      <c r="K889" t="s">
        <v>215</v>
      </c>
      <c r="L889" t="s">
        <v>163</v>
      </c>
      <c r="M889" t="s">
        <v>273</v>
      </c>
      <c r="N889" t="s">
        <v>553</v>
      </c>
      <c r="O889" t="s">
        <v>3312</v>
      </c>
      <c r="P889" t="s">
        <v>590</v>
      </c>
      <c r="Q889" t="s">
        <v>1430</v>
      </c>
      <c r="R889" t="s">
        <v>4055</v>
      </c>
      <c r="S889" t="s">
        <v>97</v>
      </c>
      <c r="T889" t="s">
        <v>1043</v>
      </c>
      <c r="U889" t="s">
        <v>407</v>
      </c>
      <c r="V889" t="s">
        <v>82</v>
      </c>
    </row>
    <row r="890" spans="1:22" x14ac:dyDescent="0.3">
      <c r="A890" t="s">
        <v>4056</v>
      </c>
      <c r="B890" t="s">
        <v>809</v>
      </c>
      <c r="C890" t="s">
        <v>810</v>
      </c>
      <c r="D890" t="s">
        <v>1009</v>
      </c>
      <c r="E890" t="s">
        <v>267</v>
      </c>
      <c r="F890" t="s">
        <v>66</v>
      </c>
      <c r="G890" t="s">
        <v>213</v>
      </c>
      <c r="H890" t="s">
        <v>268</v>
      </c>
      <c r="I890" t="s">
        <v>29</v>
      </c>
      <c r="J890" t="s">
        <v>30</v>
      </c>
      <c r="K890" t="s">
        <v>230</v>
      </c>
      <c r="L890" t="s">
        <v>663</v>
      </c>
      <c r="M890" t="s">
        <v>1202</v>
      </c>
      <c r="N890" t="s">
        <v>392</v>
      </c>
      <c r="O890" t="s">
        <v>1997</v>
      </c>
      <c r="P890" t="s">
        <v>1539</v>
      </c>
      <c r="Q890" t="s">
        <v>1569</v>
      </c>
      <c r="R890" t="s">
        <v>4057</v>
      </c>
      <c r="S890" t="s">
        <v>39</v>
      </c>
      <c r="T890" t="s">
        <v>735</v>
      </c>
      <c r="U890" t="s">
        <v>98</v>
      </c>
      <c r="V890" t="s">
        <v>82</v>
      </c>
    </row>
    <row r="891" spans="1:22" x14ac:dyDescent="0.3">
      <c r="A891" t="s">
        <v>4058</v>
      </c>
      <c r="B891" t="s">
        <v>2266</v>
      </c>
      <c r="C891" t="s">
        <v>2267</v>
      </c>
      <c r="D891" t="s">
        <v>2772</v>
      </c>
      <c r="E891" t="s">
        <v>267</v>
      </c>
      <c r="F891" t="s">
        <v>66</v>
      </c>
      <c r="G891" t="s">
        <v>147</v>
      </c>
      <c r="H891" t="s">
        <v>214</v>
      </c>
      <c r="I891" t="s">
        <v>69</v>
      </c>
      <c r="J891" t="s">
        <v>70</v>
      </c>
      <c r="K891" t="s">
        <v>200</v>
      </c>
      <c r="L891" t="s">
        <v>487</v>
      </c>
      <c r="M891" t="s">
        <v>3348</v>
      </c>
      <c r="N891" t="s">
        <v>183</v>
      </c>
      <c r="O891" t="s">
        <v>879</v>
      </c>
      <c r="P891" t="s">
        <v>1527</v>
      </c>
      <c r="Q891" t="s">
        <v>237</v>
      </c>
      <c r="R891" t="s">
        <v>4059</v>
      </c>
      <c r="S891" t="s">
        <v>97</v>
      </c>
      <c r="T891" t="s">
        <v>203</v>
      </c>
      <c r="U891" t="s">
        <v>407</v>
      </c>
      <c r="V891" t="s">
        <v>58</v>
      </c>
    </row>
    <row r="892" spans="1:22" x14ac:dyDescent="0.3">
      <c r="A892" t="s">
        <v>4060</v>
      </c>
      <c r="B892" t="s">
        <v>1468</v>
      </c>
      <c r="C892" t="s">
        <v>1469</v>
      </c>
      <c r="D892" t="s">
        <v>4061</v>
      </c>
      <c r="E892" t="s">
        <v>227</v>
      </c>
      <c r="F892" t="s">
        <v>228</v>
      </c>
      <c r="G892" t="s">
        <v>580</v>
      </c>
      <c r="H892" t="s">
        <v>49</v>
      </c>
      <c r="I892" t="s">
        <v>69</v>
      </c>
      <c r="J892" t="s">
        <v>70</v>
      </c>
      <c r="K892" t="s">
        <v>31</v>
      </c>
      <c r="L892" t="s">
        <v>269</v>
      </c>
      <c r="M892" t="s">
        <v>1681</v>
      </c>
      <c r="N892" t="s">
        <v>121</v>
      </c>
      <c r="O892" t="s">
        <v>1011</v>
      </c>
      <c r="P892" t="s">
        <v>138</v>
      </c>
      <c r="Q892" t="s">
        <v>59</v>
      </c>
      <c r="R892" t="s">
        <v>4062</v>
      </c>
      <c r="S892" t="s">
        <v>182</v>
      </c>
      <c r="T892" t="s">
        <v>59</v>
      </c>
      <c r="U892" t="s">
        <v>867</v>
      </c>
      <c r="V892" t="s">
        <v>58</v>
      </c>
    </row>
    <row r="893" spans="1:22" x14ac:dyDescent="0.3">
      <c r="A893" t="s">
        <v>4063</v>
      </c>
      <c r="B893" t="s">
        <v>1343</v>
      </c>
      <c r="C893" t="s">
        <v>1344</v>
      </c>
      <c r="D893" t="s">
        <v>4064</v>
      </c>
      <c r="E893" t="s">
        <v>780</v>
      </c>
      <c r="F893" t="s">
        <v>282</v>
      </c>
      <c r="G893" t="s">
        <v>103</v>
      </c>
      <c r="H893" t="s">
        <v>28</v>
      </c>
      <c r="I893" t="s">
        <v>69</v>
      </c>
      <c r="J893" t="s">
        <v>70</v>
      </c>
      <c r="K893" t="s">
        <v>215</v>
      </c>
      <c r="L893" t="s">
        <v>773</v>
      </c>
      <c r="M893" t="s">
        <v>1039</v>
      </c>
      <c r="N893" t="s">
        <v>179</v>
      </c>
      <c r="O893" t="s">
        <v>1039</v>
      </c>
      <c r="P893" t="s">
        <v>1872</v>
      </c>
      <c r="Q893" t="s">
        <v>391</v>
      </c>
      <c r="R893" t="s">
        <v>4065</v>
      </c>
      <c r="S893" t="s">
        <v>97</v>
      </c>
      <c r="T893" t="s">
        <v>567</v>
      </c>
      <c r="U893" t="s">
        <v>98</v>
      </c>
      <c r="V893" t="s">
        <v>79</v>
      </c>
    </row>
    <row r="894" spans="1:22" x14ac:dyDescent="0.3">
      <c r="A894" t="s">
        <v>4066</v>
      </c>
      <c r="B894" t="s">
        <v>4067</v>
      </c>
      <c r="C894" t="s">
        <v>4068</v>
      </c>
      <c r="D894" t="s">
        <v>1363</v>
      </c>
      <c r="E894" t="s">
        <v>133</v>
      </c>
      <c r="F894" t="s">
        <v>134</v>
      </c>
      <c r="G894" t="s">
        <v>213</v>
      </c>
      <c r="H894" t="s">
        <v>268</v>
      </c>
      <c r="I894" t="s">
        <v>69</v>
      </c>
      <c r="J894" t="s">
        <v>30</v>
      </c>
      <c r="K894" t="s">
        <v>50</v>
      </c>
      <c r="L894" t="s">
        <v>1139</v>
      </c>
      <c r="M894" t="s">
        <v>4069</v>
      </c>
      <c r="N894" t="s">
        <v>179</v>
      </c>
      <c r="O894" t="s">
        <v>4069</v>
      </c>
      <c r="P894" t="s">
        <v>1634</v>
      </c>
      <c r="Q894" t="s">
        <v>1769</v>
      </c>
      <c r="R894" t="s">
        <v>4070</v>
      </c>
      <c r="S894" t="s">
        <v>97</v>
      </c>
      <c r="T894" t="s">
        <v>336</v>
      </c>
      <c r="U894" t="s">
        <v>394</v>
      </c>
      <c r="V894" t="s">
        <v>42</v>
      </c>
    </row>
    <row r="895" spans="1:22" x14ac:dyDescent="0.3">
      <c r="A895" t="s">
        <v>4071</v>
      </c>
      <c r="B895" t="s">
        <v>62</v>
      </c>
      <c r="C895" t="s">
        <v>63</v>
      </c>
      <c r="D895" t="s">
        <v>1138</v>
      </c>
      <c r="E895" t="s">
        <v>780</v>
      </c>
      <c r="F895" t="s">
        <v>282</v>
      </c>
      <c r="G895" t="s">
        <v>48</v>
      </c>
      <c r="H895" t="s">
        <v>28</v>
      </c>
      <c r="I895" t="s">
        <v>69</v>
      </c>
      <c r="J895" t="s">
        <v>30</v>
      </c>
      <c r="K895" t="s">
        <v>215</v>
      </c>
      <c r="L895" t="s">
        <v>362</v>
      </c>
      <c r="M895" t="s">
        <v>2600</v>
      </c>
      <c r="N895" t="s">
        <v>179</v>
      </c>
      <c r="O895" t="s">
        <v>2600</v>
      </c>
      <c r="P895" t="s">
        <v>850</v>
      </c>
      <c r="Q895" t="s">
        <v>109</v>
      </c>
      <c r="R895" t="s">
        <v>4072</v>
      </c>
      <c r="S895" t="s">
        <v>97</v>
      </c>
      <c r="T895" t="s">
        <v>770</v>
      </c>
      <c r="U895" t="s">
        <v>288</v>
      </c>
      <c r="V895" t="s">
        <v>58</v>
      </c>
    </row>
    <row r="896" spans="1:22" x14ac:dyDescent="0.3">
      <c r="A896" t="s">
        <v>4073</v>
      </c>
      <c r="B896" t="s">
        <v>1904</v>
      </c>
      <c r="C896" t="s">
        <v>1905</v>
      </c>
      <c r="D896" t="s">
        <v>4074</v>
      </c>
      <c r="E896" t="s">
        <v>66</v>
      </c>
      <c r="F896" t="s">
        <v>66</v>
      </c>
      <c r="G896" t="s">
        <v>213</v>
      </c>
      <c r="H896" t="s">
        <v>68</v>
      </c>
      <c r="I896" t="s">
        <v>29</v>
      </c>
      <c r="J896" t="s">
        <v>30</v>
      </c>
      <c r="K896" t="s">
        <v>293</v>
      </c>
      <c r="L896" t="s">
        <v>177</v>
      </c>
      <c r="M896" t="s">
        <v>2378</v>
      </c>
      <c r="N896" t="s">
        <v>179</v>
      </c>
      <c r="O896" t="s">
        <v>2378</v>
      </c>
      <c r="P896" t="s">
        <v>359</v>
      </c>
      <c r="Q896" t="s">
        <v>553</v>
      </c>
      <c r="R896" t="s">
        <v>1139</v>
      </c>
      <c r="S896" t="s">
        <v>126</v>
      </c>
      <c r="T896" t="s">
        <v>543</v>
      </c>
      <c r="U896" t="s">
        <v>98</v>
      </c>
      <c r="V896" t="s">
        <v>58</v>
      </c>
    </row>
    <row r="897" spans="1:22" x14ac:dyDescent="0.3">
      <c r="A897" t="s">
        <v>4075</v>
      </c>
      <c r="B897" t="s">
        <v>2213</v>
      </c>
      <c r="C897" t="s">
        <v>2214</v>
      </c>
      <c r="D897" t="s">
        <v>398</v>
      </c>
      <c r="E897" t="s">
        <v>161</v>
      </c>
      <c r="F897" t="s">
        <v>161</v>
      </c>
      <c r="G897" t="s">
        <v>103</v>
      </c>
      <c r="H897" t="s">
        <v>214</v>
      </c>
      <c r="I897" t="s">
        <v>69</v>
      </c>
      <c r="J897" t="s">
        <v>30</v>
      </c>
      <c r="K897" t="s">
        <v>200</v>
      </c>
      <c r="L897" t="s">
        <v>362</v>
      </c>
      <c r="M897" t="s">
        <v>2325</v>
      </c>
      <c r="N897" t="s">
        <v>179</v>
      </c>
      <c r="O897" t="s">
        <v>2325</v>
      </c>
      <c r="P897" t="s">
        <v>1680</v>
      </c>
      <c r="Q897" t="s">
        <v>1043</v>
      </c>
      <c r="R897" t="s">
        <v>4076</v>
      </c>
      <c r="S897" t="s">
        <v>39</v>
      </c>
      <c r="T897" t="s">
        <v>56</v>
      </c>
      <c r="U897" t="s">
        <v>407</v>
      </c>
      <c r="V897" t="s">
        <v>82</v>
      </c>
    </row>
    <row r="898" spans="1:22" x14ac:dyDescent="0.3">
      <c r="A898" t="s">
        <v>4077</v>
      </c>
      <c r="B898" t="s">
        <v>144</v>
      </c>
      <c r="C898" t="s">
        <v>145</v>
      </c>
      <c r="D898" t="s">
        <v>3475</v>
      </c>
      <c r="E898" t="s">
        <v>378</v>
      </c>
      <c r="F898" t="s">
        <v>282</v>
      </c>
      <c r="G898" t="s">
        <v>213</v>
      </c>
      <c r="H898" t="s">
        <v>4078</v>
      </c>
      <c r="I898" t="s">
        <v>69</v>
      </c>
      <c r="J898" t="s">
        <v>30</v>
      </c>
      <c r="K898" t="s">
        <v>89</v>
      </c>
      <c r="L898" t="s">
        <v>871</v>
      </c>
      <c r="M898" t="s">
        <v>635</v>
      </c>
      <c r="N898" t="s">
        <v>499</v>
      </c>
      <c r="O898" t="s">
        <v>4079</v>
      </c>
      <c r="P898" t="s">
        <v>1872</v>
      </c>
      <c r="Q898" t="s">
        <v>1665</v>
      </c>
      <c r="R898" t="s">
        <v>4080</v>
      </c>
      <c r="S898" t="s">
        <v>97</v>
      </c>
      <c r="T898" t="s">
        <v>721</v>
      </c>
      <c r="U898" t="s">
        <v>362</v>
      </c>
      <c r="V898" t="s">
        <v>58</v>
      </c>
    </row>
    <row r="899" spans="1:22" x14ac:dyDescent="0.3">
      <c r="A899" t="s">
        <v>4081</v>
      </c>
      <c r="B899" t="s">
        <v>2219</v>
      </c>
      <c r="C899" t="s">
        <v>2220</v>
      </c>
      <c r="D899" t="s">
        <v>2940</v>
      </c>
      <c r="E899" t="s">
        <v>780</v>
      </c>
      <c r="F899" t="s">
        <v>282</v>
      </c>
      <c r="G899" t="s">
        <v>67</v>
      </c>
      <c r="H899" t="s">
        <v>49</v>
      </c>
      <c r="I899" t="s">
        <v>29</v>
      </c>
      <c r="J899" t="s">
        <v>30</v>
      </c>
      <c r="K899" t="s">
        <v>31</v>
      </c>
      <c r="L899" t="s">
        <v>258</v>
      </c>
      <c r="M899" t="s">
        <v>2785</v>
      </c>
      <c r="N899" t="s">
        <v>179</v>
      </c>
      <c r="O899" t="s">
        <v>2785</v>
      </c>
      <c r="P899" t="s">
        <v>4082</v>
      </c>
      <c r="Q899" t="s">
        <v>619</v>
      </c>
      <c r="R899" t="s">
        <v>2019</v>
      </c>
      <c r="S899" t="s">
        <v>79</v>
      </c>
      <c r="T899" t="s">
        <v>1568</v>
      </c>
      <c r="U899" t="s">
        <v>300</v>
      </c>
      <c r="V899" t="s">
        <v>82</v>
      </c>
    </row>
    <row r="900" spans="1:22" x14ac:dyDescent="0.3">
      <c r="A900" t="s">
        <v>4083</v>
      </c>
      <c r="B900" t="s">
        <v>1101</v>
      </c>
      <c r="C900" t="s">
        <v>1102</v>
      </c>
      <c r="D900" t="s">
        <v>4084</v>
      </c>
      <c r="E900" t="s">
        <v>47</v>
      </c>
      <c r="F900" t="s">
        <v>26</v>
      </c>
      <c r="G900" t="s">
        <v>118</v>
      </c>
      <c r="H900" t="s">
        <v>28</v>
      </c>
      <c r="I900" t="s">
        <v>69</v>
      </c>
      <c r="J900" t="s">
        <v>30</v>
      </c>
      <c r="K900" t="s">
        <v>215</v>
      </c>
      <c r="L900" t="s">
        <v>812</v>
      </c>
      <c r="M900" t="s">
        <v>3061</v>
      </c>
      <c r="N900" t="s">
        <v>179</v>
      </c>
      <c r="O900" t="s">
        <v>3061</v>
      </c>
      <c r="P900" t="s">
        <v>477</v>
      </c>
      <c r="Q900" t="s">
        <v>319</v>
      </c>
      <c r="R900" t="s">
        <v>4085</v>
      </c>
      <c r="S900" t="s">
        <v>58</v>
      </c>
      <c r="T900" t="s">
        <v>448</v>
      </c>
      <c r="U900" t="s">
        <v>300</v>
      </c>
      <c r="V900" t="s">
        <v>114</v>
      </c>
    </row>
    <row r="901" spans="1:22" x14ac:dyDescent="0.3">
      <c r="A901" t="s">
        <v>4086</v>
      </c>
      <c r="B901" t="s">
        <v>2954</v>
      </c>
      <c r="C901" t="s">
        <v>2955</v>
      </c>
      <c r="D901" t="s">
        <v>512</v>
      </c>
      <c r="E901" t="s">
        <v>26</v>
      </c>
      <c r="F901" t="s">
        <v>26</v>
      </c>
      <c r="G901" t="s">
        <v>48</v>
      </c>
      <c r="H901" t="s">
        <v>49</v>
      </c>
      <c r="I901" t="s">
        <v>29</v>
      </c>
      <c r="J901" t="s">
        <v>30</v>
      </c>
      <c r="K901" t="s">
        <v>200</v>
      </c>
      <c r="L901" t="s">
        <v>32</v>
      </c>
      <c r="M901" t="s">
        <v>122</v>
      </c>
      <c r="N901" t="s">
        <v>179</v>
      </c>
      <c r="O901" t="s">
        <v>122</v>
      </c>
      <c r="P901" t="s">
        <v>2176</v>
      </c>
      <c r="Q901" t="s">
        <v>250</v>
      </c>
      <c r="R901" t="s">
        <v>2713</v>
      </c>
      <c r="S901" t="s">
        <v>79</v>
      </c>
      <c r="T901" t="s">
        <v>112</v>
      </c>
      <c r="U901" t="s">
        <v>277</v>
      </c>
      <c r="V901" t="s">
        <v>114</v>
      </c>
    </row>
    <row r="902" spans="1:22" x14ac:dyDescent="0.3">
      <c r="A902" t="s">
        <v>4087</v>
      </c>
      <c r="B902" t="s">
        <v>2510</v>
      </c>
      <c r="C902" t="s">
        <v>2511</v>
      </c>
      <c r="D902" t="s">
        <v>4088</v>
      </c>
      <c r="E902" t="s">
        <v>267</v>
      </c>
      <c r="F902" t="s">
        <v>66</v>
      </c>
      <c r="G902" t="s">
        <v>67</v>
      </c>
      <c r="H902" t="s">
        <v>49</v>
      </c>
      <c r="I902" t="s">
        <v>69</v>
      </c>
      <c r="J902" t="s">
        <v>30</v>
      </c>
      <c r="K902" t="s">
        <v>245</v>
      </c>
      <c r="L902" t="s">
        <v>428</v>
      </c>
      <c r="M902" t="s">
        <v>2764</v>
      </c>
      <c r="N902" t="s">
        <v>92</v>
      </c>
      <c r="O902" t="s">
        <v>345</v>
      </c>
      <c r="P902" t="s">
        <v>2038</v>
      </c>
      <c r="Q902" t="s">
        <v>334</v>
      </c>
      <c r="R902" t="s">
        <v>4089</v>
      </c>
      <c r="S902" t="s">
        <v>182</v>
      </c>
      <c r="T902" t="s">
        <v>191</v>
      </c>
      <c r="U902" t="s">
        <v>373</v>
      </c>
      <c r="V902" t="s">
        <v>79</v>
      </c>
    </row>
    <row r="903" spans="1:22" x14ac:dyDescent="0.3">
      <c r="A903" t="s">
        <v>4090</v>
      </c>
      <c r="B903" t="s">
        <v>4091</v>
      </c>
      <c r="C903" t="s">
        <v>4092</v>
      </c>
      <c r="D903" t="s">
        <v>1228</v>
      </c>
      <c r="E903" t="s">
        <v>65</v>
      </c>
      <c r="F903" t="s">
        <v>66</v>
      </c>
      <c r="G903" t="s">
        <v>103</v>
      </c>
      <c r="H903" t="s">
        <v>229</v>
      </c>
      <c r="I903" t="s">
        <v>29</v>
      </c>
      <c r="J903" t="s">
        <v>30</v>
      </c>
      <c r="K903" t="s">
        <v>71</v>
      </c>
      <c r="L903" t="s">
        <v>937</v>
      </c>
      <c r="M903" t="s">
        <v>4093</v>
      </c>
      <c r="N903" t="s">
        <v>326</v>
      </c>
      <c r="O903" t="s">
        <v>4094</v>
      </c>
      <c r="P903" t="s">
        <v>316</v>
      </c>
      <c r="Q903" t="s">
        <v>1937</v>
      </c>
      <c r="R903" t="s">
        <v>4095</v>
      </c>
      <c r="S903" t="s">
        <v>182</v>
      </c>
      <c r="T903" t="s">
        <v>452</v>
      </c>
      <c r="U903" t="s">
        <v>2798</v>
      </c>
      <c r="V903" t="s">
        <v>79</v>
      </c>
    </row>
    <row r="904" spans="1:22" x14ac:dyDescent="0.3">
      <c r="A904" t="s">
        <v>4096</v>
      </c>
      <c r="B904" t="s">
        <v>924</v>
      </c>
      <c r="C904" t="s">
        <v>925</v>
      </c>
      <c r="D904" t="s">
        <v>718</v>
      </c>
      <c r="E904" t="s">
        <v>780</v>
      </c>
      <c r="F904" t="s">
        <v>282</v>
      </c>
      <c r="G904" t="s">
        <v>580</v>
      </c>
      <c r="H904" t="s">
        <v>229</v>
      </c>
      <c r="I904" t="s">
        <v>69</v>
      </c>
      <c r="J904" t="s">
        <v>70</v>
      </c>
      <c r="K904" t="s">
        <v>293</v>
      </c>
      <c r="L904" t="s">
        <v>906</v>
      </c>
      <c r="M904" t="s">
        <v>968</v>
      </c>
      <c r="N904" t="s">
        <v>179</v>
      </c>
      <c r="O904" t="s">
        <v>968</v>
      </c>
      <c r="P904" t="s">
        <v>138</v>
      </c>
      <c r="Q904" t="s">
        <v>391</v>
      </c>
      <c r="R904" t="s">
        <v>3662</v>
      </c>
      <c r="S904" t="s">
        <v>97</v>
      </c>
      <c r="T904" t="s">
        <v>440</v>
      </c>
      <c r="U904" t="s">
        <v>277</v>
      </c>
      <c r="V904" t="s">
        <v>82</v>
      </c>
    </row>
    <row r="905" spans="1:22" x14ac:dyDescent="0.3">
      <c r="A905" t="s">
        <v>4097</v>
      </c>
      <c r="B905" t="s">
        <v>2822</v>
      </c>
      <c r="C905" t="s">
        <v>2823</v>
      </c>
      <c r="D905" t="s">
        <v>3481</v>
      </c>
      <c r="E905" t="s">
        <v>160</v>
      </c>
      <c r="F905" t="s">
        <v>161</v>
      </c>
      <c r="G905" t="s">
        <v>48</v>
      </c>
      <c r="H905" t="s">
        <v>214</v>
      </c>
      <c r="I905" t="s">
        <v>69</v>
      </c>
      <c r="J905" t="s">
        <v>30</v>
      </c>
      <c r="K905" t="s">
        <v>200</v>
      </c>
      <c r="L905" t="s">
        <v>362</v>
      </c>
      <c r="M905" t="s">
        <v>2660</v>
      </c>
      <c r="N905" t="s">
        <v>55</v>
      </c>
      <c r="O905" t="s">
        <v>542</v>
      </c>
      <c r="P905" t="s">
        <v>296</v>
      </c>
      <c r="Q905" t="s">
        <v>986</v>
      </c>
      <c r="R905" t="s">
        <v>4098</v>
      </c>
      <c r="S905" t="s">
        <v>58</v>
      </c>
      <c r="T905" t="s">
        <v>695</v>
      </c>
      <c r="U905" t="s">
        <v>277</v>
      </c>
      <c r="V905" t="s">
        <v>114</v>
      </c>
    </row>
    <row r="906" spans="1:22" x14ac:dyDescent="0.3">
      <c r="A906" t="s">
        <v>4099</v>
      </c>
      <c r="B906" t="s">
        <v>669</v>
      </c>
      <c r="C906" t="s">
        <v>670</v>
      </c>
      <c r="D906" t="s">
        <v>2106</v>
      </c>
      <c r="E906" t="s">
        <v>47</v>
      </c>
      <c r="F906" t="s">
        <v>26</v>
      </c>
      <c r="G906" t="s">
        <v>67</v>
      </c>
      <c r="H906" t="s">
        <v>268</v>
      </c>
      <c r="I906" t="s">
        <v>69</v>
      </c>
      <c r="J906" t="s">
        <v>30</v>
      </c>
      <c r="K906" t="s">
        <v>293</v>
      </c>
      <c r="L906" t="s">
        <v>1022</v>
      </c>
      <c r="M906" t="s">
        <v>1769</v>
      </c>
      <c r="N906" t="s">
        <v>966</v>
      </c>
      <c r="O906" t="s">
        <v>1770</v>
      </c>
      <c r="P906" t="s">
        <v>2299</v>
      </c>
      <c r="Q906" t="s">
        <v>1116</v>
      </c>
      <c r="R906" t="s">
        <v>4100</v>
      </c>
      <c r="S906" t="s">
        <v>97</v>
      </c>
      <c r="T906" t="s">
        <v>655</v>
      </c>
      <c r="U906" t="s">
        <v>113</v>
      </c>
      <c r="V906" t="s">
        <v>42</v>
      </c>
    </row>
    <row r="907" spans="1:22" x14ac:dyDescent="0.3">
      <c r="A907" t="s">
        <v>4101</v>
      </c>
      <c r="B907" t="s">
        <v>3922</v>
      </c>
      <c r="C907" t="s">
        <v>3923</v>
      </c>
      <c r="D907" t="s">
        <v>3629</v>
      </c>
      <c r="E907" t="s">
        <v>417</v>
      </c>
      <c r="F907" t="s">
        <v>134</v>
      </c>
      <c r="G907" t="s">
        <v>27</v>
      </c>
      <c r="H907" t="s">
        <v>104</v>
      </c>
      <c r="I907" t="s">
        <v>69</v>
      </c>
      <c r="J907" t="s">
        <v>30</v>
      </c>
      <c r="K907" t="s">
        <v>50</v>
      </c>
      <c r="L907" t="s">
        <v>362</v>
      </c>
      <c r="M907" t="s">
        <v>1847</v>
      </c>
      <c r="N907" t="s">
        <v>347</v>
      </c>
      <c r="O907" t="s">
        <v>1038</v>
      </c>
      <c r="P907" t="s">
        <v>3499</v>
      </c>
      <c r="Q907" t="s">
        <v>112</v>
      </c>
      <c r="R907" t="s">
        <v>4102</v>
      </c>
      <c r="S907" t="s">
        <v>182</v>
      </c>
      <c r="T907" t="s">
        <v>499</v>
      </c>
      <c r="U907" t="s">
        <v>171</v>
      </c>
      <c r="V907" t="s">
        <v>82</v>
      </c>
    </row>
    <row r="908" spans="1:22" x14ac:dyDescent="0.3">
      <c r="A908" t="s">
        <v>4103</v>
      </c>
      <c r="B908" t="s">
        <v>756</v>
      </c>
      <c r="C908" t="s">
        <v>757</v>
      </c>
      <c r="D908" t="s">
        <v>1508</v>
      </c>
      <c r="E908" t="s">
        <v>176</v>
      </c>
      <c r="F908" t="s">
        <v>161</v>
      </c>
      <c r="G908" t="s">
        <v>580</v>
      </c>
      <c r="H908" t="s">
        <v>88</v>
      </c>
      <c r="I908" t="s">
        <v>69</v>
      </c>
      <c r="J908" t="s">
        <v>30</v>
      </c>
      <c r="K908" t="s">
        <v>230</v>
      </c>
      <c r="L908" t="s">
        <v>1987</v>
      </c>
      <c r="M908" t="s">
        <v>2710</v>
      </c>
      <c r="N908" t="s">
        <v>179</v>
      </c>
      <c r="O908" t="s">
        <v>2710</v>
      </c>
      <c r="P908" t="s">
        <v>856</v>
      </c>
      <c r="Q908" t="s">
        <v>1090</v>
      </c>
      <c r="R908" t="s">
        <v>4104</v>
      </c>
      <c r="S908" t="s">
        <v>39</v>
      </c>
      <c r="T908" t="s">
        <v>1116</v>
      </c>
      <c r="U908" t="s">
        <v>288</v>
      </c>
      <c r="V908" t="s">
        <v>79</v>
      </c>
    </row>
    <row r="909" spans="1:22" x14ac:dyDescent="0.3">
      <c r="A909" t="s">
        <v>4105</v>
      </c>
      <c r="B909" t="s">
        <v>3295</v>
      </c>
      <c r="C909" t="s">
        <v>3296</v>
      </c>
      <c r="D909" t="s">
        <v>3769</v>
      </c>
      <c r="E909" t="s">
        <v>176</v>
      </c>
      <c r="F909" t="s">
        <v>161</v>
      </c>
      <c r="G909" t="s">
        <v>67</v>
      </c>
      <c r="H909" t="s">
        <v>104</v>
      </c>
      <c r="I909" t="s">
        <v>69</v>
      </c>
      <c r="J909" t="s">
        <v>30</v>
      </c>
      <c r="K909" t="s">
        <v>31</v>
      </c>
      <c r="L909" t="s">
        <v>598</v>
      </c>
      <c r="M909" t="s">
        <v>3966</v>
      </c>
      <c r="N909" t="s">
        <v>369</v>
      </c>
      <c r="O909" t="s">
        <v>467</v>
      </c>
      <c r="P909" t="s">
        <v>2112</v>
      </c>
      <c r="Q909" t="s">
        <v>391</v>
      </c>
      <c r="R909" t="s">
        <v>3924</v>
      </c>
      <c r="S909" t="s">
        <v>97</v>
      </c>
      <c r="T909" t="s">
        <v>276</v>
      </c>
      <c r="U909" t="s">
        <v>98</v>
      </c>
      <c r="V909" t="s">
        <v>114</v>
      </c>
    </row>
    <row r="910" spans="1:22" x14ac:dyDescent="0.3">
      <c r="A910" t="s">
        <v>4106</v>
      </c>
      <c r="B910" t="s">
        <v>130</v>
      </c>
      <c r="C910" t="s">
        <v>131</v>
      </c>
      <c r="D910" t="s">
        <v>3935</v>
      </c>
      <c r="E910" t="s">
        <v>188</v>
      </c>
      <c r="F910" t="s">
        <v>188</v>
      </c>
      <c r="G910" t="s">
        <v>103</v>
      </c>
      <c r="H910" t="s">
        <v>214</v>
      </c>
      <c r="I910" t="s">
        <v>69</v>
      </c>
      <c r="J910" t="s">
        <v>30</v>
      </c>
      <c r="K910" t="s">
        <v>245</v>
      </c>
      <c r="L910" t="s">
        <v>258</v>
      </c>
      <c r="M910" t="s">
        <v>1989</v>
      </c>
      <c r="N910" t="s">
        <v>179</v>
      </c>
      <c r="O910" t="s">
        <v>1989</v>
      </c>
      <c r="P910" t="s">
        <v>297</v>
      </c>
      <c r="Q910" t="s">
        <v>458</v>
      </c>
      <c r="R910" t="s">
        <v>1791</v>
      </c>
      <c r="S910" t="s">
        <v>79</v>
      </c>
      <c r="T910" t="s">
        <v>208</v>
      </c>
      <c r="U910" t="s">
        <v>362</v>
      </c>
      <c r="V910" t="s">
        <v>79</v>
      </c>
    </row>
    <row r="911" spans="1:22" x14ac:dyDescent="0.3">
      <c r="A911" t="s">
        <v>4107</v>
      </c>
      <c r="B911" t="s">
        <v>2470</v>
      </c>
      <c r="C911" t="s">
        <v>2471</v>
      </c>
      <c r="D911" t="s">
        <v>2715</v>
      </c>
      <c r="E911" t="s">
        <v>66</v>
      </c>
      <c r="F911" t="s">
        <v>66</v>
      </c>
      <c r="G911" t="s">
        <v>67</v>
      </c>
      <c r="H911" t="s">
        <v>104</v>
      </c>
      <c r="I911" t="s">
        <v>29</v>
      </c>
      <c r="J911" t="s">
        <v>30</v>
      </c>
      <c r="K911" t="s">
        <v>293</v>
      </c>
      <c r="L911" t="s">
        <v>937</v>
      </c>
      <c r="M911" t="s">
        <v>1522</v>
      </c>
      <c r="N911" t="s">
        <v>361</v>
      </c>
      <c r="O911" t="s">
        <v>2180</v>
      </c>
      <c r="P911" t="s">
        <v>949</v>
      </c>
      <c r="Q911" t="s">
        <v>433</v>
      </c>
      <c r="R911" t="s">
        <v>4108</v>
      </c>
      <c r="S911" t="s">
        <v>182</v>
      </c>
      <c r="T911" t="s">
        <v>183</v>
      </c>
      <c r="U911" t="s">
        <v>60</v>
      </c>
      <c r="V911" t="s">
        <v>79</v>
      </c>
    </row>
    <row r="912" spans="1:22" x14ac:dyDescent="0.3">
      <c r="A912" t="s">
        <v>4109</v>
      </c>
      <c r="B912" t="s">
        <v>4110</v>
      </c>
      <c r="C912" t="s">
        <v>4111</v>
      </c>
      <c r="D912" t="s">
        <v>3506</v>
      </c>
      <c r="E912" t="s">
        <v>227</v>
      </c>
      <c r="F912" t="s">
        <v>228</v>
      </c>
      <c r="G912" t="s">
        <v>580</v>
      </c>
      <c r="H912" t="s">
        <v>229</v>
      </c>
      <c r="I912" t="s">
        <v>29</v>
      </c>
      <c r="J912" t="s">
        <v>70</v>
      </c>
      <c r="K912" t="s">
        <v>293</v>
      </c>
      <c r="L912" t="s">
        <v>937</v>
      </c>
      <c r="M912" t="s">
        <v>2230</v>
      </c>
      <c r="N912" t="s">
        <v>179</v>
      </c>
      <c r="O912" t="s">
        <v>2230</v>
      </c>
      <c r="P912" t="s">
        <v>619</v>
      </c>
      <c r="Q912" t="s">
        <v>714</v>
      </c>
      <c r="R912" t="s">
        <v>4112</v>
      </c>
      <c r="S912" t="s">
        <v>79</v>
      </c>
      <c r="T912" t="s">
        <v>573</v>
      </c>
      <c r="U912" t="s">
        <v>568</v>
      </c>
      <c r="V912" t="s">
        <v>114</v>
      </c>
    </row>
    <row r="913" spans="1:22" x14ac:dyDescent="0.3">
      <c r="A913" t="s">
        <v>4113</v>
      </c>
      <c r="B913" t="s">
        <v>387</v>
      </c>
      <c r="C913" t="s">
        <v>388</v>
      </c>
      <c r="D913" t="s">
        <v>3655</v>
      </c>
      <c r="E913" t="s">
        <v>244</v>
      </c>
      <c r="F913" t="s">
        <v>244</v>
      </c>
      <c r="G913" t="s">
        <v>27</v>
      </c>
      <c r="H913" t="s">
        <v>28</v>
      </c>
      <c r="I913" t="s">
        <v>69</v>
      </c>
      <c r="J913" t="s">
        <v>30</v>
      </c>
      <c r="K913" t="s">
        <v>31</v>
      </c>
      <c r="L913" t="s">
        <v>1022</v>
      </c>
      <c r="M913" t="s">
        <v>1248</v>
      </c>
      <c r="N913" t="s">
        <v>150</v>
      </c>
      <c r="O913" t="s">
        <v>220</v>
      </c>
      <c r="P913" t="s">
        <v>1522</v>
      </c>
      <c r="Q913" t="s">
        <v>751</v>
      </c>
      <c r="R913" t="s">
        <v>4114</v>
      </c>
      <c r="S913" t="s">
        <v>97</v>
      </c>
      <c r="T913" t="s">
        <v>648</v>
      </c>
      <c r="U913" t="s">
        <v>568</v>
      </c>
      <c r="V913" t="s">
        <v>82</v>
      </c>
    </row>
    <row r="914" spans="1:22" x14ac:dyDescent="0.3">
      <c r="A914" t="s">
        <v>4115</v>
      </c>
      <c r="B914" t="s">
        <v>1359</v>
      </c>
      <c r="C914" t="s">
        <v>1360</v>
      </c>
      <c r="D914" t="s">
        <v>1878</v>
      </c>
      <c r="E914" t="s">
        <v>780</v>
      </c>
      <c r="F914" t="s">
        <v>282</v>
      </c>
      <c r="G914" t="s">
        <v>103</v>
      </c>
      <c r="H914" t="s">
        <v>49</v>
      </c>
      <c r="I914" t="s">
        <v>29</v>
      </c>
      <c r="J914" t="s">
        <v>30</v>
      </c>
      <c r="K914" t="s">
        <v>293</v>
      </c>
      <c r="L914" t="s">
        <v>691</v>
      </c>
      <c r="M914" t="s">
        <v>1554</v>
      </c>
      <c r="N914" t="s">
        <v>1013</v>
      </c>
      <c r="O914" t="s">
        <v>368</v>
      </c>
      <c r="P914" t="s">
        <v>271</v>
      </c>
      <c r="Q914" t="s">
        <v>92</v>
      </c>
      <c r="R914" t="s">
        <v>4116</v>
      </c>
      <c r="S914" t="s">
        <v>126</v>
      </c>
      <c r="T914" t="s">
        <v>191</v>
      </c>
      <c r="U914" t="s">
        <v>394</v>
      </c>
      <c r="V914" t="s">
        <v>114</v>
      </c>
    </row>
    <row r="915" spans="1:22" x14ac:dyDescent="0.3">
      <c r="A915" t="s">
        <v>4117</v>
      </c>
      <c r="B915" t="s">
        <v>1701</v>
      </c>
      <c r="C915" t="s">
        <v>1702</v>
      </c>
      <c r="D915" t="s">
        <v>2721</v>
      </c>
      <c r="E915" t="s">
        <v>134</v>
      </c>
      <c r="F915" t="s">
        <v>134</v>
      </c>
      <c r="G915" t="s">
        <v>118</v>
      </c>
      <c r="H915" t="s">
        <v>49</v>
      </c>
      <c r="I915" t="s">
        <v>29</v>
      </c>
      <c r="J915" t="s">
        <v>30</v>
      </c>
      <c r="K915" t="s">
        <v>200</v>
      </c>
      <c r="L915" t="s">
        <v>1382</v>
      </c>
      <c r="M915" t="s">
        <v>1979</v>
      </c>
      <c r="N915" t="s">
        <v>543</v>
      </c>
      <c r="O915" t="s">
        <v>636</v>
      </c>
      <c r="P915" t="s">
        <v>999</v>
      </c>
      <c r="Q915" t="s">
        <v>1827</v>
      </c>
      <c r="R915" t="s">
        <v>4118</v>
      </c>
      <c r="S915" t="s">
        <v>97</v>
      </c>
      <c r="T915" t="s">
        <v>74</v>
      </c>
      <c r="U915" t="s">
        <v>867</v>
      </c>
      <c r="V915" t="s">
        <v>42</v>
      </c>
    </row>
    <row r="916" spans="1:22" x14ac:dyDescent="0.3">
      <c r="A916" t="s">
        <v>4119</v>
      </c>
      <c r="B916" t="s">
        <v>1546</v>
      </c>
      <c r="C916" t="s">
        <v>1547</v>
      </c>
      <c r="D916" t="s">
        <v>2030</v>
      </c>
      <c r="E916" t="s">
        <v>134</v>
      </c>
      <c r="F916" t="s">
        <v>134</v>
      </c>
      <c r="G916" t="s">
        <v>48</v>
      </c>
      <c r="H916" t="s">
        <v>104</v>
      </c>
      <c r="I916" t="s">
        <v>29</v>
      </c>
      <c r="J916" t="s">
        <v>70</v>
      </c>
      <c r="K916" t="s">
        <v>71</v>
      </c>
      <c r="L916" t="s">
        <v>937</v>
      </c>
      <c r="M916" t="s">
        <v>599</v>
      </c>
      <c r="N916" t="s">
        <v>468</v>
      </c>
      <c r="O916" t="s">
        <v>3397</v>
      </c>
      <c r="P916" t="s">
        <v>1140</v>
      </c>
      <c r="Q916" t="s">
        <v>1430</v>
      </c>
      <c r="R916" t="s">
        <v>4120</v>
      </c>
      <c r="S916" t="s">
        <v>126</v>
      </c>
      <c r="T916" t="s">
        <v>573</v>
      </c>
      <c r="U916" t="s">
        <v>472</v>
      </c>
      <c r="V916" t="s">
        <v>82</v>
      </c>
    </row>
    <row r="917" spans="1:22" x14ac:dyDescent="0.3">
      <c r="A917" t="s">
        <v>4121</v>
      </c>
      <c r="B917" t="s">
        <v>1153</v>
      </c>
      <c r="C917" t="s">
        <v>1154</v>
      </c>
      <c r="D917" t="s">
        <v>3521</v>
      </c>
      <c r="E917" t="s">
        <v>354</v>
      </c>
      <c r="F917" t="s">
        <v>134</v>
      </c>
      <c r="G917" t="s">
        <v>27</v>
      </c>
      <c r="H917" t="s">
        <v>49</v>
      </c>
      <c r="I917" t="s">
        <v>69</v>
      </c>
      <c r="J917" t="s">
        <v>30</v>
      </c>
      <c r="K917" t="s">
        <v>50</v>
      </c>
      <c r="L917" t="s">
        <v>766</v>
      </c>
      <c r="M917" t="s">
        <v>693</v>
      </c>
      <c r="N917" t="s">
        <v>142</v>
      </c>
      <c r="O917" t="s">
        <v>1254</v>
      </c>
      <c r="P917" t="s">
        <v>3012</v>
      </c>
      <c r="Q917" t="s">
        <v>2262</v>
      </c>
      <c r="R917" t="s">
        <v>4122</v>
      </c>
      <c r="S917" t="s">
        <v>79</v>
      </c>
      <c r="T917" t="s">
        <v>40</v>
      </c>
      <c r="U917" t="s">
        <v>288</v>
      </c>
      <c r="V917" t="s">
        <v>42</v>
      </c>
    </row>
    <row r="918" spans="1:22" x14ac:dyDescent="0.3">
      <c r="A918" t="s">
        <v>4123</v>
      </c>
      <c r="B918" t="s">
        <v>3638</v>
      </c>
      <c r="C918" t="s">
        <v>3639</v>
      </c>
      <c r="D918" t="s">
        <v>3821</v>
      </c>
      <c r="E918" t="s">
        <v>438</v>
      </c>
      <c r="F918" t="s">
        <v>188</v>
      </c>
      <c r="G918" t="s">
        <v>147</v>
      </c>
      <c r="H918" t="s">
        <v>28</v>
      </c>
      <c r="I918" t="s">
        <v>29</v>
      </c>
      <c r="J918" t="s">
        <v>30</v>
      </c>
      <c r="K918" t="s">
        <v>293</v>
      </c>
      <c r="L918" t="s">
        <v>367</v>
      </c>
      <c r="M918" t="s">
        <v>609</v>
      </c>
      <c r="N918" t="s">
        <v>610</v>
      </c>
      <c r="O918" t="s">
        <v>611</v>
      </c>
      <c r="P918" t="s">
        <v>784</v>
      </c>
      <c r="Q918" t="s">
        <v>310</v>
      </c>
      <c r="R918" t="s">
        <v>4124</v>
      </c>
      <c r="S918" t="s">
        <v>79</v>
      </c>
      <c r="T918" t="s">
        <v>92</v>
      </c>
      <c r="U918" t="s">
        <v>128</v>
      </c>
      <c r="V918" t="s">
        <v>79</v>
      </c>
    </row>
    <row r="919" spans="1:22" x14ac:dyDescent="0.3">
      <c r="A919" t="s">
        <v>4125</v>
      </c>
      <c r="B919" t="s">
        <v>3926</v>
      </c>
      <c r="C919" t="s">
        <v>3927</v>
      </c>
      <c r="D919" t="s">
        <v>4126</v>
      </c>
      <c r="E919" t="s">
        <v>417</v>
      </c>
      <c r="F919" t="s">
        <v>134</v>
      </c>
      <c r="G919" t="s">
        <v>147</v>
      </c>
      <c r="H919" t="s">
        <v>104</v>
      </c>
      <c r="I919" t="s">
        <v>29</v>
      </c>
      <c r="J919" t="s">
        <v>70</v>
      </c>
      <c r="K919" t="s">
        <v>230</v>
      </c>
      <c r="L919" t="s">
        <v>773</v>
      </c>
      <c r="M919" t="s">
        <v>4127</v>
      </c>
      <c r="N919" t="s">
        <v>139</v>
      </c>
      <c r="O919" t="s">
        <v>1498</v>
      </c>
      <c r="P919" t="s">
        <v>3007</v>
      </c>
      <c r="Q919" t="s">
        <v>1222</v>
      </c>
      <c r="R919" t="s">
        <v>4128</v>
      </c>
      <c r="S919" t="s">
        <v>79</v>
      </c>
      <c r="T919" t="s">
        <v>392</v>
      </c>
      <c r="U919" t="s">
        <v>407</v>
      </c>
      <c r="V919" t="s">
        <v>79</v>
      </c>
    </row>
    <row r="920" spans="1:22" x14ac:dyDescent="0.3">
      <c r="A920" t="s">
        <v>4129</v>
      </c>
      <c r="B920" t="s">
        <v>1333</v>
      </c>
      <c r="C920" t="s">
        <v>1334</v>
      </c>
      <c r="D920" t="s">
        <v>3989</v>
      </c>
      <c r="E920" t="s">
        <v>66</v>
      </c>
      <c r="F920" t="s">
        <v>66</v>
      </c>
      <c r="G920" t="s">
        <v>213</v>
      </c>
      <c r="H920" t="s">
        <v>268</v>
      </c>
      <c r="I920" t="s">
        <v>69</v>
      </c>
      <c r="J920" t="s">
        <v>257</v>
      </c>
      <c r="K920" t="s">
        <v>245</v>
      </c>
      <c r="L920" t="s">
        <v>1139</v>
      </c>
      <c r="M920" t="s">
        <v>790</v>
      </c>
      <c r="N920" t="s">
        <v>121</v>
      </c>
      <c r="O920" t="s">
        <v>1335</v>
      </c>
      <c r="P920" t="s">
        <v>1068</v>
      </c>
      <c r="Q920" t="s">
        <v>714</v>
      </c>
      <c r="R920" t="s">
        <v>4130</v>
      </c>
      <c r="S920" t="s">
        <v>39</v>
      </c>
      <c r="T920" t="s">
        <v>600</v>
      </c>
      <c r="U920" t="s">
        <v>288</v>
      </c>
      <c r="V920" t="s">
        <v>58</v>
      </c>
    </row>
    <row r="921" spans="1:22" x14ac:dyDescent="0.3">
      <c r="A921" t="s">
        <v>4131</v>
      </c>
      <c r="B921" t="s">
        <v>2846</v>
      </c>
      <c r="C921" t="s">
        <v>2847</v>
      </c>
      <c r="D921" t="s">
        <v>588</v>
      </c>
      <c r="E921" t="s">
        <v>893</v>
      </c>
      <c r="F921" t="s">
        <v>188</v>
      </c>
      <c r="G921" t="s">
        <v>118</v>
      </c>
      <c r="H921" t="s">
        <v>68</v>
      </c>
      <c r="I921" t="s">
        <v>69</v>
      </c>
      <c r="J921" t="s">
        <v>70</v>
      </c>
      <c r="K921" t="s">
        <v>200</v>
      </c>
      <c r="L921" t="s">
        <v>258</v>
      </c>
      <c r="M921" t="s">
        <v>1395</v>
      </c>
      <c r="N921" t="s">
        <v>1230</v>
      </c>
      <c r="O921" t="s">
        <v>3486</v>
      </c>
      <c r="P921" t="s">
        <v>1254</v>
      </c>
      <c r="Q921" t="s">
        <v>369</v>
      </c>
      <c r="R921" t="s">
        <v>4132</v>
      </c>
      <c r="S921" t="s">
        <v>97</v>
      </c>
      <c r="T921" t="s">
        <v>142</v>
      </c>
      <c r="U921" t="s">
        <v>385</v>
      </c>
      <c r="V921" t="s">
        <v>82</v>
      </c>
    </row>
    <row r="922" spans="1:22" x14ac:dyDescent="0.3">
      <c r="A922" t="s">
        <v>4133</v>
      </c>
      <c r="B922" t="s">
        <v>1809</v>
      </c>
      <c r="C922" t="s">
        <v>1810</v>
      </c>
      <c r="D922" t="s">
        <v>626</v>
      </c>
      <c r="E922" t="s">
        <v>378</v>
      </c>
      <c r="F922" t="s">
        <v>282</v>
      </c>
      <c r="G922" t="s">
        <v>580</v>
      </c>
      <c r="H922" t="s">
        <v>28</v>
      </c>
      <c r="I922" t="s">
        <v>29</v>
      </c>
      <c r="J922" t="s">
        <v>30</v>
      </c>
      <c r="K922" t="s">
        <v>293</v>
      </c>
      <c r="L922" t="s">
        <v>1037</v>
      </c>
      <c r="M922" t="s">
        <v>1716</v>
      </c>
      <c r="N922" t="s">
        <v>107</v>
      </c>
      <c r="O922" t="s">
        <v>2285</v>
      </c>
      <c r="P922" t="s">
        <v>1150</v>
      </c>
      <c r="Q922" t="s">
        <v>600</v>
      </c>
      <c r="R922" t="s">
        <v>4134</v>
      </c>
      <c r="S922" t="s">
        <v>182</v>
      </c>
      <c r="T922" t="s">
        <v>261</v>
      </c>
      <c r="U922" t="s">
        <v>423</v>
      </c>
      <c r="V922" t="s">
        <v>114</v>
      </c>
    </row>
    <row r="923" spans="1:22" x14ac:dyDescent="0.3">
      <c r="A923" t="s">
        <v>4135</v>
      </c>
      <c r="B923" t="s">
        <v>956</v>
      </c>
      <c r="C923" t="s">
        <v>957</v>
      </c>
      <c r="D923" t="s">
        <v>4136</v>
      </c>
      <c r="E923" t="s">
        <v>672</v>
      </c>
      <c r="F923" t="s">
        <v>244</v>
      </c>
      <c r="G923" t="s">
        <v>103</v>
      </c>
      <c r="H923" t="s">
        <v>104</v>
      </c>
      <c r="I923" t="s">
        <v>29</v>
      </c>
      <c r="J923" t="s">
        <v>30</v>
      </c>
      <c r="K923" t="s">
        <v>89</v>
      </c>
      <c r="L923" t="s">
        <v>90</v>
      </c>
      <c r="M923" t="s">
        <v>2160</v>
      </c>
      <c r="N923" t="s">
        <v>179</v>
      </c>
      <c r="O923" t="s">
        <v>2160</v>
      </c>
      <c r="P923" t="s">
        <v>371</v>
      </c>
      <c r="Q923" t="s">
        <v>553</v>
      </c>
      <c r="R923" t="s">
        <v>4137</v>
      </c>
      <c r="S923" t="s">
        <v>39</v>
      </c>
      <c r="T923" t="s">
        <v>191</v>
      </c>
      <c r="U923" t="s">
        <v>288</v>
      </c>
      <c r="V923" t="s">
        <v>114</v>
      </c>
    </row>
    <row r="924" spans="1:22" x14ac:dyDescent="0.3">
      <c r="A924" t="s">
        <v>4138</v>
      </c>
      <c r="B924" t="s">
        <v>2552</v>
      </c>
      <c r="C924" t="s">
        <v>2553</v>
      </c>
      <c r="D924" t="s">
        <v>4139</v>
      </c>
      <c r="E924" t="s">
        <v>893</v>
      </c>
      <c r="F924" t="s">
        <v>188</v>
      </c>
      <c r="G924" t="s">
        <v>147</v>
      </c>
      <c r="H924" t="s">
        <v>49</v>
      </c>
      <c r="I924" t="s">
        <v>69</v>
      </c>
      <c r="J924" t="s">
        <v>30</v>
      </c>
      <c r="K924" t="s">
        <v>31</v>
      </c>
      <c r="L924" t="s">
        <v>177</v>
      </c>
      <c r="M924" t="s">
        <v>693</v>
      </c>
      <c r="N924" t="s">
        <v>92</v>
      </c>
      <c r="O924" t="s">
        <v>1523</v>
      </c>
      <c r="P924" t="s">
        <v>180</v>
      </c>
      <c r="Q924" t="s">
        <v>208</v>
      </c>
      <c r="R924" t="s">
        <v>4140</v>
      </c>
      <c r="S924" t="s">
        <v>97</v>
      </c>
      <c r="T924" t="s">
        <v>613</v>
      </c>
      <c r="U924" t="s">
        <v>277</v>
      </c>
      <c r="V924" t="s">
        <v>58</v>
      </c>
    </row>
    <row r="925" spans="1:22" x14ac:dyDescent="0.3">
      <c r="A925" t="s">
        <v>4141</v>
      </c>
      <c r="B925" t="s">
        <v>3041</v>
      </c>
      <c r="C925" t="s">
        <v>3042</v>
      </c>
      <c r="D925" t="s">
        <v>3992</v>
      </c>
      <c r="E925" t="s">
        <v>378</v>
      </c>
      <c r="F925" t="s">
        <v>282</v>
      </c>
      <c r="G925" t="s">
        <v>147</v>
      </c>
      <c r="H925" t="s">
        <v>28</v>
      </c>
      <c r="I925" t="s">
        <v>69</v>
      </c>
      <c r="J925" t="s">
        <v>30</v>
      </c>
      <c r="K925" t="s">
        <v>71</v>
      </c>
      <c r="L925" t="s">
        <v>487</v>
      </c>
      <c r="M925" t="s">
        <v>4142</v>
      </c>
      <c r="N925" t="s">
        <v>1183</v>
      </c>
      <c r="O925" t="s">
        <v>1800</v>
      </c>
      <c r="P925" t="s">
        <v>3124</v>
      </c>
      <c r="Q925" t="s">
        <v>1456</v>
      </c>
      <c r="R925" t="s">
        <v>4143</v>
      </c>
      <c r="S925" t="s">
        <v>97</v>
      </c>
      <c r="T925" t="s">
        <v>74</v>
      </c>
      <c r="U925" t="s">
        <v>867</v>
      </c>
      <c r="V925" t="s">
        <v>82</v>
      </c>
    </row>
    <row r="926" spans="1:22" x14ac:dyDescent="0.3">
      <c r="A926" t="s">
        <v>4144</v>
      </c>
      <c r="B926" t="s">
        <v>4145</v>
      </c>
      <c r="C926" t="s">
        <v>4146</v>
      </c>
      <c r="D926" t="s">
        <v>1835</v>
      </c>
      <c r="E926" t="s">
        <v>244</v>
      </c>
      <c r="F926" t="s">
        <v>244</v>
      </c>
      <c r="G926" t="s">
        <v>103</v>
      </c>
      <c r="H926" t="s">
        <v>49</v>
      </c>
      <c r="I926" t="s">
        <v>29</v>
      </c>
      <c r="J926" t="s">
        <v>30</v>
      </c>
      <c r="K926" t="s">
        <v>215</v>
      </c>
      <c r="L926" t="s">
        <v>663</v>
      </c>
      <c r="M926" t="s">
        <v>880</v>
      </c>
      <c r="N926" t="s">
        <v>150</v>
      </c>
      <c r="O926" t="s">
        <v>1689</v>
      </c>
      <c r="P926" t="s">
        <v>1090</v>
      </c>
      <c r="Q926" t="s">
        <v>613</v>
      </c>
      <c r="R926" t="s">
        <v>4147</v>
      </c>
      <c r="S926" t="s">
        <v>182</v>
      </c>
      <c r="T926" t="s">
        <v>321</v>
      </c>
      <c r="U926" t="s">
        <v>407</v>
      </c>
      <c r="V926" t="s">
        <v>79</v>
      </c>
    </row>
    <row r="927" spans="1:22" x14ac:dyDescent="0.3">
      <c r="A927" t="s">
        <v>4148</v>
      </c>
      <c r="B927" t="s">
        <v>763</v>
      </c>
      <c r="C927" t="s">
        <v>764</v>
      </c>
      <c r="D927" t="s">
        <v>3562</v>
      </c>
      <c r="E927" t="s">
        <v>399</v>
      </c>
      <c r="F927" t="s">
        <v>188</v>
      </c>
      <c r="G927" t="s">
        <v>27</v>
      </c>
      <c r="H927" t="s">
        <v>49</v>
      </c>
      <c r="I927" t="s">
        <v>29</v>
      </c>
      <c r="J927" t="s">
        <v>30</v>
      </c>
      <c r="K927" t="s">
        <v>293</v>
      </c>
      <c r="L927" t="s">
        <v>466</v>
      </c>
      <c r="M927" t="s">
        <v>1147</v>
      </c>
      <c r="N927" t="s">
        <v>1183</v>
      </c>
      <c r="O927" t="s">
        <v>4149</v>
      </c>
      <c r="P927" t="s">
        <v>4150</v>
      </c>
      <c r="Q927" t="s">
        <v>3541</v>
      </c>
      <c r="R927" t="s">
        <v>4151</v>
      </c>
      <c r="S927" t="s">
        <v>39</v>
      </c>
      <c r="T927" t="s">
        <v>167</v>
      </c>
      <c r="U927" t="s">
        <v>362</v>
      </c>
      <c r="V927" t="s">
        <v>114</v>
      </c>
    </row>
    <row r="928" spans="1:22" x14ac:dyDescent="0.3">
      <c r="A928" t="s">
        <v>4152</v>
      </c>
      <c r="B928" t="s">
        <v>2905</v>
      </c>
      <c r="C928" t="s">
        <v>2906</v>
      </c>
      <c r="D928" t="s">
        <v>1103</v>
      </c>
      <c r="E928" t="s">
        <v>133</v>
      </c>
      <c r="F928" t="s">
        <v>134</v>
      </c>
      <c r="G928" t="s">
        <v>103</v>
      </c>
      <c r="H928" t="s">
        <v>104</v>
      </c>
      <c r="I928" t="s">
        <v>29</v>
      </c>
      <c r="J928" t="s">
        <v>30</v>
      </c>
      <c r="K928" t="s">
        <v>71</v>
      </c>
      <c r="L928" t="s">
        <v>561</v>
      </c>
      <c r="M928" t="s">
        <v>1074</v>
      </c>
      <c r="N928" t="s">
        <v>361</v>
      </c>
      <c r="O928" t="s">
        <v>948</v>
      </c>
      <c r="P928" t="s">
        <v>1079</v>
      </c>
      <c r="Q928" t="s">
        <v>2740</v>
      </c>
      <c r="R928" t="s">
        <v>4153</v>
      </c>
      <c r="S928" t="s">
        <v>58</v>
      </c>
      <c r="T928" t="s">
        <v>328</v>
      </c>
      <c r="U928" t="s">
        <v>60</v>
      </c>
      <c r="V928" t="s">
        <v>79</v>
      </c>
    </row>
    <row r="929" spans="1:22" x14ac:dyDescent="0.3">
      <c r="A929" t="s">
        <v>4154</v>
      </c>
      <c r="B929" t="s">
        <v>4155</v>
      </c>
      <c r="C929" t="s">
        <v>4156</v>
      </c>
      <c r="D929" t="s">
        <v>2654</v>
      </c>
      <c r="E929" t="s">
        <v>267</v>
      </c>
      <c r="F929" t="s">
        <v>66</v>
      </c>
      <c r="G929" t="s">
        <v>103</v>
      </c>
      <c r="H929" t="s">
        <v>268</v>
      </c>
      <c r="I929" t="s">
        <v>29</v>
      </c>
      <c r="J929" t="s">
        <v>30</v>
      </c>
      <c r="K929" t="s">
        <v>31</v>
      </c>
      <c r="L929" t="s">
        <v>663</v>
      </c>
      <c r="M929" t="s">
        <v>124</v>
      </c>
      <c r="N929" t="s">
        <v>543</v>
      </c>
      <c r="O929" t="s">
        <v>753</v>
      </c>
      <c r="P929" t="s">
        <v>206</v>
      </c>
      <c r="Q929" t="s">
        <v>308</v>
      </c>
      <c r="R929" t="s">
        <v>4157</v>
      </c>
      <c r="S929" t="s">
        <v>126</v>
      </c>
      <c r="T929" t="s">
        <v>59</v>
      </c>
      <c r="U929" t="s">
        <v>155</v>
      </c>
      <c r="V929" t="s">
        <v>58</v>
      </c>
    </row>
    <row r="930" spans="1:22" x14ac:dyDescent="0.3">
      <c r="A930" t="s">
        <v>4158</v>
      </c>
      <c r="B930" t="s">
        <v>1512</v>
      </c>
      <c r="C930" t="s">
        <v>1513</v>
      </c>
      <c r="D930" t="s">
        <v>1632</v>
      </c>
      <c r="E930" t="s">
        <v>780</v>
      </c>
      <c r="F930" t="s">
        <v>282</v>
      </c>
      <c r="G930" t="s">
        <v>27</v>
      </c>
      <c r="H930" t="s">
        <v>229</v>
      </c>
      <c r="I930" t="s">
        <v>69</v>
      </c>
      <c r="J930" t="s">
        <v>162</v>
      </c>
      <c r="K930" t="s">
        <v>230</v>
      </c>
      <c r="L930" t="s">
        <v>246</v>
      </c>
      <c r="M930" t="s">
        <v>271</v>
      </c>
      <c r="N930" t="s">
        <v>179</v>
      </c>
      <c r="O930" t="s">
        <v>271</v>
      </c>
      <c r="P930" t="s">
        <v>792</v>
      </c>
      <c r="Q930" t="s">
        <v>710</v>
      </c>
      <c r="R930" t="s">
        <v>4159</v>
      </c>
      <c r="T930" t="s">
        <v>1013</v>
      </c>
      <c r="U930" t="s">
        <v>288</v>
      </c>
      <c r="V930" t="s">
        <v>79</v>
      </c>
    </row>
    <row r="931" spans="1:22" x14ac:dyDescent="0.3">
      <c r="A931" t="s">
        <v>4160</v>
      </c>
      <c r="B931" t="s">
        <v>3148</v>
      </c>
      <c r="C931" t="s">
        <v>3149</v>
      </c>
      <c r="D931" t="s">
        <v>2506</v>
      </c>
      <c r="E931" t="s">
        <v>1321</v>
      </c>
      <c r="F931" t="s">
        <v>228</v>
      </c>
      <c r="G931" t="s">
        <v>213</v>
      </c>
      <c r="H931" t="s">
        <v>214</v>
      </c>
      <c r="I931" t="s">
        <v>69</v>
      </c>
      <c r="J931" t="s">
        <v>30</v>
      </c>
      <c r="K931" t="s">
        <v>200</v>
      </c>
      <c r="L931" t="s">
        <v>1382</v>
      </c>
      <c r="M931" t="s">
        <v>1979</v>
      </c>
      <c r="N931" t="s">
        <v>179</v>
      </c>
      <c r="O931" t="s">
        <v>1979</v>
      </c>
      <c r="P931" t="s">
        <v>1011</v>
      </c>
      <c r="Q931" t="s">
        <v>1063</v>
      </c>
      <c r="R931" t="s">
        <v>4161</v>
      </c>
      <c r="S931" t="s">
        <v>39</v>
      </c>
      <c r="T931" t="s">
        <v>112</v>
      </c>
      <c r="U931" t="s">
        <v>128</v>
      </c>
      <c r="V931" t="s">
        <v>79</v>
      </c>
    </row>
    <row r="932" spans="1:22" x14ac:dyDescent="0.3">
      <c r="A932" t="s">
        <v>4162</v>
      </c>
      <c r="B932" t="s">
        <v>3028</v>
      </c>
      <c r="C932" t="s">
        <v>3029</v>
      </c>
      <c r="D932" t="s">
        <v>3006</v>
      </c>
      <c r="E932" t="s">
        <v>160</v>
      </c>
      <c r="F932" t="s">
        <v>161</v>
      </c>
      <c r="G932" t="s">
        <v>213</v>
      </c>
      <c r="H932" t="s">
        <v>268</v>
      </c>
      <c r="I932" t="s">
        <v>29</v>
      </c>
      <c r="J932" t="s">
        <v>30</v>
      </c>
      <c r="K932" t="s">
        <v>50</v>
      </c>
      <c r="L932" t="s">
        <v>766</v>
      </c>
      <c r="M932" t="s">
        <v>4163</v>
      </c>
      <c r="N932" t="s">
        <v>3012</v>
      </c>
      <c r="O932" t="s">
        <v>3818</v>
      </c>
      <c r="P932" t="s">
        <v>976</v>
      </c>
      <c r="Q932" t="s">
        <v>1522</v>
      </c>
      <c r="R932" t="s">
        <v>4164</v>
      </c>
      <c r="S932" t="s">
        <v>58</v>
      </c>
      <c r="T932" t="s">
        <v>921</v>
      </c>
      <c r="U932" t="s">
        <v>867</v>
      </c>
      <c r="V932" t="s">
        <v>79</v>
      </c>
    </row>
    <row r="933" spans="1:22" x14ac:dyDescent="0.3">
      <c r="A933" t="s">
        <v>4165</v>
      </c>
      <c r="B933" t="s">
        <v>1101</v>
      </c>
      <c r="C933" t="s">
        <v>1102</v>
      </c>
      <c r="D933" t="s">
        <v>4166</v>
      </c>
      <c r="E933" t="s">
        <v>65</v>
      </c>
      <c r="F933" t="s">
        <v>66</v>
      </c>
      <c r="G933" t="s">
        <v>27</v>
      </c>
      <c r="H933" t="s">
        <v>229</v>
      </c>
      <c r="I933" t="s">
        <v>69</v>
      </c>
      <c r="J933" t="s">
        <v>30</v>
      </c>
      <c r="K933" t="s">
        <v>200</v>
      </c>
      <c r="L933" t="s">
        <v>682</v>
      </c>
      <c r="M933" t="s">
        <v>52</v>
      </c>
      <c r="N933" t="s">
        <v>499</v>
      </c>
      <c r="O933" t="s">
        <v>180</v>
      </c>
      <c r="P933" t="s">
        <v>1097</v>
      </c>
      <c r="Q933" t="s">
        <v>1013</v>
      </c>
      <c r="R933" t="s">
        <v>4167</v>
      </c>
      <c r="S933" t="s">
        <v>79</v>
      </c>
      <c r="T933" t="s">
        <v>543</v>
      </c>
      <c r="U933" t="s">
        <v>472</v>
      </c>
      <c r="V933" t="s">
        <v>79</v>
      </c>
    </row>
    <row r="934" spans="1:22" x14ac:dyDescent="0.3">
      <c r="A934" t="s">
        <v>4168</v>
      </c>
      <c r="B934" t="s">
        <v>364</v>
      </c>
      <c r="C934" t="s">
        <v>365</v>
      </c>
      <c r="D934" t="s">
        <v>366</v>
      </c>
      <c r="E934" t="s">
        <v>417</v>
      </c>
      <c r="F934" t="s">
        <v>134</v>
      </c>
      <c r="G934" t="s">
        <v>580</v>
      </c>
      <c r="H934" t="s">
        <v>28</v>
      </c>
      <c r="I934" t="s">
        <v>29</v>
      </c>
      <c r="J934" t="s">
        <v>30</v>
      </c>
      <c r="K934" t="s">
        <v>293</v>
      </c>
      <c r="L934" t="s">
        <v>719</v>
      </c>
      <c r="M934" t="s">
        <v>1089</v>
      </c>
      <c r="N934" t="s">
        <v>179</v>
      </c>
      <c r="O934" t="s">
        <v>1089</v>
      </c>
      <c r="P934" t="s">
        <v>693</v>
      </c>
      <c r="Q934" t="s">
        <v>1568</v>
      </c>
      <c r="R934" t="s">
        <v>4169</v>
      </c>
      <c r="S934" t="s">
        <v>58</v>
      </c>
      <c r="T934" t="s">
        <v>261</v>
      </c>
      <c r="U934" t="s">
        <v>362</v>
      </c>
      <c r="V934" t="s">
        <v>79</v>
      </c>
    </row>
    <row r="935" spans="1:22" x14ac:dyDescent="0.3">
      <c r="A935" t="s">
        <v>4170</v>
      </c>
      <c r="B935" t="s">
        <v>1851</v>
      </c>
      <c r="C935" t="s">
        <v>1852</v>
      </c>
      <c r="D935" t="s">
        <v>740</v>
      </c>
      <c r="E935" t="s">
        <v>188</v>
      </c>
      <c r="F935" t="s">
        <v>188</v>
      </c>
      <c r="G935" t="s">
        <v>48</v>
      </c>
      <c r="H935" t="s">
        <v>88</v>
      </c>
      <c r="I935" t="s">
        <v>69</v>
      </c>
      <c r="J935" t="s">
        <v>70</v>
      </c>
      <c r="K935" t="s">
        <v>230</v>
      </c>
      <c r="L935" t="s">
        <v>937</v>
      </c>
      <c r="M935" t="s">
        <v>1105</v>
      </c>
      <c r="N935" t="s">
        <v>677</v>
      </c>
      <c r="O935" t="s">
        <v>4171</v>
      </c>
      <c r="P935" t="s">
        <v>2107</v>
      </c>
      <c r="Q935" t="s">
        <v>2279</v>
      </c>
      <c r="R935" t="s">
        <v>4172</v>
      </c>
      <c r="S935" t="s">
        <v>39</v>
      </c>
      <c r="T935" t="s">
        <v>56</v>
      </c>
      <c r="U935" t="s">
        <v>407</v>
      </c>
      <c r="V935" t="s">
        <v>79</v>
      </c>
    </row>
    <row r="936" spans="1:22" x14ac:dyDescent="0.3">
      <c r="A936" t="s">
        <v>4173</v>
      </c>
      <c r="B936" t="s">
        <v>2657</v>
      </c>
      <c r="C936" t="s">
        <v>2658</v>
      </c>
      <c r="D936" t="s">
        <v>3539</v>
      </c>
      <c r="E936" t="s">
        <v>634</v>
      </c>
      <c r="F936" t="s">
        <v>228</v>
      </c>
      <c r="G936" t="s">
        <v>580</v>
      </c>
      <c r="H936" t="s">
        <v>229</v>
      </c>
      <c r="I936" t="s">
        <v>29</v>
      </c>
      <c r="J936" t="s">
        <v>70</v>
      </c>
      <c r="K936" t="s">
        <v>230</v>
      </c>
      <c r="L936" t="s">
        <v>487</v>
      </c>
      <c r="M936" t="s">
        <v>750</v>
      </c>
      <c r="N936" t="s">
        <v>392</v>
      </c>
      <c r="O936" t="s">
        <v>75</v>
      </c>
      <c r="P936" t="s">
        <v>999</v>
      </c>
      <c r="Q936" t="s">
        <v>1218</v>
      </c>
      <c r="R936" t="s">
        <v>4174</v>
      </c>
      <c r="S936" t="s">
        <v>97</v>
      </c>
      <c r="T936" t="s">
        <v>770</v>
      </c>
      <c r="U936" t="s">
        <v>373</v>
      </c>
      <c r="V936" t="s">
        <v>42</v>
      </c>
    </row>
    <row r="937" spans="1:22" x14ac:dyDescent="0.3">
      <c r="A937" t="s">
        <v>4175</v>
      </c>
      <c r="B937" t="s">
        <v>2000</v>
      </c>
      <c r="C937" t="s">
        <v>2001</v>
      </c>
      <c r="D937" t="s">
        <v>3105</v>
      </c>
      <c r="E937" t="s">
        <v>161</v>
      </c>
      <c r="F937" t="s">
        <v>161</v>
      </c>
      <c r="G937" t="s">
        <v>147</v>
      </c>
      <c r="H937" t="s">
        <v>68</v>
      </c>
      <c r="I937" t="s">
        <v>69</v>
      </c>
      <c r="J937" t="s">
        <v>30</v>
      </c>
      <c r="K937" t="s">
        <v>31</v>
      </c>
      <c r="L937" t="s">
        <v>51</v>
      </c>
      <c r="M937" t="s">
        <v>4176</v>
      </c>
      <c r="N937" t="s">
        <v>179</v>
      </c>
      <c r="O937" t="s">
        <v>4176</v>
      </c>
      <c r="P937" t="s">
        <v>1613</v>
      </c>
      <c r="Q937" t="s">
        <v>4177</v>
      </c>
      <c r="R937" t="s">
        <v>4178</v>
      </c>
      <c r="S937" t="s">
        <v>126</v>
      </c>
      <c r="T937" t="s">
        <v>1827</v>
      </c>
      <c r="U937" t="s">
        <v>362</v>
      </c>
      <c r="V937" t="s">
        <v>58</v>
      </c>
    </row>
    <row r="938" spans="1:22" x14ac:dyDescent="0.3">
      <c r="A938" t="s">
        <v>4179</v>
      </c>
      <c r="B938" t="s">
        <v>1269</v>
      </c>
      <c r="C938" t="s">
        <v>1270</v>
      </c>
      <c r="D938" t="s">
        <v>3243</v>
      </c>
      <c r="E938" t="s">
        <v>378</v>
      </c>
      <c r="F938" t="s">
        <v>282</v>
      </c>
      <c r="G938" t="s">
        <v>213</v>
      </c>
      <c r="H938" t="s">
        <v>88</v>
      </c>
      <c r="I938" t="s">
        <v>69</v>
      </c>
      <c r="J938" t="s">
        <v>30</v>
      </c>
      <c r="K938" t="s">
        <v>230</v>
      </c>
      <c r="L938" t="s">
        <v>691</v>
      </c>
      <c r="M938" t="s">
        <v>627</v>
      </c>
      <c r="N938" t="s">
        <v>735</v>
      </c>
      <c r="O938" t="s">
        <v>404</v>
      </c>
      <c r="P938" t="s">
        <v>344</v>
      </c>
      <c r="Q938" t="s">
        <v>1303</v>
      </c>
      <c r="R938" t="s">
        <v>4180</v>
      </c>
      <c r="S938" t="s">
        <v>39</v>
      </c>
      <c r="T938" t="s">
        <v>499</v>
      </c>
      <c r="U938" t="s">
        <v>277</v>
      </c>
      <c r="V938" t="s">
        <v>42</v>
      </c>
    </row>
    <row r="939" spans="1:22" x14ac:dyDescent="0.3">
      <c r="A939" t="s">
        <v>4181</v>
      </c>
      <c r="B939" t="s">
        <v>1468</v>
      </c>
      <c r="C939" t="s">
        <v>1469</v>
      </c>
      <c r="D939" t="s">
        <v>3390</v>
      </c>
      <c r="E939" t="s">
        <v>176</v>
      </c>
      <c r="F939" t="s">
        <v>161</v>
      </c>
      <c r="G939" t="s">
        <v>48</v>
      </c>
      <c r="H939" t="s">
        <v>68</v>
      </c>
      <c r="I939" t="s">
        <v>69</v>
      </c>
      <c r="J939" t="s">
        <v>30</v>
      </c>
      <c r="K939" t="s">
        <v>89</v>
      </c>
      <c r="L939" t="s">
        <v>513</v>
      </c>
      <c r="M939" t="s">
        <v>4182</v>
      </c>
      <c r="N939" t="s">
        <v>179</v>
      </c>
      <c r="O939" t="s">
        <v>4182</v>
      </c>
      <c r="P939" t="s">
        <v>3822</v>
      </c>
      <c r="Q939" t="s">
        <v>2684</v>
      </c>
      <c r="R939" t="s">
        <v>3127</v>
      </c>
      <c r="S939" t="s">
        <v>58</v>
      </c>
      <c r="T939" t="s">
        <v>977</v>
      </c>
      <c r="U939" t="s">
        <v>60</v>
      </c>
      <c r="V939" t="s">
        <v>82</v>
      </c>
    </row>
    <row r="940" spans="1:22" x14ac:dyDescent="0.3">
      <c r="A940" t="s">
        <v>4183</v>
      </c>
      <c r="B940" t="s">
        <v>4184</v>
      </c>
      <c r="C940" t="s">
        <v>4185</v>
      </c>
      <c r="D940" t="s">
        <v>3655</v>
      </c>
      <c r="E940" t="s">
        <v>267</v>
      </c>
      <c r="F940" t="s">
        <v>66</v>
      </c>
      <c r="G940" t="s">
        <v>48</v>
      </c>
      <c r="H940" t="s">
        <v>104</v>
      </c>
      <c r="I940" t="s">
        <v>69</v>
      </c>
      <c r="J940" t="s">
        <v>30</v>
      </c>
      <c r="K940" t="s">
        <v>200</v>
      </c>
      <c r="L940" t="s">
        <v>561</v>
      </c>
      <c r="M940" t="s">
        <v>2880</v>
      </c>
      <c r="N940" t="s">
        <v>179</v>
      </c>
      <c r="O940" t="s">
        <v>2880</v>
      </c>
      <c r="P940" t="s">
        <v>431</v>
      </c>
      <c r="Q940" t="s">
        <v>880</v>
      </c>
      <c r="R940" t="s">
        <v>4186</v>
      </c>
      <c r="S940" t="s">
        <v>39</v>
      </c>
      <c r="T940" t="s">
        <v>648</v>
      </c>
      <c r="U940" t="s">
        <v>300</v>
      </c>
      <c r="V940" t="s">
        <v>58</v>
      </c>
    </row>
    <row r="941" spans="1:22" x14ac:dyDescent="0.3">
      <c r="A941" t="s">
        <v>4187</v>
      </c>
      <c r="B941" t="s">
        <v>1417</v>
      </c>
      <c r="C941" t="s">
        <v>1418</v>
      </c>
      <c r="D941" t="s">
        <v>3888</v>
      </c>
      <c r="E941" t="s">
        <v>399</v>
      </c>
      <c r="F941" t="s">
        <v>188</v>
      </c>
      <c r="G941" t="s">
        <v>67</v>
      </c>
      <c r="H941" t="s">
        <v>88</v>
      </c>
      <c r="I941" t="s">
        <v>69</v>
      </c>
      <c r="J941" t="s">
        <v>70</v>
      </c>
      <c r="K941" t="s">
        <v>230</v>
      </c>
      <c r="L941" t="s">
        <v>269</v>
      </c>
      <c r="M941" t="s">
        <v>2549</v>
      </c>
      <c r="N941" t="s">
        <v>179</v>
      </c>
      <c r="O941" t="s">
        <v>2549</v>
      </c>
      <c r="P941" t="s">
        <v>545</v>
      </c>
      <c r="Q941" t="s">
        <v>140</v>
      </c>
      <c r="R941" t="s">
        <v>4188</v>
      </c>
      <c r="S941" t="s">
        <v>79</v>
      </c>
      <c r="T941" t="s">
        <v>384</v>
      </c>
      <c r="U941" t="s">
        <v>155</v>
      </c>
      <c r="V941" t="s">
        <v>79</v>
      </c>
    </row>
    <row r="942" spans="1:22" x14ac:dyDescent="0.3">
      <c r="A942" t="s">
        <v>4189</v>
      </c>
      <c r="B942" t="s">
        <v>1546</v>
      </c>
      <c r="C942" t="s">
        <v>1547</v>
      </c>
      <c r="D942" t="s">
        <v>4190</v>
      </c>
      <c r="E942" t="s">
        <v>243</v>
      </c>
      <c r="F942" t="s">
        <v>244</v>
      </c>
      <c r="G942" t="s">
        <v>48</v>
      </c>
      <c r="H942" t="s">
        <v>68</v>
      </c>
      <c r="I942" t="s">
        <v>29</v>
      </c>
      <c r="J942" t="s">
        <v>30</v>
      </c>
      <c r="K942" t="s">
        <v>200</v>
      </c>
      <c r="L942" t="s">
        <v>1562</v>
      </c>
      <c r="M942" t="s">
        <v>1716</v>
      </c>
      <c r="N942" t="s">
        <v>107</v>
      </c>
      <c r="O942" t="s">
        <v>2285</v>
      </c>
      <c r="P942" t="s">
        <v>1523</v>
      </c>
      <c r="Q942" t="s">
        <v>306</v>
      </c>
      <c r="R942" t="s">
        <v>4191</v>
      </c>
      <c r="S942" t="s">
        <v>79</v>
      </c>
      <c r="T942" t="s">
        <v>361</v>
      </c>
      <c r="U942" t="s">
        <v>41</v>
      </c>
      <c r="V942" t="s">
        <v>82</v>
      </c>
    </row>
    <row r="943" spans="1:22" x14ac:dyDescent="0.3">
      <c r="A943" t="s">
        <v>4192</v>
      </c>
      <c r="B943" t="s">
        <v>2288</v>
      </c>
      <c r="C943" t="s">
        <v>2289</v>
      </c>
      <c r="D943" t="s">
        <v>2935</v>
      </c>
      <c r="E943" t="s">
        <v>228</v>
      </c>
      <c r="F943" t="s">
        <v>228</v>
      </c>
      <c r="G943" t="s">
        <v>580</v>
      </c>
      <c r="H943" t="s">
        <v>49</v>
      </c>
      <c r="I943" t="s">
        <v>69</v>
      </c>
      <c r="J943" t="s">
        <v>30</v>
      </c>
      <c r="K943" t="s">
        <v>31</v>
      </c>
      <c r="L943" t="s">
        <v>119</v>
      </c>
      <c r="M943" t="s">
        <v>1553</v>
      </c>
      <c r="N943" t="s">
        <v>782</v>
      </c>
      <c r="O943" t="s">
        <v>3456</v>
      </c>
      <c r="P943" t="s">
        <v>2549</v>
      </c>
      <c r="Q943" t="s">
        <v>344</v>
      </c>
      <c r="R943" t="s">
        <v>4193</v>
      </c>
      <c r="S943" t="s">
        <v>79</v>
      </c>
      <c r="T943" t="s">
        <v>37</v>
      </c>
      <c r="U943" t="s">
        <v>423</v>
      </c>
      <c r="V943" t="s">
        <v>114</v>
      </c>
    </row>
    <row r="944" spans="1:22" x14ac:dyDescent="0.3">
      <c r="A944" t="s">
        <v>4194</v>
      </c>
      <c r="B944" t="s">
        <v>4195</v>
      </c>
      <c r="C944" t="s">
        <v>4196</v>
      </c>
      <c r="D944" t="s">
        <v>4197</v>
      </c>
      <c r="E944" t="s">
        <v>672</v>
      </c>
      <c r="F944" t="s">
        <v>244</v>
      </c>
      <c r="G944" t="s">
        <v>580</v>
      </c>
      <c r="H944" t="s">
        <v>104</v>
      </c>
      <c r="I944" t="s">
        <v>69</v>
      </c>
      <c r="J944" t="s">
        <v>30</v>
      </c>
      <c r="K944" t="s">
        <v>31</v>
      </c>
      <c r="L944" t="s">
        <v>315</v>
      </c>
      <c r="M944" t="s">
        <v>420</v>
      </c>
      <c r="N944" t="s">
        <v>321</v>
      </c>
      <c r="O944" t="s">
        <v>2526</v>
      </c>
      <c r="P944" t="s">
        <v>1523</v>
      </c>
      <c r="Q944" t="s">
        <v>2307</v>
      </c>
      <c r="R944" t="s">
        <v>4198</v>
      </c>
      <c r="S944" t="s">
        <v>97</v>
      </c>
      <c r="T944" t="s">
        <v>1303</v>
      </c>
      <c r="U944" t="s">
        <v>867</v>
      </c>
      <c r="V944" t="s">
        <v>114</v>
      </c>
    </row>
    <row r="945" spans="1:22" x14ac:dyDescent="0.3">
      <c r="A945" t="s">
        <v>4199</v>
      </c>
      <c r="B945" t="s">
        <v>2302</v>
      </c>
      <c r="C945" t="s">
        <v>2303</v>
      </c>
      <c r="D945" t="s">
        <v>4200</v>
      </c>
      <c r="E945" t="s">
        <v>26</v>
      </c>
      <c r="F945" t="s">
        <v>26</v>
      </c>
      <c r="G945" t="s">
        <v>118</v>
      </c>
      <c r="H945" t="s">
        <v>88</v>
      </c>
      <c r="I945" t="s">
        <v>29</v>
      </c>
      <c r="J945" t="s">
        <v>30</v>
      </c>
      <c r="K945" t="s">
        <v>200</v>
      </c>
      <c r="L945" t="s">
        <v>513</v>
      </c>
      <c r="M945" t="s">
        <v>582</v>
      </c>
      <c r="N945" t="s">
        <v>53</v>
      </c>
      <c r="O945" t="s">
        <v>2528</v>
      </c>
      <c r="P945" t="s">
        <v>724</v>
      </c>
      <c r="Q945" t="s">
        <v>252</v>
      </c>
      <c r="R945" t="s">
        <v>4201</v>
      </c>
      <c r="S945" t="s">
        <v>182</v>
      </c>
      <c r="T945" t="s">
        <v>1013</v>
      </c>
      <c r="U945" t="s">
        <v>171</v>
      </c>
      <c r="V945" t="s">
        <v>114</v>
      </c>
    </row>
    <row r="946" spans="1:22" x14ac:dyDescent="0.3">
      <c r="A946" t="s">
        <v>4202</v>
      </c>
      <c r="B946" t="s">
        <v>660</v>
      </c>
      <c r="C946" t="s">
        <v>661</v>
      </c>
      <c r="D946" t="s">
        <v>4203</v>
      </c>
      <c r="E946" t="s">
        <v>780</v>
      </c>
      <c r="F946" t="s">
        <v>282</v>
      </c>
      <c r="G946" t="s">
        <v>147</v>
      </c>
      <c r="H946" t="s">
        <v>88</v>
      </c>
      <c r="I946" t="s">
        <v>69</v>
      </c>
      <c r="J946" t="s">
        <v>30</v>
      </c>
      <c r="K946" t="s">
        <v>89</v>
      </c>
      <c r="L946" t="s">
        <v>766</v>
      </c>
      <c r="M946" t="s">
        <v>3601</v>
      </c>
      <c r="N946" t="s">
        <v>179</v>
      </c>
      <c r="O946" t="s">
        <v>3601</v>
      </c>
      <c r="P946" t="s">
        <v>2236</v>
      </c>
      <c r="Q946" t="s">
        <v>1958</v>
      </c>
      <c r="R946" t="s">
        <v>4204</v>
      </c>
      <c r="S946" t="s">
        <v>39</v>
      </c>
      <c r="T946" t="s">
        <v>836</v>
      </c>
      <c r="U946" t="s">
        <v>362</v>
      </c>
      <c r="V946" t="s">
        <v>114</v>
      </c>
    </row>
    <row r="947" spans="1:22" x14ac:dyDescent="0.3">
      <c r="A947" t="s">
        <v>4205</v>
      </c>
      <c r="B947" t="s">
        <v>4206</v>
      </c>
      <c r="C947" t="s">
        <v>4207</v>
      </c>
      <c r="D947" t="s">
        <v>1448</v>
      </c>
      <c r="E947" t="s">
        <v>243</v>
      </c>
      <c r="F947" t="s">
        <v>244</v>
      </c>
      <c r="G947" t="s">
        <v>580</v>
      </c>
      <c r="H947" t="s">
        <v>214</v>
      </c>
      <c r="I947" t="s">
        <v>69</v>
      </c>
      <c r="J947" t="s">
        <v>257</v>
      </c>
      <c r="K947" t="s">
        <v>50</v>
      </c>
      <c r="L947" t="s">
        <v>983</v>
      </c>
      <c r="M947" t="s">
        <v>52</v>
      </c>
      <c r="N947" t="s">
        <v>499</v>
      </c>
      <c r="O947" t="s">
        <v>180</v>
      </c>
      <c r="P947" t="s">
        <v>3012</v>
      </c>
      <c r="Q947" t="s">
        <v>1916</v>
      </c>
      <c r="R947" t="s">
        <v>4208</v>
      </c>
      <c r="S947" t="s">
        <v>126</v>
      </c>
      <c r="T947" t="s">
        <v>59</v>
      </c>
      <c r="U947" t="s">
        <v>362</v>
      </c>
      <c r="V947" t="s">
        <v>58</v>
      </c>
    </row>
    <row r="948" spans="1:22" x14ac:dyDescent="0.3">
      <c r="A948" t="s">
        <v>4209</v>
      </c>
      <c r="B948" t="s">
        <v>4210</v>
      </c>
      <c r="C948" t="s">
        <v>4211</v>
      </c>
      <c r="D948" t="s">
        <v>2310</v>
      </c>
      <c r="E948" t="s">
        <v>176</v>
      </c>
      <c r="F948" t="s">
        <v>161</v>
      </c>
      <c r="G948" t="s">
        <v>118</v>
      </c>
      <c r="H948" t="s">
        <v>28</v>
      </c>
      <c r="I948" t="s">
        <v>69</v>
      </c>
      <c r="J948" t="s">
        <v>257</v>
      </c>
      <c r="K948" t="s">
        <v>215</v>
      </c>
      <c r="L948" t="s">
        <v>294</v>
      </c>
      <c r="M948" t="s">
        <v>3180</v>
      </c>
      <c r="N948" t="s">
        <v>179</v>
      </c>
      <c r="O948" t="s">
        <v>3180</v>
      </c>
      <c r="P948" t="s">
        <v>581</v>
      </c>
      <c r="Q948" t="s">
        <v>1402</v>
      </c>
      <c r="R948" t="s">
        <v>4212</v>
      </c>
      <c r="S948" t="s">
        <v>58</v>
      </c>
      <c r="T948" t="s">
        <v>710</v>
      </c>
      <c r="U948" t="s">
        <v>171</v>
      </c>
      <c r="V948" t="s">
        <v>58</v>
      </c>
    </row>
    <row r="949" spans="1:22" x14ac:dyDescent="0.3">
      <c r="A949" t="s">
        <v>4213</v>
      </c>
      <c r="B949" t="s">
        <v>1861</v>
      </c>
      <c r="C949" t="s">
        <v>1862</v>
      </c>
      <c r="D949" t="s">
        <v>4214</v>
      </c>
      <c r="E949" t="s">
        <v>672</v>
      </c>
      <c r="F949" t="s">
        <v>244</v>
      </c>
      <c r="G949" t="s">
        <v>213</v>
      </c>
      <c r="H949" t="s">
        <v>88</v>
      </c>
      <c r="I949" t="s">
        <v>69</v>
      </c>
      <c r="J949" t="s">
        <v>30</v>
      </c>
      <c r="K949" t="s">
        <v>89</v>
      </c>
      <c r="L949" t="s">
        <v>513</v>
      </c>
      <c r="M949" t="s">
        <v>3007</v>
      </c>
      <c r="N949" t="s">
        <v>191</v>
      </c>
      <c r="O949" t="s">
        <v>479</v>
      </c>
      <c r="P949" t="s">
        <v>347</v>
      </c>
      <c r="Q949" t="s">
        <v>206</v>
      </c>
      <c r="R949" t="s">
        <v>4215</v>
      </c>
      <c r="S949" t="s">
        <v>182</v>
      </c>
      <c r="T949" t="s">
        <v>80</v>
      </c>
      <c r="U949" t="s">
        <v>373</v>
      </c>
      <c r="V949" t="s">
        <v>42</v>
      </c>
    </row>
    <row r="950" spans="1:22" x14ac:dyDescent="0.3">
      <c r="A950" t="s">
        <v>4216</v>
      </c>
      <c r="B950" t="s">
        <v>869</v>
      </c>
      <c r="C950" t="s">
        <v>870</v>
      </c>
      <c r="D950" t="s">
        <v>831</v>
      </c>
      <c r="E950" t="s">
        <v>267</v>
      </c>
      <c r="F950" t="s">
        <v>66</v>
      </c>
      <c r="G950" t="s">
        <v>580</v>
      </c>
      <c r="H950" t="s">
        <v>28</v>
      </c>
      <c r="I950" t="s">
        <v>69</v>
      </c>
      <c r="J950" t="s">
        <v>30</v>
      </c>
      <c r="K950" t="s">
        <v>215</v>
      </c>
      <c r="L950" t="s">
        <v>513</v>
      </c>
      <c r="M950" t="s">
        <v>221</v>
      </c>
      <c r="N950" t="s">
        <v>140</v>
      </c>
      <c r="O950" t="s">
        <v>1689</v>
      </c>
      <c r="P950" t="s">
        <v>774</v>
      </c>
      <c r="Q950" t="s">
        <v>3398</v>
      </c>
      <c r="R950" t="s">
        <v>4217</v>
      </c>
      <c r="S950" t="s">
        <v>97</v>
      </c>
      <c r="T950" t="s">
        <v>770</v>
      </c>
      <c r="U950" t="s">
        <v>867</v>
      </c>
      <c r="V950" t="s">
        <v>114</v>
      </c>
    </row>
    <row r="951" spans="1:22" x14ac:dyDescent="0.3">
      <c r="A951" t="s">
        <v>4218</v>
      </c>
      <c r="B951" t="s">
        <v>615</v>
      </c>
      <c r="C951" t="s">
        <v>616</v>
      </c>
      <c r="D951" t="s">
        <v>4219</v>
      </c>
      <c r="E951" t="s">
        <v>244</v>
      </c>
      <c r="F951" t="s">
        <v>244</v>
      </c>
      <c r="G951" t="s">
        <v>118</v>
      </c>
      <c r="H951" t="s">
        <v>214</v>
      </c>
      <c r="I951" t="s">
        <v>69</v>
      </c>
      <c r="J951" t="s">
        <v>70</v>
      </c>
      <c r="K951" t="s">
        <v>293</v>
      </c>
      <c r="L951" t="s">
        <v>663</v>
      </c>
      <c r="M951" t="s">
        <v>2230</v>
      </c>
      <c r="N951" t="s">
        <v>384</v>
      </c>
      <c r="O951" t="s">
        <v>149</v>
      </c>
      <c r="P951" t="s">
        <v>404</v>
      </c>
      <c r="Q951" t="s">
        <v>2279</v>
      </c>
      <c r="R951" t="s">
        <v>4220</v>
      </c>
      <c r="S951" t="s">
        <v>79</v>
      </c>
      <c r="T951" t="s">
        <v>170</v>
      </c>
      <c r="U951" t="s">
        <v>277</v>
      </c>
      <c r="V951" t="s">
        <v>58</v>
      </c>
    </row>
    <row r="952" spans="1:22" x14ac:dyDescent="0.3">
      <c r="A952" t="s">
        <v>4221</v>
      </c>
      <c r="B952" t="s">
        <v>4222</v>
      </c>
      <c r="C952" t="s">
        <v>4223</v>
      </c>
      <c r="D952" t="s">
        <v>4224</v>
      </c>
      <c r="E952" t="s">
        <v>780</v>
      </c>
      <c r="F952" t="s">
        <v>282</v>
      </c>
      <c r="G952" t="s">
        <v>27</v>
      </c>
      <c r="H952" t="s">
        <v>28</v>
      </c>
      <c r="I952" t="s">
        <v>69</v>
      </c>
      <c r="J952" t="s">
        <v>30</v>
      </c>
      <c r="K952" t="s">
        <v>89</v>
      </c>
      <c r="L952" t="s">
        <v>105</v>
      </c>
      <c r="M952" t="s">
        <v>1465</v>
      </c>
      <c r="N952" t="s">
        <v>179</v>
      </c>
      <c r="O952" t="s">
        <v>1465</v>
      </c>
      <c r="P952" t="s">
        <v>1705</v>
      </c>
      <c r="Q952" t="s">
        <v>1000</v>
      </c>
      <c r="R952" t="s">
        <v>4225</v>
      </c>
      <c r="S952" t="s">
        <v>126</v>
      </c>
      <c r="T952" t="s">
        <v>406</v>
      </c>
      <c r="U952" t="s">
        <v>568</v>
      </c>
      <c r="V952" t="s">
        <v>58</v>
      </c>
    </row>
    <row r="953" spans="1:22" x14ac:dyDescent="0.3">
      <c r="A953" t="s">
        <v>4226</v>
      </c>
      <c r="B953" t="s">
        <v>2756</v>
      </c>
      <c r="C953" t="s">
        <v>2757</v>
      </c>
      <c r="D953" t="s">
        <v>3888</v>
      </c>
      <c r="E953" t="s">
        <v>134</v>
      </c>
      <c r="F953" t="s">
        <v>134</v>
      </c>
      <c r="G953" t="s">
        <v>213</v>
      </c>
      <c r="H953" t="s">
        <v>214</v>
      </c>
      <c r="I953" t="s">
        <v>69</v>
      </c>
      <c r="J953" t="s">
        <v>162</v>
      </c>
      <c r="K953" t="s">
        <v>50</v>
      </c>
      <c r="L953" t="s">
        <v>135</v>
      </c>
      <c r="M953" t="s">
        <v>1769</v>
      </c>
      <c r="N953" t="s">
        <v>441</v>
      </c>
      <c r="O953" t="s">
        <v>1527</v>
      </c>
      <c r="P953" t="s">
        <v>2160</v>
      </c>
      <c r="Q953" t="s">
        <v>326</v>
      </c>
      <c r="R953" t="s">
        <v>4227</v>
      </c>
      <c r="S953" t="s">
        <v>39</v>
      </c>
      <c r="T953" t="s">
        <v>203</v>
      </c>
      <c r="U953" t="s">
        <v>362</v>
      </c>
      <c r="V953" t="s">
        <v>82</v>
      </c>
    </row>
    <row r="954" spans="1:22" x14ac:dyDescent="0.3">
      <c r="A954" t="s">
        <v>4228</v>
      </c>
      <c r="B954" t="s">
        <v>4229</v>
      </c>
      <c r="C954" t="s">
        <v>4230</v>
      </c>
      <c r="D954" t="s">
        <v>2666</v>
      </c>
      <c r="E954" t="s">
        <v>378</v>
      </c>
      <c r="F954" t="s">
        <v>282</v>
      </c>
      <c r="G954" t="s">
        <v>103</v>
      </c>
      <c r="H954" t="s">
        <v>49</v>
      </c>
      <c r="I954" t="s">
        <v>29</v>
      </c>
      <c r="J954" t="s">
        <v>30</v>
      </c>
      <c r="K954" t="s">
        <v>89</v>
      </c>
      <c r="L954" t="s">
        <v>189</v>
      </c>
      <c r="M954" t="s">
        <v>4231</v>
      </c>
      <c r="N954" t="s">
        <v>179</v>
      </c>
      <c r="O954" t="s">
        <v>4231</v>
      </c>
      <c r="P954" t="s">
        <v>1449</v>
      </c>
      <c r="Q954" t="s">
        <v>1979</v>
      </c>
      <c r="R954" t="s">
        <v>4232</v>
      </c>
      <c r="S954" t="s">
        <v>79</v>
      </c>
      <c r="T954" t="s">
        <v>150</v>
      </c>
      <c r="U954" t="s">
        <v>373</v>
      </c>
      <c r="V954" t="s">
        <v>114</v>
      </c>
    </row>
    <row r="955" spans="1:22" x14ac:dyDescent="0.3">
      <c r="A955" t="s">
        <v>4233</v>
      </c>
      <c r="B955" t="s">
        <v>2336</v>
      </c>
      <c r="C955" t="s">
        <v>2337</v>
      </c>
      <c r="D955" t="s">
        <v>4234</v>
      </c>
      <c r="E955" t="s">
        <v>87</v>
      </c>
      <c r="F955" t="s">
        <v>26</v>
      </c>
      <c r="G955" t="s">
        <v>48</v>
      </c>
      <c r="H955" t="s">
        <v>268</v>
      </c>
      <c r="I955" t="s">
        <v>29</v>
      </c>
      <c r="J955" t="s">
        <v>30</v>
      </c>
      <c r="K955" t="s">
        <v>293</v>
      </c>
      <c r="L955" t="s">
        <v>333</v>
      </c>
      <c r="M955" t="s">
        <v>193</v>
      </c>
      <c r="N955" t="s">
        <v>328</v>
      </c>
      <c r="O955" t="s">
        <v>774</v>
      </c>
      <c r="P955" t="s">
        <v>545</v>
      </c>
      <c r="Q955" t="s">
        <v>461</v>
      </c>
      <c r="R955" t="s">
        <v>4235</v>
      </c>
      <c r="S955" t="s">
        <v>79</v>
      </c>
      <c r="T955" t="s">
        <v>613</v>
      </c>
      <c r="U955" t="s">
        <v>288</v>
      </c>
      <c r="V955" t="s">
        <v>82</v>
      </c>
    </row>
    <row r="956" spans="1:22" x14ac:dyDescent="0.3">
      <c r="A956" t="s">
        <v>4236</v>
      </c>
      <c r="B956" t="s">
        <v>130</v>
      </c>
      <c r="C956" t="s">
        <v>131</v>
      </c>
      <c r="D956" t="s">
        <v>2369</v>
      </c>
      <c r="E956" t="s">
        <v>378</v>
      </c>
      <c r="F956" t="s">
        <v>282</v>
      </c>
      <c r="G956" t="s">
        <v>580</v>
      </c>
      <c r="H956" t="s">
        <v>104</v>
      </c>
      <c r="I956" t="s">
        <v>69</v>
      </c>
      <c r="J956" t="s">
        <v>162</v>
      </c>
      <c r="K956" t="s">
        <v>71</v>
      </c>
      <c r="L956" t="s">
        <v>487</v>
      </c>
      <c r="M956" t="s">
        <v>316</v>
      </c>
      <c r="N956" t="s">
        <v>179</v>
      </c>
      <c r="O956" t="s">
        <v>316</v>
      </c>
      <c r="P956" t="s">
        <v>1063</v>
      </c>
      <c r="Q956" t="s">
        <v>2528</v>
      </c>
      <c r="R956" t="s">
        <v>4237</v>
      </c>
      <c r="S956" t="s">
        <v>97</v>
      </c>
      <c r="T956" t="s">
        <v>150</v>
      </c>
      <c r="U956" t="s">
        <v>423</v>
      </c>
      <c r="V956" t="s">
        <v>82</v>
      </c>
    </row>
    <row r="957" spans="1:22" x14ac:dyDescent="0.3">
      <c r="A957" t="s">
        <v>4238</v>
      </c>
      <c r="B957" t="s">
        <v>2803</v>
      </c>
      <c r="C957" t="s">
        <v>2804</v>
      </c>
      <c r="D957" t="s">
        <v>4239</v>
      </c>
      <c r="E957" t="s">
        <v>354</v>
      </c>
      <c r="F957" t="s">
        <v>134</v>
      </c>
      <c r="G957" t="s">
        <v>48</v>
      </c>
      <c r="H957" t="s">
        <v>28</v>
      </c>
      <c r="I957" t="s">
        <v>69</v>
      </c>
      <c r="J957" t="s">
        <v>70</v>
      </c>
      <c r="K957" t="s">
        <v>89</v>
      </c>
      <c r="L957" t="s">
        <v>551</v>
      </c>
      <c r="M957" t="s">
        <v>2120</v>
      </c>
      <c r="N957" t="s">
        <v>782</v>
      </c>
      <c r="O957" t="s">
        <v>2263</v>
      </c>
      <c r="P957" t="s">
        <v>1864</v>
      </c>
      <c r="Q957" t="s">
        <v>2800</v>
      </c>
      <c r="R957" t="s">
        <v>4240</v>
      </c>
      <c r="S957" t="s">
        <v>79</v>
      </c>
      <c r="T957" t="s">
        <v>695</v>
      </c>
      <c r="U957" t="s">
        <v>472</v>
      </c>
      <c r="V957" t="s">
        <v>114</v>
      </c>
    </row>
    <row r="958" spans="1:22" x14ac:dyDescent="0.3">
      <c r="A958" t="s">
        <v>4241</v>
      </c>
      <c r="B958" t="s">
        <v>2775</v>
      </c>
      <c r="C958" t="s">
        <v>2776</v>
      </c>
      <c r="D958" t="s">
        <v>2483</v>
      </c>
      <c r="E958" t="s">
        <v>65</v>
      </c>
      <c r="F958" t="s">
        <v>66</v>
      </c>
      <c r="G958" t="s">
        <v>103</v>
      </c>
      <c r="H958" t="s">
        <v>104</v>
      </c>
      <c r="I958" t="s">
        <v>29</v>
      </c>
      <c r="J958" t="s">
        <v>30</v>
      </c>
      <c r="K958" t="s">
        <v>89</v>
      </c>
      <c r="L958" t="s">
        <v>871</v>
      </c>
      <c r="M958" t="s">
        <v>948</v>
      </c>
      <c r="N958" t="s">
        <v>499</v>
      </c>
      <c r="O958" t="s">
        <v>1289</v>
      </c>
      <c r="P958" t="s">
        <v>2086</v>
      </c>
      <c r="Q958" t="s">
        <v>1430</v>
      </c>
      <c r="R958" t="s">
        <v>4242</v>
      </c>
      <c r="S958" t="s">
        <v>182</v>
      </c>
      <c r="T958" t="s">
        <v>107</v>
      </c>
      <c r="U958" t="s">
        <v>300</v>
      </c>
      <c r="V958" t="s">
        <v>82</v>
      </c>
    </row>
    <row r="959" spans="1:22" x14ac:dyDescent="0.3">
      <c r="A959" t="s">
        <v>4243</v>
      </c>
      <c r="B959" t="s">
        <v>1787</v>
      </c>
      <c r="C959" t="s">
        <v>1788</v>
      </c>
      <c r="D959" t="s">
        <v>86</v>
      </c>
      <c r="E959" t="s">
        <v>227</v>
      </c>
      <c r="F959" t="s">
        <v>228</v>
      </c>
      <c r="G959" t="s">
        <v>48</v>
      </c>
      <c r="H959" t="s">
        <v>28</v>
      </c>
      <c r="I959" t="s">
        <v>29</v>
      </c>
      <c r="J959" t="s">
        <v>30</v>
      </c>
      <c r="K959" t="s">
        <v>293</v>
      </c>
      <c r="L959" t="s">
        <v>105</v>
      </c>
      <c r="M959" t="s">
        <v>4244</v>
      </c>
      <c r="N959" t="s">
        <v>36</v>
      </c>
      <c r="O959" t="s">
        <v>4245</v>
      </c>
      <c r="P959" t="s">
        <v>3361</v>
      </c>
      <c r="Q959" t="s">
        <v>1953</v>
      </c>
      <c r="R959" t="s">
        <v>4246</v>
      </c>
      <c r="S959" t="s">
        <v>126</v>
      </c>
      <c r="T959" t="s">
        <v>822</v>
      </c>
      <c r="U959" t="s">
        <v>472</v>
      </c>
      <c r="V959" t="s">
        <v>82</v>
      </c>
    </row>
    <row r="960" spans="1:22" x14ac:dyDescent="0.3">
      <c r="A960" t="s">
        <v>4247</v>
      </c>
      <c r="B960" t="s">
        <v>2915</v>
      </c>
      <c r="C960" t="s">
        <v>2916</v>
      </c>
      <c r="D960" t="s">
        <v>2489</v>
      </c>
      <c r="E960" t="s">
        <v>228</v>
      </c>
      <c r="F960" t="s">
        <v>228</v>
      </c>
      <c r="G960" t="s">
        <v>580</v>
      </c>
      <c r="H960" t="s">
        <v>229</v>
      </c>
      <c r="I960" t="s">
        <v>69</v>
      </c>
      <c r="J960" t="s">
        <v>30</v>
      </c>
      <c r="K960" t="s">
        <v>31</v>
      </c>
      <c r="L960" t="s">
        <v>246</v>
      </c>
      <c r="M960" t="s">
        <v>4127</v>
      </c>
      <c r="N960" t="s">
        <v>34</v>
      </c>
      <c r="O960" t="s">
        <v>1330</v>
      </c>
      <c r="P960" t="s">
        <v>1517</v>
      </c>
      <c r="Q960" t="s">
        <v>371</v>
      </c>
      <c r="R960" t="s">
        <v>4248</v>
      </c>
      <c r="S960" t="s">
        <v>79</v>
      </c>
      <c r="T960" t="s">
        <v>328</v>
      </c>
      <c r="U960" t="s">
        <v>98</v>
      </c>
      <c r="V960" t="s">
        <v>82</v>
      </c>
    </row>
    <row r="961" spans="1:22" x14ac:dyDescent="0.3">
      <c r="A961" t="s">
        <v>4249</v>
      </c>
      <c r="B961" t="s">
        <v>2552</v>
      </c>
      <c r="C961" t="s">
        <v>2553</v>
      </c>
      <c r="D961" t="s">
        <v>4250</v>
      </c>
      <c r="E961" t="s">
        <v>417</v>
      </c>
      <c r="F961" t="s">
        <v>134</v>
      </c>
      <c r="G961" t="s">
        <v>213</v>
      </c>
      <c r="H961" t="s">
        <v>88</v>
      </c>
      <c r="I961" t="s">
        <v>69</v>
      </c>
      <c r="J961" t="s">
        <v>30</v>
      </c>
      <c r="K961" t="s">
        <v>245</v>
      </c>
      <c r="L961" t="s">
        <v>72</v>
      </c>
      <c r="M961" t="s">
        <v>52</v>
      </c>
      <c r="N961" t="s">
        <v>621</v>
      </c>
      <c r="O961" t="s">
        <v>77</v>
      </c>
      <c r="P961" t="s">
        <v>482</v>
      </c>
      <c r="Q961" t="s">
        <v>55</v>
      </c>
      <c r="R961" t="s">
        <v>4251</v>
      </c>
      <c r="S961" t="s">
        <v>182</v>
      </c>
      <c r="T961" t="s">
        <v>59</v>
      </c>
      <c r="U961" t="s">
        <v>362</v>
      </c>
      <c r="V961" t="s">
        <v>82</v>
      </c>
    </row>
    <row r="962" spans="1:22" x14ac:dyDescent="0.3">
      <c r="A962" t="s">
        <v>4252</v>
      </c>
      <c r="B962" t="s">
        <v>375</v>
      </c>
      <c r="C962" t="s">
        <v>376</v>
      </c>
      <c r="D962" t="s">
        <v>3356</v>
      </c>
      <c r="E962" t="s">
        <v>267</v>
      </c>
      <c r="F962" t="s">
        <v>66</v>
      </c>
      <c r="G962" t="s">
        <v>580</v>
      </c>
      <c r="H962" t="s">
        <v>49</v>
      </c>
      <c r="I962" t="s">
        <v>69</v>
      </c>
      <c r="J962" t="s">
        <v>30</v>
      </c>
      <c r="K962" t="s">
        <v>89</v>
      </c>
      <c r="L962" t="s">
        <v>902</v>
      </c>
      <c r="M962" t="s">
        <v>403</v>
      </c>
      <c r="N962" t="s">
        <v>695</v>
      </c>
      <c r="O962" t="s">
        <v>497</v>
      </c>
      <c r="P962" t="s">
        <v>1051</v>
      </c>
      <c r="Q962" t="s">
        <v>167</v>
      </c>
      <c r="R962" t="s">
        <v>3298</v>
      </c>
      <c r="S962" t="s">
        <v>58</v>
      </c>
      <c r="T962" t="s">
        <v>121</v>
      </c>
      <c r="U962" t="s">
        <v>362</v>
      </c>
      <c r="V962" t="s">
        <v>82</v>
      </c>
    </row>
    <row r="963" spans="1:22" x14ac:dyDescent="0.3">
      <c r="A963" t="s">
        <v>4253</v>
      </c>
      <c r="B963" t="s">
        <v>3915</v>
      </c>
      <c r="C963" t="s">
        <v>3916</v>
      </c>
      <c r="D963" t="s">
        <v>892</v>
      </c>
      <c r="E963" t="s">
        <v>176</v>
      </c>
      <c r="F963" t="s">
        <v>161</v>
      </c>
      <c r="G963" t="s">
        <v>103</v>
      </c>
      <c r="H963" t="s">
        <v>88</v>
      </c>
      <c r="I963" t="s">
        <v>29</v>
      </c>
      <c r="J963" t="s">
        <v>70</v>
      </c>
      <c r="K963" t="s">
        <v>71</v>
      </c>
      <c r="L963" t="s">
        <v>871</v>
      </c>
      <c r="M963" t="s">
        <v>692</v>
      </c>
      <c r="N963" t="s">
        <v>179</v>
      </c>
      <c r="O963" t="s">
        <v>692</v>
      </c>
      <c r="P963" t="s">
        <v>1106</v>
      </c>
      <c r="Q963" t="s">
        <v>95</v>
      </c>
      <c r="R963" t="s">
        <v>4254</v>
      </c>
      <c r="S963" t="s">
        <v>79</v>
      </c>
      <c r="T963" t="s">
        <v>137</v>
      </c>
      <c r="U963" t="s">
        <v>407</v>
      </c>
      <c r="V963" t="s">
        <v>79</v>
      </c>
    </row>
    <row r="964" spans="1:22" x14ac:dyDescent="0.3">
      <c r="A964" t="s">
        <v>4255</v>
      </c>
      <c r="B964" t="s">
        <v>1899</v>
      </c>
      <c r="C964" t="s">
        <v>1900</v>
      </c>
      <c r="D964" t="s">
        <v>1042</v>
      </c>
      <c r="E964" t="s">
        <v>160</v>
      </c>
      <c r="F964" t="s">
        <v>161</v>
      </c>
      <c r="G964" t="s">
        <v>48</v>
      </c>
      <c r="H964" t="s">
        <v>229</v>
      </c>
      <c r="I964" t="s">
        <v>29</v>
      </c>
      <c r="J964" t="s">
        <v>257</v>
      </c>
      <c r="K964" t="s">
        <v>71</v>
      </c>
      <c r="L964" t="s">
        <v>658</v>
      </c>
      <c r="M964" t="s">
        <v>1068</v>
      </c>
      <c r="N964" t="s">
        <v>237</v>
      </c>
      <c r="O964" t="s">
        <v>2921</v>
      </c>
      <c r="P964" t="s">
        <v>2285</v>
      </c>
      <c r="Q964" t="s">
        <v>433</v>
      </c>
      <c r="R964" t="s">
        <v>4256</v>
      </c>
      <c r="S964" t="s">
        <v>58</v>
      </c>
      <c r="T964" t="s">
        <v>328</v>
      </c>
      <c r="U964" t="s">
        <v>423</v>
      </c>
      <c r="V964" t="s">
        <v>79</v>
      </c>
    </row>
    <row r="965" spans="1:22" x14ac:dyDescent="0.3">
      <c r="A965" t="s">
        <v>4257</v>
      </c>
      <c r="B965" t="s">
        <v>2317</v>
      </c>
      <c r="C965" t="s">
        <v>2318</v>
      </c>
      <c r="D965" t="s">
        <v>4258</v>
      </c>
      <c r="E965" t="s">
        <v>438</v>
      </c>
      <c r="F965" t="s">
        <v>188</v>
      </c>
      <c r="G965" t="s">
        <v>67</v>
      </c>
      <c r="H965" t="s">
        <v>49</v>
      </c>
      <c r="I965" t="s">
        <v>69</v>
      </c>
      <c r="J965" t="s">
        <v>30</v>
      </c>
      <c r="K965" t="s">
        <v>200</v>
      </c>
      <c r="L965" t="s">
        <v>561</v>
      </c>
      <c r="M965" t="s">
        <v>1396</v>
      </c>
      <c r="N965" t="s">
        <v>328</v>
      </c>
      <c r="O965" t="s">
        <v>152</v>
      </c>
      <c r="P965" t="s">
        <v>1694</v>
      </c>
      <c r="Q965" t="s">
        <v>459</v>
      </c>
      <c r="R965" t="s">
        <v>754</v>
      </c>
      <c r="S965" t="s">
        <v>97</v>
      </c>
      <c r="T965" t="s">
        <v>369</v>
      </c>
      <c r="U965" t="s">
        <v>537</v>
      </c>
      <c r="V965" t="s">
        <v>58</v>
      </c>
    </row>
    <row r="966" spans="1:22" x14ac:dyDescent="0.3">
      <c r="A966" t="s">
        <v>4259</v>
      </c>
      <c r="B966" t="s">
        <v>1546</v>
      </c>
      <c r="C966" t="s">
        <v>1547</v>
      </c>
      <c r="D966" t="s">
        <v>1048</v>
      </c>
      <c r="E966" t="s">
        <v>160</v>
      </c>
      <c r="F966" t="s">
        <v>161</v>
      </c>
      <c r="G966" t="s">
        <v>147</v>
      </c>
      <c r="H966" t="s">
        <v>268</v>
      </c>
      <c r="I966" t="s">
        <v>29</v>
      </c>
      <c r="J966" t="s">
        <v>70</v>
      </c>
      <c r="K966" t="s">
        <v>215</v>
      </c>
      <c r="L966" t="s">
        <v>2637</v>
      </c>
      <c r="M966" t="s">
        <v>4260</v>
      </c>
      <c r="N966" t="s">
        <v>179</v>
      </c>
      <c r="O966" t="s">
        <v>4260</v>
      </c>
      <c r="P966" t="s">
        <v>967</v>
      </c>
      <c r="Q966" t="s">
        <v>1260</v>
      </c>
      <c r="R966" t="s">
        <v>1504</v>
      </c>
      <c r="S966" t="s">
        <v>58</v>
      </c>
      <c r="T966" t="s">
        <v>356</v>
      </c>
      <c r="U966" t="s">
        <v>362</v>
      </c>
      <c r="V966" t="s">
        <v>114</v>
      </c>
    </row>
    <row r="967" spans="1:22" x14ac:dyDescent="0.3">
      <c r="A967" t="s">
        <v>4261</v>
      </c>
      <c r="B967" t="s">
        <v>1275</v>
      </c>
      <c r="C967" t="s">
        <v>1276</v>
      </c>
      <c r="D967" t="s">
        <v>2497</v>
      </c>
      <c r="E967" t="s">
        <v>227</v>
      </c>
      <c r="F967" t="s">
        <v>228</v>
      </c>
      <c r="G967" t="s">
        <v>103</v>
      </c>
      <c r="H967" t="s">
        <v>49</v>
      </c>
      <c r="I967" t="s">
        <v>69</v>
      </c>
      <c r="J967" t="s">
        <v>30</v>
      </c>
      <c r="K967" t="s">
        <v>245</v>
      </c>
      <c r="L967" t="s">
        <v>362</v>
      </c>
      <c r="M967" t="s">
        <v>542</v>
      </c>
      <c r="N967" t="s">
        <v>150</v>
      </c>
      <c r="O967" t="s">
        <v>2167</v>
      </c>
      <c r="P967" t="s">
        <v>1778</v>
      </c>
      <c r="Q967" t="s">
        <v>361</v>
      </c>
      <c r="R967" t="s">
        <v>4262</v>
      </c>
      <c r="S967" t="s">
        <v>97</v>
      </c>
      <c r="T967" t="s">
        <v>203</v>
      </c>
      <c r="U967" t="s">
        <v>349</v>
      </c>
      <c r="V967" t="s">
        <v>114</v>
      </c>
    </row>
    <row r="968" spans="1:22" x14ac:dyDescent="0.3">
      <c r="A968" t="s">
        <v>4263</v>
      </c>
      <c r="B968" t="s">
        <v>4264</v>
      </c>
      <c r="C968" t="s">
        <v>4265</v>
      </c>
      <c r="D968" t="s">
        <v>718</v>
      </c>
      <c r="E968" t="s">
        <v>342</v>
      </c>
      <c r="F968" t="s">
        <v>244</v>
      </c>
      <c r="G968" t="s">
        <v>48</v>
      </c>
      <c r="H968" t="s">
        <v>28</v>
      </c>
      <c r="I968" t="s">
        <v>69</v>
      </c>
      <c r="J968" t="s">
        <v>70</v>
      </c>
      <c r="K968" t="s">
        <v>89</v>
      </c>
      <c r="L968" t="s">
        <v>937</v>
      </c>
      <c r="M968" t="s">
        <v>1237</v>
      </c>
      <c r="N968" t="s">
        <v>710</v>
      </c>
      <c r="O968" t="s">
        <v>2086</v>
      </c>
      <c r="P968" t="s">
        <v>581</v>
      </c>
      <c r="Q968" t="s">
        <v>150</v>
      </c>
      <c r="R968" t="s">
        <v>4266</v>
      </c>
      <c r="S968" t="s">
        <v>97</v>
      </c>
      <c r="T968" t="s">
        <v>121</v>
      </c>
      <c r="U968" t="s">
        <v>407</v>
      </c>
      <c r="V968" t="s">
        <v>114</v>
      </c>
    </row>
    <row r="969" spans="1:22" x14ac:dyDescent="0.3">
      <c r="A969" t="s">
        <v>4267</v>
      </c>
      <c r="B969" t="s">
        <v>1546</v>
      </c>
      <c r="C969" t="s">
        <v>1547</v>
      </c>
      <c r="D969" t="s">
        <v>3219</v>
      </c>
      <c r="E969" t="s">
        <v>244</v>
      </c>
      <c r="F969" t="s">
        <v>244</v>
      </c>
      <c r="G969" t="s">
        <v>27</v>
      </c>
      <c r="H969" t="s">
        <v>229</v>
      </c>
      <c r="I969" t="s">
        <v>29</v>
      </c>
      <c r="J969" t="s">
        <v>30</v>
      </c>
      <c r="K969" t="s">
        <v>245</v>
      </c>
      <c r="L969" t="s">
        <v>1526</v>
      </c>
      <c r="M969" t="s">
        <v>4268</v>
      </c>
      <c r="N969" t="s">
        <v>3012</v>
      </c>
      <c r="O969" t="s">
        <v>832</v>
      </c>
      <c r="P969" t="s">
        <v>2435</v>
      </c>
      <c r="Q969" t="s">
        <v>326</v>
      </c>
      <c r="R969" t="s">
        <v>4269</v>
      </c>
      <c r="S969" t="s">
        <v>182</v>
      </c>
      <c r="T969" t="s">
        <v>74</v>
      </c>
      <c r="U969" t="s">
        <v>155</v>
      </c>
      <c r="V969" t="s">
        <v>79</v>
      </c>
    </row>
    <row r="970" spans="1:22" x14ac:dyDescent="0.3">
      <c r="A970" t="s">
        <v>4270</v>
      </c>
      <c r="B970" t="s">
        <v>3448</v>
      </c>
      <c r="C970" t="s">
        <v>3449</v>
      </c>
      <c r="D970" t="s">
        <v>2772</v>
      </c>
      <c r="E970" t="s">
        <v>227</v>
      </c>
      <c r="F970" t="s">
        <v>228</v>
      </c>
      <c r="G970" t="s">
        <v>48</v>
      </c>
      <c r="H970" t="s">
        <v>214</v>
      </c>
      <c r="I970" t="s">
        <v>69</v>
      </c>
      <c r="J970" t="s">
        <v>30</v>
      </c>
      <c r="K970" t="s">
        <v>31</v>
      </c>
      <c r="L970" t="s">
        <v>766</v>
      </c>
      <c r="M970" t="s">
        <v>1377</v>
      </c>
      <c r="N970" t="s">
        <v>782</v>
      </c>
      <c r="O970" t="s">
        <v>1655</v>
      </c>
      <c r="P970" t="s">
        <v>4271</v>
      </c>
      <c r="Q970" t="s">
        <v>235</v>
      </c>
      <c r="R970" t="s">
        <v>4272</v>
      </c>
      <c r="S970" t="s">
        <v>126</v>
      </c>
      <c r="T970" t="s">
        <v>406</v>
      </c>
      <c r="U970" t="s">
        <v>128</v>
      </c>
      <c r="V970" t="s">
        <v>58</v>
      </c>
    </row>
    <row r="971" spans="1:22" x14ac:dyDescent="0.3">
      <c r="A971" t="s">
        <v>4273</v>
      </c>
      <c r="B971" t="s">
        <v>1722</v>
      </c>
      <c r="C971" t="s">
        <v>1723</v>
      </c>
      <c r="D971" t="s">
        <v>4274</v>
      </c>
      <c r="E971" t="s">
        <v>1321</v>
      </c>
      <c r="F971" t="s">
        <v>228</v>
      </c>
      <c r="G971" t="s">
        <v>67</v>
      </c>
      <c r="H971" t="s">
        <v>214</v>
      </c>
      <c r="I971" t="s">
        <v>69</v>
      </c>
      <c r="J971" t="s">
        <v>70</v>
      </c>
      <c r="K971" t="s">
        <v>89</v>
      </c>
      <c r="L971" t="s">
        <v>598</v>
      </c>
      <c r="M971" t="s">
        <v>2641</v>
      </c>
      <c r="N971" t="s">
        <v>179</v>
      </c>
      <c r="O971" t="s">
        <v>2641</v>
      </c>
      <c r="P971" t="s">
        <v>2716</v>
      </c>
      <c r="Q971" t="s">
        <v>1773</v>
      </c>
      <c r="R971" t="s">
        <v>4275</v>
      </c>
      <c r="S971" t="s">
        <v>126</v>
      </c>
      <c r="T971" t="s">
        <v>165</v>
      </c>
      <c r="U971" t="s">
        <v>41</v>
      </c>
      <c r="V971" t="s">
        <v>42</v>
      </c>
    </row>
    <row r="972" spans="1:22" x14ac:dyDescent="0.3">
      <c r="A972" t="s">
        <v>4276</v>
      </c>
      <c r="B972" t="s">
        <v>2775</v>
      </c>
      <c r="C972" t="s">
        <v>2776</v>
      </c>
      <c r="D972" t="s">
        <v>2618</v>
      </c>
      <c r="E972" t="s">
        <v>47</v>
      </c>
      <c r="F972" t="s">
        <v>26</v>
      </c>
      <c r="G972" t="s">
        <v>147</v>
      </c>
      <c r="H972" t="s">
        <v>214</v>
      </c>
      <c r="I972" t="s">
        <v>29</v>
      </c>
      <c r="J972" t="s">
        <v>1514</v>
      </c>
      <c r="K972" t="s">
        <v>89</v>
      </c>
      <c r="L972" t="s">
        <v>1295</v>
      </c>
      <c r="M972" t="s">
        <v>469</v>
      </c>
      <c r="N972" t="s">
        <v>112</v>
      </c>
      <c r="O972" t="s">
        <v>1016</v>
      </c>
      <c r="P972" t="s">
        <v>1681</v>
      </c>
      <c r="Q972" t="s">
        <v>3165</v>
      </c>
      <c r="R972" t="s">
        <v>4277</v>
      </c>
      <c r="S972" t="s">
        <v>126</v>
      </c>
      <c r="T972" t="s">
        <v>610</v>
      </c>
      <c r="U972" t="s">
        <v>238</v>
      </c>
      <c r="V972" t="s">
        <v>42</v>
      </c>
    </row>
    <row r="973" spans="1:22" x14ac:dyDescent="0.3">
      <c r="A973" t="s">
        <v>4278</v>
      </c>
      <c r="B973" t="s">
        <v>1851</v>
      </c>
      <c r="C973" t="s">
        <v>1852</v>
      </c>
      <c r="D973" t="s">
        <v>2683</v>
      </c>
      <c r="E973" t="s">
        <v>227</v>
      </c>
      <c r="F973" t="s">
        <v>228</v>
      </c>
      <c r="G973" t="s">
        <v>27</v>
      </c>
      <c r="H973" t="s">
        <v>229</v>
      </c>
      <c r="I973" t="s">
        <v>69</v>
      </c>
      <c r="J973" t="s">
        <v>30</v>
      </c>
      <c r="K973" t="s">
        <v>200</v>
      </c>
      <c r="L973" t="s">
        <v>691</v>
      </c>
      <c r="M973" t="s">
        <v>1114</v>
      </c>
      <c r="N973" t="s">
        <v>142</v>
      </c>
      <c r="O973" t="s">
        <v>1773</v>
      </c>
      <c r="P973" t="s">
        <v>1097</v>
      </c>
      <c r="Q973" t="s">
        <v>1434</v>
      </c>
      <c r="R973" t="s">
        <v>4279</v>
      </c>
      <c r="T973" t="s">
        <v>74</v>
      </c>
      <c r="U973" t="s">
        <v>362</v>
      </c>
      <c r="V973" t="s">
        <v>58</v>
      </c>
    </row>
    <row r="974" spans="1:22" x14ac:dyDescent="0.3">
      <c r="A974" t="s">
        <v>4280</v>
      </c>
      <c r="B974" t="s">
        <v>1830</v>
      </c>
      <c r="C974" t="s">
        <v>1831</v>
      </c>
      <c r="D974" t="s">
        <v>2332</v>
      </c>
      <c r="E974" t="s">
        <v>1321</v>
      </c>
      <c r="F974" t="s">
        <v>228</v>
      </c>
      <c r="G974" t="s">
        <v>27</v>
      </c>
      <c r="H974" t="s">
        <v>104</v>
      </c>
      <c r="I974" t="s">
        <v>69</v>
      </c>
      <c r="J974" t="s">
        <v>30</v>
      </c>
      <c r="K974" t="s">
        <v>293</v>
      </c>
      <c r="L974" t="s">
        <v>766</v>
      </c>
      <c r="M974" t="s">
        <v>849</v>
      </c>
      <c r="N974" t="s">
        <v>440</v>
      </c>
      <c r="O974" t="s">
        <v>1063</v>
      </c>
      <c r="P974" t="s">
        <v>54</v>
      </c>
      <c r="Q974" t="s">
        <v>482</v>
      </c>
      <c r="R974" t="s">
        <v>4281</v>
      </c>
      <c r="S974" t="s">
        <v>79</v>
      </c>
      <c r="T974" t="s">
        <v>170</v>
      </c>
      <c r="U974" t="s">
        <v>362</v>
      </c>
      <c r="V974" t="s">
        <v>42</v>
      </c>
    </row>
    <row r="975" spans="1:22" x14ac:dyDescent="0.3">
      <c r="A975" t="s">
        <v>4282</v>
      </c>
      <c r="B975" t="s">
        <v>240</v>
      </c>
      <c r="C975" t="s">
        <v>241</v>
      </c>
      <c r="D975" t="s">
        <v>3701</v>
      </c>
      <c r="E975" t="s">
        <v>1321</v>
      </c>
      <c r="F975" t="s">
        <v>228</v>
      </c>
      <c r="G975" t="s">
        <v>118</v>
      </c>
      <c r="H975" t="s">
        <v>104</v>
      </c>
      <c r="I975" t="s">
        <v>69</v>
      </c>
      <c r="J975" t="s">
        <v>30</v>
      </c>
      <c r="K975" t="s">
        <v>71</v>
      </c>
      <c r="L975" t="s">
        <v>561</v>
      </c>
      <c r="M975" t="s">
        <v>1651</v>
      </c>
      <c r="N975" t="s">
        <v>1303</v>
      </c>
      <c r="O975" t="s">
        <v>3348</v>
      </c>
      <c r="P975" t="s">
        <v>2507</v>
      </c>
      <c r="Q975" t="s">
        <v>95</v>
      </c>
      <c r="R975" t="s">
        <v>3742</v>
      </c>
      <c r="S975" t="s">
        <v>39</v>
      </c>
      <c r="T975" t="s">
        <v>751</v>
      </c>
      <c r="U975" t="s">
        <v>744</v>
      </c>
      <c r="V975" t="s">
        <v>114</v>
      </c>
    </row>
    <row r="976" spans="1:22" x14ac:dyDescent="0.3">
      <c r="A976" t="s">
        <v>4283</v>
      </c>
      <c r="B976" t="s">
        <v>1722</v>
      </c>
      <c r="C976" t="s">
        <v>1723</v>
      </c>
      <c r="D976" t="s">
        <v>3141</v>
      </c>
      <c r="E976" t="s">
        <v>134</v>
      </c>
      <c r="F976" t="s">
        <v>134</v>
      </c>
      <c r="G976" t="s">
        <v>27</v>
      </c>
      <c r="H976" t="s">
        <v>104</v>
      </c>
      <c r="I976" t="s">
        <v>69</v>
      </c>
      <c r="J976" t="s">
        <v>30</v>
      </c>
      <c r="K976" t="s">
        <v>89</v>
      </c>
      <c r="L976" t="s">
        <v>561</v>
      </c>
      <c r="M976" t="s">
        <v>1894</v>
      </c>
      <c r="N976" t="s">
        <v>553</v>
      </c>
      <c r="O976" t="s">
        <v>1553</v>
      </c>
      <c r="P976" t="s">
        <v>752</v>
      </c>
      <c r="Q976" t="s">
        <v>468</v>
      </c>
      <c r="R976" t="s">
        <v>4284</v>
      </c>
      <c r="S976" t="s">
        <v>182</v>
      </c>
      <c r="T976" t="s">
        <v>440</v>
      </c>
      <c r="U976" t="s">
        <v>238</v>
      </c>
      <c r="V976" t="s">
        <v>82</v>
      </c>
    </row>
    <row r="977" spans="1:22" x14ac:dyDescent="0.3">
      <c r="A977" t="s">
        <v>4285</v>
      </c>
      <c r="B977" t="s">
        <v>4286</v>
      </c>
      <c r="C977" t="s">
        <v>4287</v>
      </c>
      <c r="D977" t="s">
        <v>4288</v>
      </c>
      <c r="E977" t="s">
        <v>188</v>
      </c>
      <c r="F977" t="s">
        <v>188</v>
      </c>
      <c r="G977" t="s">
        <v>103</v>
      </c>
      <c r="H977" t="s">
        <v>268</v>
      </c>
      <c r="I977" t="s">
        <v>69</v>
      </c>
      <c r="J977" t="s">
        <v>257</v>
      </c>
      <c r="K977" t="s">
        <v>200</v>
      </c>
      <c r="L977" t="s">
        <v>1382</v>
      </c>
      <c r="M977" t="s">
        <v>554</v>
      </c>
      <c r="N977" t="s">
        <v>179</v>
      </c>
      <c r="O977" t="s">
        <v>554</v>
      </c>
      <c r="P977" t="s">
        <v>2819</v>
      </c>
      <c r="Q977" t="s">
        <v>260</v>
      </c>
      <c r="R977" t="s">
        <v>2727</v>
      </c>
      <c r="S977" t="s">
        <v>39</v>
      </c>
      <c r="T977" t="s">
        <v>448</v>
      </c>
      <c r="U977" t="s">
        <v>98</v>
      </c>
      <c r="V977" t="s">
        <v>58</v>
      </c>
    </row>
    <row r="978" spans="1:22" x14ac:dyDescent="0.3">
      <c r="A978" t="s">
        <v>4289</v>
      </c>
      <c r="B978" t="s">
        <v>501</v>
      </c>
      <c r="C978" t="s">
        <v>502</v>
      </c>
      <c r="D978" t="s">
        <v>2636</v>
      </c>
      <c r="E978" t="s">
        <v>65</v>
      </c>
      <c r="F978" t="s">
        <v>66</v>
      </c>
      <c r="G978" t="s">
        <v>118</v>
      </c>
      <c r="H978" t="s">
        <v>229</v>
      </c>
      <c r="I978" t="s">
        <v>69</v>
      </c>
      <c r="J978" t="s">
        <v>30</v>
      </c>
      <c r="K978" t="s">
        <v>245</v>
      </c>
      <c r="L978" t="s">
        <v>119</v>
      </c>
      <c r="M978" t="s">
        <v>774</v>
      </c>
      <c r="N978" t="s">
        <v>179</v>
      </c>
      <c r="O978" t="s">
        <v>774</v>
      </c>
      <c r="P978" t="s">
        <v>1222</v>
      </c>
      <c r="Q978" t="s">
        <v>604</v>
      </c>
      <c r="R978" t="s">
        <v>2521</v>
      </c>
      <c r="S978" t="s">
        <v>182</v>
      </c>
      <c r="T978" t="s">
        <v>1224</v>
      </c>
      <c r="U978" t="s">
        <v>288</v>
      </c>
      <c r="V978" t="s">
        <v>58</v>
      </c>
    </row>
    <row r="979" spans="1:22" x14ac:dyDescent="0.3">
      <c r="A979" t="s">
        <v>4290</v>
      </c>
      <c r="B979" t="s">
        <v>845</v>
      </c>
      <c r="C979" t="s">
        <v>846</v>
      </c>
      <c r="D979" t="s">
        <v>1375</v>
      </c>
      <c r="E979" t="s">
        <v>133</v>
      </c>
      <c r="F979" t="s">
        <v>134</v>
      </c>
      <c r="G979" t="s">
        <v>213</v>
      </c>
      <c r="H979" t="s">
        <v>268</v>
      </c>
      <c r="I979" t="s">
        <v>69</v>
      </c>
      <c r="J979" t="s">
        <v>30</v>
      </c>
      <c r="K979" t="s">
        <v>293</v>
      </c>
      <c r="L979" t="s">
        <v>653</v>
      </c>
      <c r="M979" t="s">
        <v>1222</v>
      </c>
      <c r="N979" t="s">
        <v>179</v>
      </c>
      <c r="O979" t="s">
        <v>1222</v>
      </c>
      <c r="P979" t="s">
        <v>153</v>
      </c>
      <c r="Q979" t="s">
        <v>610</v>
      </c>
      <c r="R979" t="s">
        <v>4291</v>
      </c>
      <c r="S979" t="s">
        <v>79</v>
      </c>
      <c r="T979" t="s">
        <v>1099</v>
      </c>
      <c r="U979" t="s">
        <v>373</v>
      </c>
      <c r="V979" t="s">
        <v>114</v>
      </c>
    </row>
    <row r="980" spans="1:22" x14ac:dyDescent="0.3">
      <c r="A980" t="s">
        <v>4292</v>
      </c>
      <c r="B980" t="s">
        <v>3118</v>
      </c>
      <c r="C980" t="s">
        <v>3119</v>
      </c>
      <c r="D980" t="s">
        <v>2215</v>
      </c>
      <c r="E980" t="s">
        <v>354</v>
      </c>
      <c r="F980" t="s">
        <v>134</v>
      </c>
      <c r="G980" t="s">
        <v>27</v>
      </c>
      <c r="H980" t="s">
        <v>268</v>
      </c>
      <c r="I980" t="s">
        <v>69</v>
      </c>
      <c r="J980" t="s">
        <v>30</v>
      </c>
      <c r="K980" t="s">
        <v>230</v>
      </c>
      <c r="L980" t="s">
        <v>362</v>
      </c>
      <c r="M980" t="s">
        <v>2108</v>
      </c>
      <c r="N980" t="s">
        <v>37</v>
      </c>
      <c r="O980" t="s">
        <v>296</v>
      </c>
      <c r="P980" t="s">
        <v>1011</v>
      </c>
      <c r="Q980" t="s">
        <v>3012</v>
      </c>
      <c r="R980" t="s">
        <v>4293</v>
      </c>
      <c r="S980" t="s">
        <v>126</v>
      </c>
      <c r="T980" t="s">
        <v>448</v>
      </c>
      <c r="U980" t="s">
        <v>155</v>
      </c>
      <c r="V980" t="s">
        <v>79</v>
      </c>
    </row>
    <row r="981" spans="1:22" x14ac:dyDescent="0.3">
      <c r="A981" t="s">
        <v>4294</v>
      </c>
      <c r="B981" t="s">
        <v>4222</v>
      </c>
      <c r="C981" t="s">
        <v>4223</v>
      </c>
      <c r="D981" t="s">
        <v>2148</v>
      </c>
      <c r="E981" t="s">
        <v>1321</v>
      </c>
      <c r="F981" t="s">
        <v>228</v>
      </c>
      <c r="H981" t="s">
        <v>49</v>
      </c>
      <c r="I981" t="s">
        <v>69</v>
      </c>
      <c r="J981" t="s">
        <v>162</v>
      </c>
      <c r="K981" t="s">
        <v>89</v>
      </c>
      <c r="L981" t="s">
        <v>1295</v>
      </c>
      <c r="M981" t="s">
        <v>2166</v>
      </c>
      <c r="N981" t="s">
        <v>179</v>
      </c>
      <c r="O981" t="s">
        <v>2166</v>
      </c>
      <c r="P981" t="s">
        <v>1872</v>
      </c>
      <c r="Q981" t="s">
        <v>1063</v>
      </c>
      <c r="R981" t="s">
        <v>4295</v>
      </c>
      <c r="S981" t="s">
        <v>39</v>
      </c>
      <c r="T981" t="s">
        <v>80</v>
      </c>
      <c r="U981" t="s">
        <v>171</v>
      </c>
      <c r="V981" t="s">
        <v>82</v>
      </c>
    </row>
    <row r="982" spans="1:22" x14ac:dyDescent="0.3">
      <c r="A982" t="s">
        <v>4296</v>
      </c>
      <c r="B982" t="s">
        <v>3867</v>
      </c>
      <c r="C982" t="s">
        <v>3868</v>
      </c>
      <c r="D982" t="s">
        <v>2170</v>
      </c>
      <c r="E982" t="s">
        <v>354</v>
      </c>
      <c r="F982" t="s">
        <v>134</v>
      </c>
      <c r="G982" t="s">
        <v>213</v>
      </c>
      <c r="H982" t="s">
        <v>3179</v>
      </c>
      <c r="I982" t="s">
        <v>69</v>
      </c>
      <c r="J982" t="s">
        <v>30</v>
      </c>
      <c r="K982" t="s">
        <v>50</v>
      </c>
      <c r="L982" t="s">
        <v>937</v>
      </c>
      <c r="M982" t="s">
        <v>3407</v>
      </c>
      <c r="N982" t="s">
        <v>179</v>
      </c>
      <c r="O982" t="s">
        <v>3407</v>
      </c>
      <c r="P982" t="s">
        <v>1801</v>
      </c>
      <c r="Q982" t="s">
        <v>2435</v>
      </c>
      <c r="R982" t="s">
        <v>4297</v>
      </c>
      <c r="S982" t="s">
        <v>58</v>
      </c>
      <c r="T982" t="s">
        <v>452</v>
      </c>
      <c r="U982" t="s">
        <v>171</v>
      </c>
      <c r="V982" t="s">
        <v>79</v>
      </c>
    </row>
    <row r="983" spans="1:22" x14ac:dyDescent="0.3">
      <c r="A983" t="s">
        <v>4298</v>
      </c>
      <c r="B983" t="s">
        <v>1292</v>
      </c>
      <c r="C983" t="s">
        <v>1293</v>
      </c>
      <c r="D983" t="s">
        <v>1300</v>
      </c>
      <c r="E983" t="s">
        <v>244</v>
      </c>
      <c r="F983" t="s">
        <v>244</v>
      </c>
      <c r="G983" t="s">
        <v>48</v>
      </c>
      <c r="H983" t="s">
        <v>104</v>
      </c>
      <c r="I983" t="s">
        <v>69</v>
      </c>
      <c r="J983" t="s">
        <v>30</v>
      </c>
      <c r="K983" t="s">
        <v>89</v>
      </c>
      <c r="L983" t="s">
        <v>177</v>
      </c>
      <c r="M983" t="s">
        <v>856</v>
      </c>
      <c r="N983" t="s">
        <v>710</v>
      </c>
      <c r="O983" t="s">
        <v>703</v>
      </c>
      <c r="P983" t="s">
        <v>1523</v>
      </c>
      <c r="Q983" t="s">
        <v>524</v>
      </c>
      <c r="R983" t="s">
        <v>4299</v>
      </c>
      <c r="S983" t="s">
        <v>126</v>
      </c>
      <c r="T983" t="s">
        <v>183</v>
      </c>
      <c r="U983" t="s">
        <v>277</v>
      </c>
      <c r="V983" t="s">
        <v>42</v>
      </c>
    </row>
    <row r="984" spans="1:22" x14ac:dyDescent="0.3">
      <c r="A984" t="s">
        <v>4300</v>
      </c>
      <c r="B984" t="s">
        <v>3345</v>
      </c>
      <c r="C984" t="s">
        <v>3346</v>
      </c>
      <c r="D984" t="s">
        <v>1197</v>
      </c>
      <c r="E984" t="s">
        <v>893</v>
      </c>
      <c r="F984" t="s">
        <v>188</v>
      </c>
      <c r="G984" t="s">
        <v>67</v>
      </c>
      <c r="H984" t="s">
        <v>88</v>
      </c>
      <c r="I984" t="s">
        <v>69</v>
      </c>
      <c r="J984" t="s">
        <v>162</v>
      </c>
      <c r="K984" t="s">
        <v>71</v>
      </c>
      <c r="L984" t="s">
        <v>135</v>
      </c>
      <c r="M984" t="s">
        <v>109</v>
      </c>
      <c r="N984" t="s">
        <v>179</v>
      </c>
      <c r="O984" t="s">
        <v>109</v>
      </c>
      <c r="P984" t="s">
        <v>685</v>
      </c>
      <c r="Q984" t="s">
        <v>1141</v>
      </c>
      <c r="R984" t="s">
        <v>4301</v>
      </c>
      <c r="S984" t="s">
        <v>39</v>
      </c>
      <c r="T984" t="s">
        <v>361</v>
      </c>
      <c r="U984" t="s">
        <v>537</v>
      </c>
      <c r="V984" t="s">
        <v>79</v>
      </c>
    </row>
    <row r="985" spans="1:22" x14ac:dyDescent="0.3">
      <c r="A985" t="s">
        <v>4302</v>
      </c>
      <c r="B985" t="s">
        <v>100</v>
      </c>
      <c r="C985" t="s">
        <v>101</v>
      </c>
      <c r="D985" t="s">
        <v>4303</v>
      </c>
      <c r="E985" t="s">
        <v>417</v>
      </c>
      <c r="F985" t="s">
        <v>134</v>
      </c>
      <c r="G985" t="s">
        <v>580</v>
      </c>
      <c r="H985" t="s">
        <v>104</v>
      </c>
      <c r="I985" t="s">
        <v>69</v>
      </c>
      <c r="J985" t="s">
        <v>30</v>
      </c>
      <c r="K985" t="s">
        <v>89</v>
      </c>
      <c r="L985" t="s">
        <v>1394</v>
      </c>
      <c r="M985" t="s">
        <v>1105</v>
      </c>
      <c r="N985" t="s">
        <v>74</v>
      </c>
      <c r="O985" t="s">
        <v>947</v>
      </c>
      <c r="P985" t="s">
        <v>1889</v>
      </c>
      <c r="Q985" t="s">
        <v>637</v>
      </c>
      <c r="R985" t="s">
        <v>3369</v>
      </c>
      <c r="S985" t="s">
        <v>182</v>
      </c>
      <c r="T985" t="s">
        <v>261</v>
      </c>
      <c r="U985" t="s">
        <v>394</v>
      </c>
      <c r="V985" t="s">
        <v>82</v>
      </c>
    </row>
    <row r="986" spans="1:22" x14ac:dyDescent="0.3">
      <c r="A986" t="s">
        <v>4304</v>
      </c>
      <c r="B986" t="s">
        <v>2585</v>
      </c>
      <c r="C986" t="s">
        <v>2586</v>
      </c>
      <c r="D986" t="s">
        <v>4305</v>
      </c>
      <c r="E986" t="s">
        <v>66</v>
      </c>
      <c r="F986" t="s">
        <v>66</v>
      </c>
      <c r="G986" t="s">
        <v>118</v>
      </c>
      <c r="H986" t="s">
        <v>28</v>
      </c>
      <c r="I986" t="s">
        <v>69</v>
      </c>
      <c r="J986" t="s">
        <v>162</v>
      </c>
      <c r="K986" t="s">
        <v>89</v>
      </c>
      <c r="L986" t="s">
        <v>1295</v>
      </c>
      <c r="M986" t="s">
        <v>665</v>
      </c>
      <c r="N986" t="s">
        <v>237</v>
      </c>
      <c r="O986" t="s">
        <v>1090</v>
      </c>
      <c r="P986" t="s">
        <v>138</v>
      </c>
      <c r="Q986" t="s">
        <v>308</v>
      </c>
      <c r="R986" t="s">
        <v>4306</v>
      </c>
      <c r="S986" t="s">
        <v>79</v>
      </c>
      <c r="T986" t="s">
        <v>321</v>
      </c>
      <c r="U986" t="s">
        <v>300</v>
      </c>
      <c r="V986" t="s">
        <v>82</v>
      </c>
    </row>
    <row r="987" spans="1:22" x14ac:dyDescent="0.3">
      <c r="A987" t="s">
        <v>4307</v>
      </c>
      <c r="B987" t="s">
        <v>4308</v>
      </c>
      <c r="C987" t="s">
        <v>4309</v>
      </c>
      <c r="D987" t="s">
        <v>671</v>
      </c>
      <c r="E987" t="s">
        <v>160</v>
      </c>
      <c r="F987" t="s">
        <v>161</v>
      </c>
      <c r="G987" t="s">
        <v>213</v>
      </c>
      <c r="H987" t="s">
        <v>68</v>
      </c>
      <c r="I987" t="s">
        <v>69</v>
      </c>
      <c r="J987" t="s">
        <v>30</v>
      </c>
      <c r="K987" t="s">
        <v>71</v>
      </c>
      <c r="L987" t="s">
        <v>400</v>
      </c>
      <c r="M987" t="s">
        <v>4310</v>
      </c>
      <c r="N987" t="s">
        <v>179</v>
      </c>
      <c r="O987" t="s">
        <v>4310</v>
      </c>
      <c r="P987" t="s">
        <v>1657</v>
      </c>
      <c r="Q987" t="s">
        <v>564</v>
      </c>
      <c r="R987" t="s">
        <v>4311</v>
      </c>
      <c r="S987" t="s">
        <v>79</v>
      </c>
      <c r="T987" t="s">
        <v>1430</v>
      </c>
      <c r="U987" t="s">
        <v>423</v>
      </c>
      <c r="V987" t="s">
        <v>79</v>
      </c>
    </row>
    <row r="988" spans="1:22" x14ac:dyDescent="0.3">
      <c r="A988" t="s">
        <v>4312</v>
      </c>
      <c r="B988" t="s">
        <v>2808</v>
      </c>
      <c r="C988" t="s">
        <v>2809</v>
      </c>
      <c r="D988" t="s">
        <v>1454</v>
      </c>
      <c r="E988" t="s">
        <v>66</v>
      </c>
      <c r="F988" t="s">
        <v>66</v>
      </c>
      <c r="G988" t="s">
        <v>48</v>
      </c>
      <c r="H988" t="s">
        <v>214</v>
      </c>
      <c r="I988" t="s">
        <v>29</v>
      </c>
      <c r="J988" t="s">
        <v>70</v>
      </c>
      <c r="K988" t="s">
        <v>215</v>
      </c>
      <c r="L988" t="s">
        <v>333</v>
      </c>
      <c r="M988" t="s">
        <v>318</v>
      </c>
      <c r="N988" t="s">
        <v>613</v>
      </c>
      <c r="O988" t="s">
        <v>768</v>
      </c>
      <c r="P988" t="s">
        <v>986</v>
      </c>
      <c r="Q988" t="s">
        <v>140</v>
      </c>
      <c r="R988" t="s">
        <v>383</v>
      </c>
      <c r="S988" t="s">
        <v>79</v>
      </c>
      <c r="T988" t="s">
        <v>321</v>
      </c>
      <c r="U988" t="s">
        <v>472</v>
      </c>
      <c r="V988" t="s">
        <v>79</v>
      </c>
    </row>
    <row r="989" spans="1:22" x14ac:dyDescent="0.3">
      <c r="A989" t="s">
        <v>4313</v>
      </c>
      <c r="B989" t="s">
        <v>2890</v>
      </c>
      <c r="C989" t="s">
        <v>2891</v>
      </c>
      <c r="D989" t="s">
        <v>3741</v>
      </c>
      <c r="E989" t="s">
        <v>399</v>
      </c>
      <c r="F989" t="s">
        <v>188</v>
      </c>
      <c r="G989" t="s">
        <v>103</v>
      </c>
      <c r="H989" t="s">
        <v>268</v>
      </c>
      <c r="I989" t="s">
        <v>69</v>
      </c>
      <c r="J989" t="s">
        <v>30</v>
      </c>
      <c r="K989" t="s">
        <v>50</v>
      </c>
      <c r="L989" t="s">
        <v>466</v>
      </c>
      <c r="M989" t="s">
        <v>1889</v>
      </c>
      <c r="N989" t="s">
        <v>369</v>
      </c>
      <c r="O989" t="s">
        <v>430</v>
      </c>
      <c r="P989" t="s">
        <v>505</v>
      </c>
      <c r="Q989" t="s">
        <v>1826</v>
      </c>
      <c r="R989" t="s">
        <v>4314</v>
      </c>
      <c r="S989" t="s">
        <v>97</v>
      </c>
      <c r="T989" t="s">
        <v>299</v>
      </c>
      <c r="U989" t="s">
        <v>300</v>
      </c>
      <c r="V989" t="s">
        <v>42</v>
      </c>
    </row>
    <row r="990" spans="1:22" x14ac:dyDescent="0.3">
      <c r="A990" t="s">
        <v>4315</v>
      </c>
      <c r="B990" t="s">
        <v>3670</v>
      </c>
      <c r="C990" t="s">
        <v>3671</v>
      </c>
      <c r="D990" t="s">
        <v>2663</v>
      </c>
      <c r="E990" t="s">
        <v>66</v>
      </c>
      <c r="F990" t="s">
        <v>66</v>
      </c>
      <c r="G990" t="s">
        <v>103</v>
      </c>
      <c r="H990" t="s">
        <v>104</v>
      </c>
      <c r="I990" t="s">
        <v>69</v>
      </c>
      <c r="J990" t="s">
        <v>70</v>
      </c>
      <c r="K990" t="s">
        <v>89</v>
      </c>
      <c r="L990" t="s">
        <v>258</v>
      </c>
      <c r="M990" t="s">
        <v>2167</v>
      </c>
      <c r="N990" t="s">
        <v>567</v>
      </c>
      <c r="O990" t="s">
        <v>857</v>
      </c>
      <c r="P990" t="s">
        <v>382</v>
      </c>
      <c r="Q990" t="s">
        <v>1665</v>
      </c>
      <c r="R990" t="s">
        <v>4297</v>
      </c>
      <c r="S990" t="s">
        <v>79</v>
      </c>
      <c r="T990" t="s">
        <v>621</v>
      </c>
      <c r="U990" t="s">
        <v>423</v>
      </c>
      <c r="V990" t="s">
        <v>58</v>
      </c>
    </row>
    <row r="991" spans="1:22" x14ac:dyDescent="0.3">
      <c r="A991" t="s">
        <v>4316</v>
      </c>
      <c r="B991" t="s">
        <v>254</v>
      </c>
      <c r="C991" t="s">
        <v>255</v>
      </c>
      <c r="D991" t="s">
        <v>4317</v>
      </c>
      <c r="E991" t="s">
        <v>244</v>
      </c>
      <c r="F991" t="s">
        <v>244</v>
      </c>
      <c r="H991" t="s">
        <v>68</v>
      </c>
      <c r="I991" t="s">
        <v>29</v>
      </c>
      <c r="J991" t="s">
        <v>162</v>
      </c>
      <c r="K991" t="s">
        <v>50</v>
      </c>
      <c r="L991" t="s">
        <v>719</v>
      </c>
      <c r="M991" t="s">
        <v>1079</v>
      </c>
      <c r="N991" t="s">
        <v>499</v>
      </c>
      <c r="O991" t="s">
        <v>235</v>
      </c>
      <c r="P991" t="s">
        <v>153</v>
      </c>
      <c r="Q991" t="s">
        <v>966</v>
      </c>
      <c r="R991" t="s">
        <v>4318</v>
      </c>
      <c r="S991" t="s">
        <v>58</v>
      </c>
      <c r="T991" t="s">
        <v>1230</v>
      </c>
      <c r="U991" t="s">
        <v>60</v>
      </c>
      <c r="V991" t="s">
        <v>79</v>
      </c>
    </row>
    <row r="992" spans="1:22" x14ac:dyDescent="0.3">
      <c r="A992" t="s">
        <v>4319</v>
      </c>
      <c r="B992" t="s">
        <v>1830</v>
      </c>
      <c r="C992" t="s">
        <v>1831</v>
      </c>
      <c r="D992" t="s">
        <v>811</v>
      </c>
      <c r="E992" t="s">
        <v>26</v>
      </c>
      <c r="F992" t="s">
        <v>26</v>
      </c>
      <c r="G992" t="s">
        <v>48</v>
      </c>
      <c r="H992" t="s">
        <v>229</v>
      </c>
      <c r="I992" t="s">
        <v>69</v>
      </c>
      <c r="J992" t="s">
        <v>162</v>
      </c>
      <c r="K992" t="s">
        <v>31</v>
      </c>
      <c r="L992" t="s">
        <v>135</v>
      </c>
      <c r="M992" t="s">
        <v>429</v>
      </c>
      <c r="N992" t="s">
        <v>710</v>
      </c>
      <c r="O992" t="s">
        <v>1412</v>
      </c>
      <c r="P992" t="s">
        <v>2143</v>
      </c>
      <c r="Q992" t="s">
        <v>774</v>
      </c>
      <c r="R992" t="s">
        <v>3535</v>
      </c>
      <c r="S992" t="s">
        <v>79</v>
      </c>
      <c r="T992" t="s">
        <v>168</v>
      </c>
      <c r="U992" t="s">
        <v>537</v>
      </c>
      <c r="V992" t="s">
        <v>58</v>
      </c>
    </row>
    <row r="993" spans="1:22" x14ac:dyDescent="0.3">
      <c r="A993" t="s">
        <v>4320</v>
      </c>
      <c r="B993" t="s">
        <v>1034</v>
      </c>
      <c r="C993" t="s">
        <v>1035</v>
      </c>
      <c r="D993" t="s">
        <v>1923</v>
      </c>
      <c r="E993" t="s">
        <v>342</v>
      </c>
      <c r="F993" t="s">
        <v>244</v>
      </c>
      <c r="G993" t="s">
        <v>213</v>
      </c>
      <c r="H993" t="s">
        <v>104</v>
      </c>
      <c r="I993" t="s">
        <v>69</v>
      </c>
      <c r="J993" t="s">
        <v>70</v>
      </c>
      <c r="K993" t="s">
        <v>71</v>
      </c>
      <c r="L993" t="s">
        <v>598</v>
      </c>
      <c r="M993" t="s">
        <v>967</v>
      </c>
      <c r="N993" t="s">
        <v>191</v>
      </c>
      <c r="O993" t="s">
        <v>2753</v>
      </c>
      <c r="P993" t="s">
        <v>781</v>
      </c>
      <c r="Q993" t="s">
        <v>52</v>
      </c>
      <c r="R993" t="s">
        <v>536</v>
      </c>
      <c r="S993" t="s">
        <v>126</v>
      </c>
      <c r="T993" t="s">
        <v>782</v>
      </c>
      <c r="U993" t="s">
        <v>385</v>
      </c>
      <c r="V993" t="s">
        <v>114</v>
      </c>
    </row>
    <row r="994" spans="1:22" x14ac:dyDescent="0.3">
      <c r="A994" t="s">
        <v>4321</v>
      </c>
      <c r="B994" t="s">
        <v>1359</v>
      </c>
      <c r="C994" t="s">
        <v>1360</v>
      </c>
      <c r="D994" t="s">
        <v>332</v>
      </c>
      <c r="E994" t="s">
        <v>438</v>
      </c>
      <c r="F994" t="s">
        <v>188</v>
      </c>
      <c r="G994" t="s">
        <v>27</v>
      </c>
      <c r="H994" t="s">
        <v>229</v>
      </c>
      <c r="I994" t="s">
        <v>29</v>
      </c>
      <c r="J994" t="s">
        <v>30</v>
      </c>
      <c r="K994" t="s">
        <v>245</v>
      </c>
      <c r="L994" t="s">
        <v>1049</v>
      </c>
      <c r="M994" t="s">
        <v>781</v>
      </c>
      <c r="N994" t="s">
        <v>782</v>
      </c>
      <c r="O994" t="s">
        <v>783</v>
      </c>
      <c r="P994" t="s">
        <v>36</v>
      </c>
      <c r="Q994" t="s">
        <v>1141</v>
      </c>
      <c r="R994" t="s">
        <v>4322</v>
      </c>
      <c r="S994" t="s">
        <v>97</v>
      </c>
      <c r="T994" t="s">
        <v>648</v>
      </c>
      <c r="U994" t="s">
        <v>508</v>
      </c>
      <c r="V994" t="s">
        <v>114</v>
      </c>
    </row>
    <row r="995" spans="1:22" x14ac:dyDescent="0.3">
      <c r="A995" t="s">
        <v>4323</v>
      </c>
      <c r="B995" t="s">
        <v>3595</v>
      </c>
      <c r="C995" t="s">
        <v>3596</v>
      </c>
      <c r="D995" t="s">
        <v>1021</v>
      </c>
      <c r="E995" t="s">
        <v>47</v>
      </c>
      <c r="F995" t="s">
        <v>26</v>
      </c>
      <c r="G995" t="s">
        <v>147</v>
      </c>
      <c r="H995" t="s">
        <v>28</v>
      </c>
      <c r="I995" t="s">
        <v>29</v>
      </c>
      <c r="J995" t="s">
        <v>30</v>
      </c>
      <c r="K995" t="s">
        <v>245</v>
      </c>
      <c r="L995" t="s">
        <v>487</v>
      </c>
      <c r="M995" t="s">
        <v>2641</v>
      </c>
      <c r="N995" t="s">
        <v>440</v>
      </c>
      <c r="O995" t="s">
        <v>2642</v>
      </c>
      <c r="P995" t="s">
        <v>1485</v>
      </c>
      <c r="Q995" t="s">
        <v>3165</v>
      </c>
      <c r="R995" t="s">
        <v>4324</v>
      </c>
      <c r="S995" t="s">
        <v>79</v>
      </c>
      <c r="T995" t="s">
        <v>37</v>
      </c>
      <c r="U995" t="s">
        <v>60</v>
      </c>
      <c r="V995" t="s">
        <v>82</v>
      </c>
    </row>
    <row r="996" spans="1:22" x14ac:dyDescent="0.3">
      <c r="A996" t="s">
        <v>4325</v>
      </c>
      <c r="B996" t="s">
        <v>1535</v>
      </c>
      <c r="C996" t="s">
        <v>1536</v>
      </c>
      <c r="D996" t="s">
        <v>4326</v>
      </c>
      <c r="E996" t="s">
        <v>244</v>
      </c>
      <c r="F996" t="s">
        <v>244</v>
      </c>
      <c r="G996" t="s">
        <v>580</v>
      </c>
      <c r="H996" t="s">
        <v>229</v>
      </c>
      <c r="I996" t="s">
        <v>69</v>
      </c>
      <c r="J996" t="s">
        <v>30</v>
      </c>
      <c r="K996" t="s">
        <v>245</v>
      </c>
      <c r="L996" t="s">
        <v>1328</v>
      </c>
      <c r="M996" t="s">
        <v>953</v>
      </c>
      <c r="N996" t="s">
        <v>179</v>
      </c>
      <c r="O996" t="s">
        <v>953</v>
      </c>
      <c r="P996" t="s">
        <v>581</v>
      </c>
      <c r="Q996" t="s">
        <v>2125</v>
      </c>
      <c r="R996" t="s">
        <v>4327</v>
      </c>
      <c r="S996" t="s">
        <v>126</v>
      </c>
      <c r="T996" t="s">
        <v>573</v>
      </c>
      <c r="U996" t="s">
        <v>568</v>
      </c>
      <c r="V996" t="s">
        <v>82</v>
      </c>
    </row>
    <row r="997" spans="1:22" x14ac:dyDescent="0.3">
      <c r="A997" t="s">
        <v>4328</v>
      </c>
      <c r="B997" t="s">
        <v>1869</v>
      </c>
      <c r="C997" t="s">
        <v>1870</v>
      </c>
      <c r="D997" t="s">
        <v>4329</v>
      </c>
      <c r="E997" t="s">
        <v>26</v>
      </c>
      <c r="F997" t="s">
        <v>26</v>
      </c>
      <c r="G997" t="s">
        <v>27</v>
      </c>
      <c r="H997" t="s">
        <v>28</v>
      </c>
      <c r="I997" t="s">
        <v>29</v>
      </c>
      <c r="J997" t="s">
        <v>30</v>
      </c>
      <c r="K997" t="s">
        <v>71</v>
      </c>
      <c r="L997" t="s">
        <v>189</v>
      </c>
      <c r="M997" t="s">
        <v>371</v>
      </c>
      <c r="N997" t="s">
        <v>179</v>
      </c>
      <c r="O997" t="s">
        <v>371</v>
      </c>
      <c r="P997" t="s">
        <v>1043</v>
      </c>
      <c r="Q997" t="s">
        <v>1218</v>
      </c>
      <c r="R997" t="s">
        <v>4330</v>
      </c>
      <c r="S997" t="s">
        <v>58</v>
      </c>
      <c r="T997" t="s">
        <v>751</v>
      </c>
      <c r="U997" t="s">
        <v>362</v>
      </c>
      <c r="V997" t="s">
        <v>114</v>
      </c>
    </row>
    <row r="998" spans="1:22" x14ac:dyDescent="0.3">
      <c r="A998" t="s">
        <v>4331</v>
      </c>
      <c r="B998" t="s">
        <v>264</v>
      </c>
      <c r="C998" t="s">
        <v>265</v>
      </c>
      <c r="D998" t="s">
        <v>4332</v>
      </c>
      <c r="E998" t="s">
        <v>730</v>
      </c>
      <c r="F998" t="s">
        <v>26</v>
      </c>
      <c r="G998" t="s">
        <v>147</v>
      </c>
      <c r="H998" t="s">
        <v>68</v>
      </c>
      <c r="I998" t="s">
        <v>69</v>
      </c>
      <c r="J998" t="s">
        <v>30</v>
      </c>
      <c r="K998" t="s">
        <v>71</v>
      </c>
      <c r="L998" t="s">
        <v>201</v>
      </c>
      <c r="M998" t="s">
        <v>2926</v>
      </c>
      <c r="N998" t="s">
        <v>369</v>
      </c>
      <c r="O998" t="s">
        <v>848</v>
      </c>
      <c r="P998" t="s">
        <v>856</v>
      </c>
      <c r="Q998" t="s">
        <v>336</v>
      </c>
      <c r="R998" t="s">
        <v>4333</v>
      </c>
      <c r="S998" t="s">
        <v>97</v>
      </c>
      <c r="T998" t="s">
        <v>553</v>
      </c>
      <c r="U998" t="s">
        <v>373</v>
      </c>
      <c r="V998" t="s">
        <v>82</v>
      </c>
    </row>
    <row r="999" spans="1:22" x14ac:dyDescent="0.3">
      <c r="A999" t="s">
        <v>4334</v>
      </c>
      <c r="B999" t="s">
        <v>688</v>
      </c>
      <c r="C999" t="s">
        <v>689</v>
      </c>
      <c r="D999" t="s">
        <v>1221</v>
      </c>
      <c r="E999" t="s">
        <v>354</v>
      </c>
      <c r="F999" t="s">
        <v>134</v>
      </c>
      <c r="G999" t="s">
        <v>213</v>
      </c>
      <c r="H999" t="s">
        <v>268</v>
      </c>
      <c r="I999" t="s">
        <v>69</v>
      </c>
      <c r="J999" t="s">
        <v>30</v>
      </c>
      <c r="K999" t="s">
        <v>215</v>
      </c>
      <c r="L999" t="s">
        <v>189</v>
      </c>
      <c r="M999" t="s">
        <v>3703</v>
      </c>
      <c r="N999" t="s">
        <v>344</v>
      </c>
      <c r="O999" t="s">
        <v>478</v>
      </c>
      <c r="P999" t="s">
        <v>1074</v>
      </c>
      <c r="Q999" t="s">
        <v>74</v>
      </c>
      <c r="R999" t="s">
        <v>4335</v>
      </c>
      <c r="S999" t="s">
        <v>39</v>
      </c>
      <c r="T999" t="s">
        <v>406</v>
      </c>
      <c r="U999" t="s">
        <v>155</v>
      </c>
      <c r="V999" t="s">
        <v>79</v>
      </c>
    </row>
    <row r="1000" spans="1:22" x14ac:dyDescent="0.3">
      <c r="A1000" t="s">
        <v>4336</v>
      </c>
      <c r="B1000" t="s">
        <v>2470</v>
      </c>
      <c r="C1000" t="s">
        <v>2471</v>
      </c>
      <c r="D1000" t="s">
        <v>1853</v>
      </c>
      <c r="E1000" t="s">
        <v>282</v>
      </c>
      <c r="F1000" t="s">
        <v>282</v>
      </c>
      <c r="G1000" t="s">
        <v>118</v>
      </c>
      <c r="H1000" t="s">
        <v>49</v>
      </c>
      <c r="I1000" t="s">
        <v>29</v>
      </c>
      <c r="J1000" t="s">
        <v>70</v>
      </c>
      <c r="K1000" t="s">
        <v>215</v>
      </c>
      <c r="L1000" t="s">
        <v>4337</v>
      </c>
      <c r="M1000" t="s">
        <v>2735</v>
      </c>
      <c r="N1000" t="s">
        <v>179</v>
      </c>
      <c r="O1000" t="s">
        <v>2735</v>
      </c>
      <c r="P1000" t="s">
        <v>4338</v>
      </c>
      <c r="Q1000" t="s">
        <v>734</v>
      </c>
      <c r="R1000" t="s">
        <v>4339</v>
      </c>
      <c r="S1000" t="s">
        <v>39</v>
      </c>
      <c r="T1000" t="s">
        <v>567</v>
      </c>
      <c r="U1000" t="s">
        <v>128</v>
      </c>
      <c r="V1000" t="s">
        <v>114</v>
      </c>
    </row>
    <row r="1001" spans="1:22" x14ac:dyDescent="0.3">
      <c r="A1001" t="s">
        <v>4340</v>
      </c>
      <c r="B1001" t="s">
        <v>1298</v>
      </c>
      <c r="C1001" t="s">
        <v>1299</v>
      </c>
      <c r="D1001" t="s">
        <v>4341</v>
      </c>
      <c r="E1001" t="s">
        <v>65</v>
      </c>
      <c r="F1001" t="s">
        <v>66</v>
      </c>
      <c r="G1001" t="s">
        <v>147</v>
      </c>
      <c r="H1001" t="s">
        <v>4342</v>
      </c>
      <c r="I1001" t="s">
        <v>29</v>
      </c>
      <c r="J1001" t="s">
        <v>30</v>
      </c>
      <c r="K1001" t="s">
        <v>200</v>
      </c>
      <c r="L1001" t="s">
        <v>148</v>
      </c>
      <c r="M1001" t="s">
        <v>234</v>
      </c>
      <c r="N1001" t="s">
        <v>1162</v>
      </c>
      <c r="O1001" t="s">
        <v>1150</v>
      </c>
      <c r="P1001" t="s">
        <v>849</v>
      </c>
      <c r="Q1001" t="s">
        <v>335</v>
      </c>
      <c r="R1001" t="s">
        <v>4343</v>
      </c>
      <c r="S1001" t="s">
        <v>97</v>
      </c>
      <c r="T1001" t="s">
        <v>299</v>
      </c>
      <c r="U1001" t="s">
        <v>362</v>
      </c>
      <c r="V1001" t="s">
        <v>114</v>
      </c>
    </row>
    <row r="1002" spans="1:22" x14ac:dyDescent="0.3">
      <c r="A1002" t="s">
        <v>4344</v>
      </c>
      <c r="B1002" t="s">
        <v>2047</v>
      </c>
      <c r="C1002" t="s">
        <v>2048</v>
      </c>
      <c r="D1002" t="s">
        <v>3723</v>
      </c>
      <c r="E1002" t="s">
        <v>378</v>
      </c>
      <c r="F1002" t="s">
        <v>282</v>
      </c>
      <c r="G1002" t="s">
        <v>580</v>
      </c>
      <c r="H1002" t="s">
        <v>68</v>
      </c>
      <c r="I1002" t="s">
        <v>69</v>
      </c>
      <c r="J1002" t="s">
        <v>30</v>
      </c>
      <c r="K1002" t="s">
        <v>89</v>
      </c>
      <c r="L1002" t="s">
        <v>937</v>
      </c>
      <c r="M1002" t="s">
        <v>194</v>
      </c>
      <c r="N1002" t="s">
        <v>613</v>
      </c>
      <c r="O1002" t="s">
        <v>109</v>
      </c>
      <c r="P1002" t="s">
        <v>1260</v>
      </c>
      <c r="Q1002" t="s">
        <v>1112</v>
      </c>
      <c r="R1002" t="s">
        <v>1219</v>
      </c>
      <c r="S1002" t="s">
        <v>126</v>
      </c>
      <c r="T1002" t="s">
        <v>191</v>
      </c>
      <c r="U1002" t="s">
        <v>472</v>
      </c>
      <c r="V1002" t="s">
        <v>79</v>
      </c>
    </row>
    <row r="1003" spans="1:22" x14ac:dyDescent="0.3">
      <c r="A1003" t="s">
        <v>4345</v>
      </c>
      <c r="B1003" t="s">
        <v>2495</v>
      </c>
      <c r="C1003" t="s">
        <v>2496</v>
      </c>
      <c r="D1003" t="s">
        <v>1594</v>
      </c>
      <c r="E1003" t="s">
        <v>176</v>
      </c>
      <c r="F1003" t="s">
        <v>161</v>
      </c>
      <c r="G1003" t="s">
        <v>213</v>
      </c>
      <c r="H1003" t="s">
        <v>229</v>
      </c>
      <c r="I1003" t="s">
        <v>29</v>
      </c>
      <c r="J1003" t="s">
        <v>70</v>
      </c>
      <c r="K1003" t="s">
        <v>89</v>
      </c>
      <c r="L1003" t="s">
        <v>2637</v>
      </c>
      <c r="M1003" t="s">
        <v>1485</v>
      </c>
      <c r="N1003" t="s">
        <v>1230</v>
      </c>
      <c r="O1003" t="s">
        <v>627</v>
      </c>
      <c r="P1003" t="s">
        <v>52</v>
      </c>
      <c r="Q1003" t="s">
        <v>1218</v>
      </c>
      <c r="R1003" t="s">
        <v>2661</v>
      </c>
      <c r="S1003" t="s">
        <v>182</v>
      </c>
      <c r="T1003" t="s">
        <v>369</v>
      </c>
      <c r="U1003" t="s">
        <v>508</v>
      </c>
      <c r="V1003" t="s">
        <v>42</v>
      </c>
    </row>
    <row r="1004" spans="1:22" x14ac:dyDescent="0.3">
      <c r="A1004" t="s">
        <v>4346</v>
      </c>
      <c r="B1004" t="s">
        <v>1359</v>
      </c>
      <c r="C1004" t="s">
        <v>1360</v>
      </c>
      <c r="D1004" t="s">
        <v>2726</v>
      </c>
      <c r="E1004" t="s">
        <v>134</v>
      </c>
      <c r="F1004" t="s">
        <v>134</v>
      </c>
      <c r="G1004" t="s">
        <v>48</v>
      </c>
      <c r="H1004" t="s">
        <v>214</v>
      </c>
      <c r="I1004" t="s">
        <v>29</v>
      </c>
      <c r="J1004" t="s">
        <v>30</v>
      </c>
      <c r="K1004" t="s">
        <v>215</v>
      </c>
      <c r="L1004" t="s">
        <v>598</v>
      </c>
      <c r="M1004" t="s">
        <v>283</v>
      </c>
      <c r="N1004" t="s">
        <v>179</v>
      </c>
      <c r="O1004" t="s">
        <v>283</v>
      </c>
      <c r="P1004" t="s">
        <v>760</v>
      </c>
      <c r="Q1004" t="s">
        <v>1634</v>
      </c>
      <c r="R1004" t="s">
        <v>4347</v>
      </c>
      <c r="S1004" t="s">
        <v>126</v>
      </c>
      <c r="T1004" t="s">
        <v>1112</v>
      </c>
      <c r="U1004" t="s">
        <v>300</v>
      </c>
      <c r="V1004" t="s">
        <v>82</v>
      </c>
    </row>
    <row r="1005" spans="1:22" x14ac:dyDescent="0.3">
      <c r="A1005" t="s">
        <v>4348</v>
      </c>
      <c r="B1005" t="s">
        <v>3028</v>
      </c>
      <c r="C1005" t="s">
        <v>3029</v>
      </c>
      <c r="D1005" t="s">
        <v>835</v>
      </c>
      <c r="E1005" t="s">
        <v>378</v>
      </c>
      <c r="F1005" t="s">
        <v>282</v>
      </c>
      <c r="G1005" t="s">
        <v>213</v>
      </c>
      <c r="H1005" t="s">
        <v>49</v>
      </c>
      <c r="I1005" t="s">
        <v>29</v>
      </c>
      <c r="J1005" t="s">
        <v>30</v>
      </c>
      <c r="K1005" t="s">
        <v>31</v>
      </c>
      <c r="L1005" t="s">
        <v>333</v>
      </c>
      <c r="M1005" t="s">
        <v>1465</v>
      </c>
      <c r="N1005" t="s">
        <v>179</v>
      </c>
      <c r="O1005" t="s">
        <v>1465</v>
      </c>
      <c r="P1005" t="s">
        <v>1527</v>
      </c>
      <c r="Q1005" t="s">
        <v>908</v>
      </c>
      <c r="R1005" t="s">
        <v>2632</v>
      </c>
      <c r="S1005" t="s">
        <v>126</v>
      </c>
      <c r="T1005" t="s">
        <v>1303</v>
      </c>
      <c r="U1005" t="s">
        <v>171</v>
      </c>
      <c r="V1005" t="s">
        <v>42</v>
      </c>
    </row>
    <row r="1006" spans="1:22" x14ac:dyDescent="0.3">
      <c r="A1006" t="s">
        <v>4349</v>
      </c>
      <c r="B1006" t="s">
        <v>869</v>
      </c>
      <c r="C1006" t="s">
        <v>870</v>
      </c>
      <c r="D1006" t="s">
        <v>1300</v>
      </c>
      <c r="E1006" t="s">
        <v>267</v>
      </c>
      <c r="F1006" t="s">
        <v>66</v>
      </c>
      <c r="G1006" t="s">
        <v>27</v>
      </c>
      <c r="H1006" t="s">
        <v>68</v>
      </c>
      <c r="I1006" t="s">
        <v>69</v>
      </c>
      <c r="J1006" t="s">
        <v>30</v>
      </c>
      <c r="K1006" t="s">
        <v>200</v>
      </c>
      <c r="L1006" t="s">
        <v>466</v>
      </c>
      <c r="M1006" t="s">
        <v>470</v>
      </c>
      <c r="N1006" t="s">
        <v>170</v>
      </c>
      <c r="O1006" t="s">
        <v>220</v>
      </c>
      <c r="P1006" t="s">
        <v>318</v>
      </c>
      <c r="Q1006" t="s">
        <v>382</v>
      </c>
      <c r="R1006" t="s">
        <v>4350</v>
      </c>
      <c r="S1006" t="s">
        <v>79</v>
      </c>
      <c r="T1006" t="s">
        <v>150</v>
      </c>
      <c r="U1006" t="s">
        <v>867</v>
      </c>
      <c r="V1006" t="s">
        <v>58</v>
      </c>
    </row>
    <row r="1007" spans="1:22" x14ac:dyDescent="0.3">
      <c r="A1007" t="s">
        <v>4351</v>
      </c>
      <c r="B1007" t="s">
        <v>4145</v>
      </c>
      <c r="C1007" t="s">
        <v>4146</v>
      </c>
      <c r="D1007" t="s">
        <v>797</v>
      </c>
      <c r="E1007" t="s">
        <v>634</v>
      </c>
      <c r="F1007" t="s">
        <v>228</v>
      </c>
      <c r="G1007" t="s">
        <v>103</v>
      </c>
      <c r="H1007" t="s">
        <v>68</v>
      </c>
      <c r="I1007" t="s">
        <v>29</v>
      </c>
      <c r="J1007" t="s">
        <v>30</v>
      </c>
      <c r="K1007" t="s">
        <v>71</v>
      </c>
      <c r="L1007" t="s">
        <v>1139</v>
      </c>
      <c r="M1007" t="s">
        <v>93</v>
      </c>
      <c r="N1007" t="s">
        <v>179</v>
      </c>
      <c r="O1007" t="s">
        <v>93</v>
      </c>
      <c r="P1007" t="s">
        <v>753</v>
      </c>
      <c r="Q1007" t="s">
        <v>391</v>
      </c>
      <c r="R1007" t="s">
        <v>4352</v>
      </c>
      <c r="S1007" t="s">
        <v>58</v>
      </c>
      <c r="T1007" t="s">
        <v>583</v>
      </c>
      <c r="U1007" t="s">
        <v>407</v>
      </c>
      <c r="V1007" t="s">
        <v>42</v>
      </c>
    </row>
    <row r="1008" spans="1:22" x14ac:dyDescent="0.3">
      <c r="A1008" t="s">
        <v>4353</v>
      </c>
      <c r="B1008" t="s">
        <v>1701</v>
      </c>
      <c r="C1008" t="s">
        <v>1702</v>
      </c>
      <c r="D1008" t="s">
        <v>912</v>
      </c>
      <c r="E1008" t="s">
        <v>417</v>
      </c>
      <c r="F1008" t="s">
        <v>134</v>
      </c>
      <c r="G1008" t="s">
        <v>103</v>
      </c>
      <c r="H1008" t="s">
        <v>49</v>
      </c>
      <c r="I1008" t="s">
        <v>29</v>
      </c>
      <c r="J1008" t="s">
        <v>30</v>
      </c>
      <c r="K1008" t="s">
        <v>200</v>
      </c>
      <c r="L1008" t="s">
        <v>513</v>
      </c>
      <c r="M1008" t="s">
        <v>599</v>
      </c>
      <c r="N1008" t="s">
        <v>529</v>
      </c>
      <c r="O1008" t="s">
        <v>1201</v>
      </c>
      <c r="P1008" t="s">
        <v>1527</v>
      </c>
      <c r="Q1008" t="s">
        <v>335</v>
      </c>
      <c r="R1008" t="s">
        <v>4354</v>
      </c>
      <c r="S1008" t="s">
        <v>126</v>
      </c>
      <c r="T1008" t="s">
        <v>252</v>
      </c>
      <c r="U1008" t="s">
        <v>238</v>
      </c>
      <c r="V1008" t="s">
        <v>79</v>
      </c>
    </row>
    <row r="1009" spans="1:22" x14ac:dyDescent="0.3">
      <c r="A1009" t="s">
        <v>4355</v>
      </c>
      <c r="B1009" t="s">
        <v>323</v>
      </c>
      <c r="C1009" t="s">
        <v>324</v>
      </c>
      <c r="D1009" t="s">
        <v>1703</v>
      </c>
      <c r="E1009" t="s">
        <v>780</v>
      </c>
      <c r="F1009" t="s">
        <v>282</v>
      </c>
      <c r="G1009" t="s">
        <v>27</v>
      </c>
      <c r="H1009" t="s">
        <v>268</v>
      </c>
      <c r="I1009" t="s">
        <v>29</v>
      </c>
      <c r="J1009" t="s">
        <v>70</v>
      </c>
      <c r="K1009" t="s">
        <v>200</v>
      </c>
      <c r="L1009" t="s">
        <v>719</v>
      </c>
      <c r="M1009" t="s">
        <v>1837</v>
      </c>
      <c r="N1009" t="s">
        <v>1112</v>
      </c>
      <c r="O1009" t="s">
        <v>190</v>
      </c>
      <c r="P1009" t="s">
        <v>3763</v>
      </c>
      <c r="Q1009" t="s">
        <v>40</v>
      </c>
      <c r="R1009" t="s">
        <v>4356</v>
      </c>
      <c r="S1009" t="s">
        <v>126</v>
      </c>
      <c r="T1009" t="s">
        <v>782</v>
      </c>
      <c r="U1009" t="s">
        <v>171</v>
      </c>
      <c r="V1009" t="s">
        <v>82</v>
      </c>
    </row>
    <row r="1010" spans="1:22" x14ac:dyDescent="0.3">
      <c r="A1010" t="s">
        <v>4357</v>
      </c>
      <c r="B1010" t="s">
        <v>2756</v>
      </c>
      <c r="C1010" t="s">
        <v>2757</v>
      </c>
      <c r="D1010" t="s">
        <v>3396</v>
      </c>
      <c r="E1010" t="s">
        <v>188</v>
      </c>
      <c r="F1010" t="s">
        <v>188</v>
      </c>
      <c r="G1010" t="s">
        <v>213</v>
      </c>
      <c r="H1010" t="s">
        <v>88</v>
      </c>
      <c r="I1010" t="s">
        <v>2154</v>
      </c>
      <c r="J1010" t="s">
        <v>30</v>
      </c>
      <c r="K1010" t="s">
        <v>31</v>
      </c>
      <c r="L1010" t="s">
        <v>551</v>
      </c>
      <c r="M1010" t="s">
        <v>205</v>
      </c>
      <c r="N1010" t="s">
        <v>782</v>
      </c>
      <c r="O1010" t="s">
        <v>516</v>
      </c>
      <c r="P1010" t="s">
        <v>3007</v>
      </c>
      <c r="Q1010" t="s">
        <v>602</v>
      </c>
      <c r="R1010" t="s">
        <v>1739</v>
      </c>
      <c r="S1010" t="s">
        <v>39</v>
      </c>
      <c r="T1010" t="s">
        <v>328</v>
      </c>
      <c r="U1010" t="s">
        <v>373</v>
      </c>
      <c r="V1010" t="s">
        <v>42</v>
      </c>
    </row>
    <row r="1011" spans="1:22" x14ac:dyDescent="0.3">
      <c r="A1011" t="s">
        <v>4358</v>
      </c>
      <c r="B1011" t="s">
        <v>2645</v>
      </c>
      <c r="C1011" t="s">
        <v>2646</v>
      </c>
      <c r="D1011" t="s">
        <v>4317</v>
      </c>
      <c r="E1011" t="s">
        <v>188</v>
      </c>
      <c r="F1011" t="s">
        <v>188</v>
      </c>
      <c r="G1011" t="s">
        <v>48</v>
      </c>
      <c r="H1011" t="s">
        <v>68</v>
      </c>
      <c r="I1011" t="s">
        <v>29</v>
      </c>
      <c r="J1011" t="s">
        <v>30</v>
      </c>
      <c r="K1011" t="s">
        <v>245</v>
      </c>
      <c r="L1011" t="s">
        <v>927</v>
      </c>
      <c r="M1011" t="s">
        <v>1688</v>
      </c>
      <c r="N1011" t="s">
        <v>179</v>
      </c>
      <c r="O1011" t="s">
        <v>1688</v>
      </c>
      <c r="P1011" t="s">
        <v>1790</v>
      </c>
      <c r="Q1011" t="s">
        <v>506</v>
      </c>
      <c r="R1011" t="s">
        <v>169</v>
      </c>
      <c r="S1011" t="s">
        <v>126</v>
      </c>
      <c r="T1011" t="s">
        <v>1116</v>
      </c>
      <c r="U1011" t="s">
        <v>277</v>
      </c>
      <c r="V1011" t="s">
        <v>79</v>
      </c>
    </row>
    <row r="1012" spans="1:22" x14ac:dyDescent="0.3">
      <c r="A1012" t="s">
        <v>4359</v>
      </c>
      <c r="B1012" t="s">
        <v>4360</v>
      </c>
      <c r="C1012" t="s">
        <v>4361</v>
      </c>
      <c r="D1012" t="s">
        <v>3475</v>
      </c>
      <c r="E1012" t="s">
        <v>188</v>
      </c>
      <c r="F1012" t="s">
        <v>188</v>
      </c>
      <c r="G1012" t="s">
        <v>213</v>
      </c>
      <c r="H1012" t="s">
        <v>229</v>
      </c>
      <c r="I1012" t="s">
        <v>69</v>
      </c>
      <c r="J1012" t="s">
        <v>30</v>
      </c>
      <c r="K1012" t="s">
        <v>89</v>
      </c>
      <c r="L1012" t="s">
        <v>1049</v>
      </c>
      <c r="M1012" t="s">
        <v>4362</v>
      </c>
      <c r="N1012" t="s">
        <v>179</v>
      </c>
      <c r="O1012" t="s">
        <v>4362</v>
      </c>
      <c r="P1012" t="s">
        <v>654</v>
      </c>
      <c r="Q1012" t="s">
        <v>317</v>
      </c>
      <c r="R1012" t="s">
        <v>4363</v>
      </c>
      <c r="S1012" t="s">
        <v>126</v>
      </c>
      <c r="T1012" t="s">
        <v>121</v>
      </c>
      <c r="U1012" t="s">
        <v>472</v>
      </c>
      <c r="V1012" t="s">
        <v>82</v>
      </c>
    </row>
    <row r="1013" spans="1:22" x14ac:dyDescent="0.3">
      <c r="A1013" t="s">
        <v>4364</v>
      </c>
      <c r="B1013" t="s">
        <v>1025</v>
      </c>
      <c r="C1013" t="s">
        <v>1026</v>
      </c>
      <c r="D1013" t="s">
        <v>2066</v>
      </c>
      <c r="E1013" t="s">
        <v>399</v>
      </c>
      <c r="F1013" t="s">
        <v>188</v>
      </c>
      <c r="G1013" t="s">
        <v>27</v>
      </c>
      <c r="H1013" t="s">
        <v>104</v>
      </c>
      <c r="I1013" t="s">
        <v>29</v>
      </c>
      <c r="J1013" t="s">
        <v>30</v>
      </c>
      <c r="K1013" t="s">
        <v>230</v>
      </c>
      <c r="L1013" t="s">
        <v>983</v>
      </c>
      <c r="M1013" t="s">
        <v>1604</v>
      </c>
      <c r="N1013" t="s">
        <v>655</v>
      </c>
      <c r="O1013" t="s">
        <v>1884</v>
      </c>
      <c r="P1013" t="s">
        <v>694</v>
      </c>
      <c r="Q1013" t="s">
        <v>40</v>
      </c>
      <c r="R1013" t="s">
        <v>4365</v>
      </c>
      <c r="S1013" t="s">
        <v>79</v>
      </c>
      <c r="T1013" t="s">
        <v>183</v>
      </c>
      <c r="U1013" t="s">
        <v>98</v>
      </c>
      <c r="V1013" t="s">
        <v>58</v>
      </c>
    </row>
    <row r="1014" spans="1:22" x14ac:dyDescent="0.3">
      <c r="A1014" t="s">
        <v>4366</v>
      </c>
      <c r="B1014" t="s">
        <v>2687</v>
      </c>
      <c r="C1014" t="s">
        <v>2688</v>
      </c>
      <c r="D1014" t="s">
        <v>2203</v>
      </c>
      <c r="E1014" t="s">
        <v>730</v>
      </c>
      <c r="F1014" t="s">
        <v>26</v>
      </c>
      <c r="G1014" t="s">
        <v>27</v>
      </c>
      <c r="H1014" t="s">
        <v>104</v>
      </c>
      <c r="I1014" t="s">
        <v>29</v>
      </c>
      <c r="J1014" t="s">
        <v>30</v>
      </c>
      <c r="K1014" t="s">
        <v>31</v>
      </c>
      <c r="L1014" t="s">
        <v>906</v>
      </c>
      <c r="M1014" t="s">
        <v>4030</v>
      </c>
      <c r="N1014" t="s">
        <v>235</v>
      </c>
      <c r="O1014" t="s">
        <v>3156</v>
      </c>
      <c r="P1014" t="s">
        <v>3763</v>
      </c>
      <c r="Q1014" t="s">
        <v>2077</v>
      </c>
      <c r="R1014" t="s">
        <v>4367</v>
      </c>
      <c r="S1014" t="s">
        <v>182</v>
      </c>
      <c r="T1014" t="s">
        <v>361</v>
      </c>
      <c r="U1014" t="s">
        <v>362</v>
      </c>
      <c r="V1014" t="s">
        <v>58</v>
      </c>
    </row>
    <row r="1015" spans="1:22" x14ac:dyDescent="0.3">
      <c r="A1015" t="s">
        <v>4368</v>
      </c>
      <c r="B1015" t="s">
        <v>809</v>
      </c>
      <c r="C1015" t="s">
        <v>810</v>
      </c>
      <c r="D1015" t="s">
        <v>4369</v>
      </c>
      <c r="E1015" t="s">
        <v>893</v>
      </c>
      <c r="F1015" t="s">
        <v>188</v>
      </c>
      <c r="G1015" t="s">
        <v>147</v>
      </c>
      <c r="H1015" t="s">
        <v>68</v>
      </c>
      <c r="I1015" t="s">
        <v>29</v>
      </c>
      <c r="J1015" t="s">
        <v>30</v>
      </c>
      <c r="K1015" t="s">
        <v>31</v>
      </c>
      <c r="L1015" t="s">
        <v>812</v>
      </c>
      <c r="M1015" t="s">
        <v>52</v>
      </c>
      <c r="N1015" t="s">
        <v>621</v>
      </c>
      <c r="O1015" t="s">
        <v>77</v>
      </c>
      <c r="P1015" t="s">
        <v>110</v>
      </c>
      <c r="Q1015" t="s">
        <v>183</v>
      </c>
      <c r="R1015" t="s">
        <v>1223</v>
      </c>
      <c r="S1015" t="s">
        <v>79</v>
      </c>
      <c r="T1015" t="s">
        <v>1013</v>
      </c>
      <c r="U1015" t="s">
        <v>238</v>
      </c>
      <c r="V1015" t="s">
        <v>79</v>
      </c>
    </row>
    <row r="1016" spans="1:22" x14ac:dyDescent="0.3">
      <c r="A1016" t="s">
        <v>4370</v>
      </c>
      <c r="B1016" t="s">
        <v>2928</v>
      </c>
      <c r="C1016" t="s">
        <v>2929</v>
      </c>
      <c r="D1016" t="s">
        <v>476</v>
      </c>
      <c r="E1016" t="s">
        <v>65</v>
      </c>
      <c r="F1016" t="s">
        <v>66</v>
      </c>
      <c r="G1016" t="s">
        <v>27</v>
      </c>
      <c r="H1016" t="s">
        <v>28</v>
      </c>
      <c r="I1016" t="s">
        <v>69</v>
      </c>
      <c r="J1016" t="s">
        <v>162</v>
      </c>
      <c r="K1016" t="s">
        <v>215</v>
      </c>
      <c r="L1016" t="s">
        <v>177</v>
      </c>
      <c r="M1016" t="s">
        <v>370</v>
      </c>
      <c r="N1016" t="s">
        <v>361</v>
      </c>
      <c r="O1016" t="s">
        <v>382</v>
      </c>
      <c r="P1016" t="s">
        <v>235</v>
      </c>
      <c r="Q1016" t="s">
        <v>2629</v>
      </c>
      <c r="R1016" t="s">
        <v>4371</v>
      </c>
      <c r="S1016" t="s">
        <v>39</v>
      </c>
      <c r="T1016" t="s">
        <v>74</v>
      </c>
      <c r="U1016" t="s">
        <v>277</v>
      </c>
      <c r="V1016" t="s">
        <v>79</v>
      </c>
    </row>
    <row r="1017" spans="1:22" x14ac:dyDescent="0.3">
      <c r="A1017" t="s">
        <v>4372</v>
      </c>
      <c r="B1017" t="s">
        <v>4373</v>
      </c>
      <c r="C1017" t="s">
        <v>4374</v>
      </c>
      <c r="D1017" t="s">
        <v>4375</v>
      </c>
      <c r="E1017" t="s">
        <v>161</v>
      </c>
      <c r="F1017" t="s">
        <v>161</v>
      </c>
      <c r="G1017" t="s">
        <v>213</v>
      </c>
      <c r="H1017" t="s">
        <v>268</v>
      </c>
      <c r="I1017" t="s">
        <v>69</v>
      </c>
      <c r="J1017" t="s">
        <v>30</v>
      </c>
      <c r="K1017" t="s">
        <v>293</v>
      </c>
      <c r="L1017" t="s">
        <v>2429</v>
      </c>
      <c r="M1017" t="s">
        <v>4376</v>
      </c>
      <c r="N1017" t="s">
        <v>439</v>
      </c>
      <c r="O1017" t="s">
        <v>723</v>
      </c>
      <c r="P1017" t="s">
        <v>1927</v>
      </c>
      <c r="Q1017" t="s">
        <v>3984</v>
      </c>
      <c r="R1017" t="s">
        <v>4377</v>
      </c>
      <c r="S1017" t="s">
        <v>39</v>
      </c>
      <c r="T1017" t="s">
        <v>308</v>
      </c>
      <c r="U1017" t="s">
        <v>171</v>
      </c>
      <c r="V1017" t="s">
        <v>58</v>
      </c>
    </row>
    <row r="1018" spans="1:22" x14ac:dyDescent="0.3">
      <c r="A1018" t="s">
        <v>4378</v>
      </c>
      <c r="B1018" t="s">
        <v>1578</v>
      </c>
      <c r="C1018" t="s">
        <v>1579</v>
      </c>
      <c r="D1018" t="s">
        <v>1974</v>
      </c>
      <c r="E1018" t="s">
        <v>672</v>
      </c>
      <c r="F1018" t="s">
        <v>244</v>
      </c>
      <c r="G1018" t="s">
        <v>580</v>
      </c>
      <c r="H1018" t="s">
        <v>104</v>
      </c>
      <c r="I1018" t="s">
        <v>69</v>
      </c>
      <c r="J1018" t="s">
        <v>70</v>
      </c>
      <c r="K1018" t="s">
        <v>31</v>
      </c>
      <c r="L1018" t="s">
        <v>246</v>
      </c>
      <c r="M1018" t="s">
        <v>1471</v>
      </c>
      <c r="N1018" t="s">
        <v>179</v>
      </c>
      <c r="O1018" t="s">
        <v>1471</v>
      </c>
      <c r="P1018" t="s">
        <v>4379</v>
      </c>
      <c r="Q1018" t="s">
        <v>1170</v>
      </c>
      <c r="R1018" t="s">
        <v>3265</v>
      </c>
      <c r="S1018" t="s">
        <v>79</v>
      </c>
      <c r="T1018" t="s">
        <v>441</v>
      </c>
      <c r="U1018" t="s">
        <v>277</v>
      </c>
      <c r="V1018" t="s">
        <v>79</v>
      </c>
    </row>
    <row r="1019" spans="1:22" x14ac:dyDescent="0.3">
      <c r="A1019" t="s">
        <v>4380</v>
      </c>
      <c r="B1019" t="s">
        <v>454</v>
      </c>
      <c r="C1019" t="s">
        <v>455</v>
      </c>
      <c r="D1019" t="s">
        <v>652</v>
      </c>
      <c r="E1019" t="s">
        <v>176</v>
      </c>
      <c r="F1019" t="s">
        <v>161</v>
      </c>
      <c r="G1019" t="s">
        <v>213</v>
      </c>
      <c r="H1019" t="s">
        <v>88</v>
      </c>
      <c r="I1019" t="s">
        <v>69</v>
      </c>
      <c r="J1019" t="s">
        <v>30</v>
      </c>
      <c r="K1019" t="s">
        <v>200</v>
      </c>
      <c r="L1019" t="s">
        <v>1611</v>
      </c>
      <c r="M1019" t="s">
        <v>2274</v>
      </c>
      <c r="N1019" t="s">
        <v>179</v>
      </c>
      <c r="O1019" t="s">
        <v>2274</v>
      </c>
      <c r="P1019" t="s">
        <v>108</v>
      </c>
      <c r="Q1019" t="s">
        <v>767</v>
      </c>
      <c r="R1019" t="s">
        <v>3924</v>
      </c>
      <c r="S1019" t="s">
        <v>79</v>
      </c>
      <c r="T1019" t="s">
        <v>433</v>
      </c>
      <c r="U1019" t="s">
        <v>41</v>
      </c>
      <c r="V1019" t="s">
        <v>58</v>
      </c>
    </row>
    <row r="1020" spans="1:22" x14ac:dyDescent="0.3">
      <c r="A1020" t="s">
        <v>4381</v>
      </c>
      <c r="B1020" t="s">
        <v>2173</v>
      </c>
      <c r="C1020" t="s">
        <v>2174</v>
      </c>
      <c r="D1020" t="s">
        <v>588</v>
      </c>
      <c r="E1020" t="s">
        <v>354</v>
      </c>
      <c r="F1020" t="s">
        <v>134</v>
      </c>
      <c r="G1020" t="s">
        <v>67</v>
      </c>
      <c r="H1020" t="s">
        <v>268</v>
      </c>
      <c r="I1020" t="s">
        <v>69</v>
      </c>
      <c r="J1020" t="s">
        <v>162</v>
      </c>
      <c r="K1020" t="s">
        <v>293</v>
      </c>
      <c r="L1020" t="s">
        <v>72</v>
      </c>
      <c r="M1020" t="s">
        <v>703</v>
      </c>
      <c r="N1020" t="s">
        <v>604</v>
      </c>
      <c r="O1020" t="s">
        <v>554</v>
      </c>
      <c r="P1020" t="s">
        <v>359</v>
      </c>
      <c r="Q1020" t="s">
        <v>2037</v>
      </c>
      <c r="R1020" t="s">
        <v>4382</v>
      </c>
      <c r="S1020" t="s">
        <v>79</v>
      </c>
      <c r="T1020" t="s">
        <v>529</v>
      </c>
      <c r="U1020" t="s">
        <v>362</v>
      </c>
      <c r="V1020" t="s">
        <v>82</v>
      </c>
    </row>
    <row r="1021" spans="1:22" x14ac:dyDescent="0.3">
      <c r="A1021" t="s">
        <v>4383</v>
      </c>
      <c r="B1021" t="s">
        <v>2585</v>
      </c>
      <c r="C1021" t="s">
        <v>2586</v>
      </c>
      <c r="D1021" t="s">
        <v>4384</v>
      </c>
      <c r="E1021" t="s">
        <v>267</v>
      </c>
      <c r="F1021" t="s">
        <v>66</v>
      </c>
      <c r="G1021" t="s">
        <v>103</v>
      </c>
      <c r="H1021" t="s">
        <v>268</v>
      </c>
      <c r="I1021" t="s">
        <v>69</v>
      </c>
      <c r="J1021" t="s">
        <v>30</v>
      </c>
      <c r="K1021" t="s">
        <v>71</v>
      </c>
      <c r="L1021" t="s">
        <v>362</v>
      </c>
      <c r="M1021" t="s">
        <v>52</v>
      </c>
      <c r="N1021" t="s">
        <v>621</v>
      </c>
      <c r="O1021" t="s">
        <v>77</v>
      </c>
      <c r="P1021" t="s">
        <v>406</v>
      </c>
      <c r="Q1021" t="s">
        <v>37</v>
      </c>
      <c r="R1021" t="s">
        <v>4385</v>
      </c>
      <c r="S1021" t="s">
        <v>39</v>
      </c>
      <c r="T1021" t="s">
        <v>613</v>
      </c>
      <c r="U1021" t="s">
        <v>362</v>
      </c>
      <c r="V1021" t="s">
        <v>114</v>
      </c>
    </row>
    <row r="1022" spans="1:22" x14ac:dyDescent="0.3">
      <c r="A1022" t="s">
        <v>4386</v>
      </c>
      <c r="B1022" t="s">
        <v>1662</v>
      </c>
      <c r="C1022" t="s">
        <v>1663</v>
      </c>
      <c r="D1022" t="s">
        <v>4387</v>
      </c>
      <c r="E1022" t="s">
        <v>66</v>
      </c>
      <c r="F1022" t="s">
        <v>66</v>
      </c>
      <c r="G1022" t="s">
        <v>103</v>
      </c>
      <c r="H1022" t="s">
        <v>104</v>
      </c>
      <c r="I1022" t="s">
        <v>29</v>
      </c>
      <c r="J1022" t="s">
        <v>70</v>
      </c>
      <c r="K1022" t="s">
        <v>293</v>
      </c>
      <c r="L1022" t="s">
        <v>598</v>
      </c>
      <c r="M1022" t="s">
        <v>684</v>
      </c>
      <c r="N1022" t="s">
        <v>179</v>
      </c>
      <c r="O1022" t="s">
        <v>684</v>
      </c>
      <c r="P1022" t="s">
        <v>804</v>
      </c>
      <c r="Q1022" t="s">
        <v>180</v>
      </c>
      <c r="R1022" t="s">
        <v>4055</v>
      </c>
      <c r="S1022" t="s">
        <v>39</v>
      </c>
      <c r="T1022" t="s">
        <v>966</v>
      </c>
      <c r="U1022" t="s">
        <v>171</v>
      </c>
      <c r="V1022" t="s">
        <v>82</v>
      </c>
    </row>
    <row r="1023" spans="1:22" x14ac:dyDescent="0.3">
      <c r="A1023" t="s">
        <v>4388</v>
      </c>
      <c r="B1023" t="s">
        <v>1904</v>
      </c>
      <c r="C1023" t="s">
        <v>1905</v>
      </c>
      <c r="D1023" t="s">
        <v>2101</v>
      </c>
      <c r="E1023" t="s">
        <v>893</v>
      </c>
      <c r="F1023" t="s">
        <v>188</v>
      </c>
      <c r="G1023" t="s">
        <v>48</v>
      </c>
      <c r="H1023" t="s">
        <v>268</v>
      </c>
      <c r="I1023" t="s">
        <v>29</v>
      </c>
      <c r="J1023" t="s">
        <v>30</v>
      </c>
      <c r="K1023" t="s">
        <v>50</v>
      </c>
      <c r="L1023" t="s">
        <v>719</v>
      </c>
      <c r="M1023" t="s">
        <v>4389</v>
      </c>
      <c r="N1023" t="s">
        <v>179</v>
      </c>
      <c r="O1023" t="s">
        <v>4389</v>
      </c>
      <c r="P1023" t="s">
        <v>4390</v>
      </c>
      <c r="Q1023" t="s">
        <v>1346</v>
      </c>
      <c r="R1023" t="s">
        <v>4391</v>
      </c>
      <c r="S1023" t="s">
        <v>126</v>
      </c>
      <c r="T1023" t="s">
        <v>208</v>
      </c>
      <c r="U1023" t="s">
        <v>394</v>
      </c>
      <c r="V1023" t="s">
        <v>42</v>
      </c>
    </row>
    <row r="1024" spans="1:22" x14ac:dyDescent="0.3">
      <c r="A1024" t="s">
        <v>4392</v>
      </c>
      <c r="B1024" t="s">
        <v>1861</v>
      </c>
      <c r="C1024" t="s">
        <v>1862</v>
      </c>
      <c r="D1024" t="s">
        <v>2242</v>
      </c>
      <c r="E1024" t="s">
        <v>244</v>
      </c>
      <c r="F1024" t="s">
        <v>244</v>
      </c>
      <c r="G1024" t="s">
        <v>27</v>
      </c>
      <c r="H1024" t="s">
        <v>28</v>
      </c>
      <c r="I1024" t="s">
        <v>69</v>
      </c>
      <c r="J1024" t="s">
        <v>30</v>
      </c>
      <c r="K1024" t="s">
        <v>230</v>
      </c>
      <c r="L1024" t="s">
        <v>766</v>
      </c>
      <c r="M1024" t="s">
        <v>2800</v>
      </c>
      <c r="N1024" t="s">
        <v>53</v>
      </c>
      <c r="O1024" t="s">
        <v>3165</v>
      </c>
      <c r="P1024" t="s">
        <v>452</v>
      </c>
      <c r="Q1024" t="s">
        <v>112</v>
      </c>
      <c r="R1024" t="s">
        <v>1943</v>
      </c>
      <c r="S1024" t="s">
        <v>97</v>
      </c>
      <c r="T1024" t="s">
        <v>1162</v>
      </c>
      <c r="U1024" t="s">
        <v>60</v>
      </c>
      <c r="V1024" t="s">
        <v>82</v>
      </c>
    </row>
    <row r="1025" spans="1:22" x14ac:dyDescent="0.3">
      <c r="A1025" t="s">
        <v>4393</v>
      </c>
      <c r="B1025" t="s">
        <v>2533</v>
      </c>
      <c r="C1025" t="s">
        <v>2534</v>
      </c>
      <c r="D1025" t="s">
        <v>3562</v>
      </c>
      <c r="E1025" t="s">
        <v>133</v>
      </c>
      <c r="F1025" t="s">
        <v>134</v>
      </c>
      <c r="G1025" t="s">
        <v>48</v>
      </c>
      <c r="H1025" t="s">
        <v>68</v>
      </c>
      <c r="I1025" t="s">
        <v>69</v>
      </c>
      <c r="J1025" t="s">
        <v>30</v>
      </c>
      <c r="K1025" t="s">
        <v>31</v>
      </c>
      <c r="L1025" t="s">
        <v>177</v>
      </c>
      <c r="M1025" t="s">
        <v>4394</v>
      </c>
      <c r="N1025" t="s">
        <v>191</v>
      </c>
      <c r="O1025" t="s">
        <v>204</v>
      </c>
      <c r="P1025" t="s">
        <v>3456</v>
      </c>
      <c r="Q1025" t="s">
        <v>2279</v>
      </c>
      <c r="R1025" t="s">
        <v>4395</v>
      </c>
      <c r="S1025" t="s">
        <v>58</v>
      </c>
      <c r="T1025" t="s">
        <v>986</v>
      </c>
      <c r="U1025" t="s">
        <v>423</v>
      </c>
      <c r="V1025" t="s">
        <v>114</v>
      </c>
    </row>
    <row r="1026" spans="1:22" x14ac:dyDescent="0.3">
      <c r="A1026" t="s">
        <v>4396</v>
      </c>
      <c r="B1026" t="s">
        <v>2971</v>
      </c>
      <c r="C1026" t="s">
        <v>2972</v>
      </c>
      <c r="D1026" t="s">
        <v>4397</v>
      </c>
      <c r="E1026" t="s">
        <v>176</v>
      </c>
      <c r="F1026" t="s">
        <v>161</v>
      </c>
      <c r="G1026" t="s">
        <v>580</v>
      </c>
      <c r="H1026" t="s">
        <v>68</v>
      </c>
      <c r="I1026" t="s">
        <v>69</v>
      </c>
      <c r="J1026" t="s">
        <v>30</v>
      </c>
      <c r="K1026" t="s">
        <v>245</v>
      </c>
      <c r="L1026" t="s">
        <v>1037</v>
      </c>
      <c r="M1026" t="s">
        <v>2641</v>
      </c>
      <c r="N1026" t="s">
        <v>179</v>
      </c>
      <c r="O1026" t="s">
        <v>2641</v>
      </c>
      <c r="P1026" t="s">
        <v>1016</v>
      </c>
      <c r="Q1026" t="s">
        <v>489</v>
      </c>
      <c r="R1026" t="s">
        <v>812</v>
      </c>
      <c r="S1026" t="s">
        <v>79</v>
      </c>
      <c r="T1026" t="s">
        <v>553</v>
      </c>
      <c r="U1026" t="s">
        <v>277</v>
      </c>
      <c r="V1026" t="s">
        <v>114</v>
      </c>
    </row>
    <row r="1027" spans="1:22" x14ac:dyDescent="0.3">
      <c r="A1027" t="s">
        <v>4398</v>
      </c>
      <c r="B1027" t="s">
        <v>3078</v>
      </c>
      <c r="C1027" t="s">
        <v>3079</v>
      </c>
      <c r="D1027" t="s">
        <v>3909</v>
      </c>
      <c r="E1027" t="s">
        <v>282</v>
      </c>
      <c r="F1027" t="s">
        <v>282</v>
      </c>
      <c r="G1027" t="s">
        <v>213</v>
      </c>
      <c r="H1027" t="s">
        <v>28</v>
      </c>
      <c r="I1027" t="s">
        <v>69</v>
      </c>
      <c r="J1027" t="s">
        <v>30</v>
      </c>
      <c r="K1027" t="s">
        <v>230</v>
      </c>
      <c r="L1027" t="s">
        <v>487</v>
      </c>
      <c r="M1027" t="s">
        <v>1121</v>
      </c>
      <c r="N1027" t="s">
        <v>1725</v>
      </c>
      <c r="O1027" t="s">
        <v>4399</v>
      </c>
      <c r="P1027" t="s">
        <v>4400</v>
      </c>
      <c r="Q1027" t="s">
        <v>677</v>
      </c>
      <c r="R1027" t="s">
        <v>4401</v>
      </c>
      <c r="S1027" t="s">
        <v>97</v>
      </c>
      <c r="T1027" t="s">
        <v>1434</v>
      </c>
      <c r="U1027" t="s">
        <v>300</v>
      </c>
      <c r="V1027" t="s">
        <v>58</v>
      </c>
    </row>
    <row r="1028" spans="1:22" x14ac:dyDescent="0.3">
      <c r="A1028" t="s">
        <v>4402</v>
      </c>
      <c r="B1028" t="s">
        <v>1109</v>
      </c>
      <c r="C1028" t="s">
        <v>1110</v>
      </c>
      <c r="D1028" t="s">
        <v>3888</v>
      </c>
      <c r="E1028" t="s">
        <v>354</v>
      </c>
      <c r="F1028" t="s">
        <v>134</v>
      </c>
      <c r="G1028" t="s">
        <v>48</v>
      </c>
      <c r="H1028" t="s">
        <v>104</v>
      </c>
      <c r="I1028" t="s">
        <v>29</v>
      </c>
      <c r="J1028" t="s">
        <v>30</v>
      </c>
      <c r="K1028" t="s">
        <v>89</v>
      </c>
      <c r="L1028" t="s">
        <v>72</v>
      </c>
      <c r="M1028" t="s">
        <v>959</v>
      </c>
      <c r="N1028" t="s">
        <v>179</v>
      </c>
      <c r="O1028" t="s">
        <v>959</v>
      </c>
      <c r="P1028" t="s">
        <v>2528</v>
      </c>
      <c r="Q1028" t="s">
        <v>112</v>
      </c>
      <c r="R1028" t="s">
        <v>3519</v>
      </c>
      <c r="S1028" t="s">
        <v>97</v>
      </c>
      <c r="T1028" t="s">
        <v>142</v>
      </c>
      <c r="U1028" t="s">
        <v>98</v>
      </c>
      <c r="V1028" t="s">
        <v>58</v>
      </c>
    </row>
    <row r="1029" spans="1:22" x14ac:dyDescent="0.3">
      <c r="A1029" t="s">
        <v>4403</v>
      </c>
      <c r="B1029" t="s">
        <v>1136</v>
      </c>
      <c r="C1029" t="s">
        <v>1137</v>
      </c>
      <c r="D1029" t="s">
        <v>820</v>
      </c>
      <c r="E1029" t="s">
        <v>228</v>
      </c>
      <c r="F1029" t="s">
        <v>228</v>
      </c>
      <c r="G1029" t="s">
        <v>27</v>
      </c>
      <c r="H1029" t="s">
        <v>88</v>
      </c>
      <c r="I1029" t="s">
        <v>69</v>
      </c>
      <c r="J1029" t="s">
        <v>30</v>
      </c>
      <c r="K1029" t="s">
        <v>89</v>
      </c>
      <c r="L1029" t="s">
        <v>534</v>
      </c>
      <c r="M1029" t="s">
        <v>618</v>
      </c>
      <c r="N1029" t="s">
        <v>179</v>
      </c>
      <c r="O1029" t="s">
        <v>618</v>
      </c>
      <c r="P1029" t="s">
        <v>1523</v>
      </c>
      <c r="Q1029" t="s">
        <v>166</v>
      </c>
      <c r="R1029" t="s">
        <v>4404</v>
      </c>
      <c r="S1029" t="s">
        <v>97</v>
      </c>
      <c r="T1029" t="s">
        <v>165</v>
      </c>
      <c r="U1029" t="s">
        <v>349</v>
      </c>
      <c r="V1029" t="s">
        <v>42</v>
      </c>
    </row>
    <row r="1030" spans="1:22" x14ac:dyDescent="0.3">
      <c r="A1030" t="s">
        <v>4405</v>
      </c>
      <c r="B1030" t="s">
        <v>2270</v>
      </c>
      <c r="C1030" t="s">
        <v>2271</v>
      </c>
      <c r="D1030" t="s">
        <v>2101</v>
      </c>
      <c r="E1030" t="s">
        <v>228</v>
      </c>
      <c r="F1030" t="s">
        <v>228</v>
      </c>
      <c r="G1030" t="s">
        <v>147</v>
      </c>
      <c r="H1030" t="s">
        <v>104</v>
      </c>
      <c r="I1030" t="s">
        <v>29</v>
      </c>
      <c r="J1030" t="s">
        <v>30</v>
      </c>
      <c r="K1030" t="s">
        <v>230</v>
      </c>
      <c r="L1030" t="s">
        <v>216</v>
      </c>
      <c r="M1030" t="s">
        <v>1604</v>
      </c>
      <c r="N1030" t="s">
        <v>179</v>
      </c>
      <c r="O1030" t="s">
        <v>1604</v>
      </c>
      <c r="P1030" t="s">
        <v>2819</v>
      </c>
      <c r="Q1030" t="s">
        <v>319</v>
      </c>
      <c r="R1030" t="s">
        <v>3479</v>
      </c>
      <c r="S1030" t="s">
        <v>182</v>
      </c>
      <c r="T1030" t="s">
        <v>896</v>
      </c>
      <c r="U1030" t="s">
        <v>113</v>
      </c>
      <c r="V1030" t="s">
        <v>82</v>
      </c>
    </row>
    <row r="1031" spans="1:22" x14ac:dyDescent="0.3">
      <c r="A1031" t="s">
        <v>4406</v>
      </c>
      <c r="B1031" t="s">
        <v>4091</v>
      </c>
      <c r="C1031" t="s">
        <v>4092</v>
      </c>
      <c r="D1031" t="s">
        <v>4407</v>
      </c>
      <c r="E1031" t="s">
        <v>730</v>
      </c>
      <c r="F1031" t="s">
        <v>26</v>
      </c>
      <c r="G1031" t="s">
        <v>213</v>
      </c>
      <c r="H1031" t="s">
        <v>268</v>
      </c>
      <c r="I1031" t="s">
        <v>29</v>
      </c>
      <c r="J1031" t="s">
        <v>70</v>
      </c>
      <c r="K1031" t="s">
        <v>245</v>
      </c>
      <c r="L1031" t="s">
        <v>269</v>
      </c>
      <c r="M1031" t="s">
        <v>873</v>
      </c>
      <c r="N1031" t="s">
        <v>529</v>
      </c>
      <c r="O1031" t="s">
        <v>1485</v>
      </c>
      <c r="P1031" t="s">
        <v>1403</v>
      </c>
      <c r="Q1031" t="s">
        <v>92</v>
      </c>
      <c r="R1031" t="s">
        <v>4408</v>
      </c>
      <c r="S1031" t="s">
        <v>126</v>
      </c>
      <c r="T1031" t="s">
        <v>40</v>
      </c>
      <c r="U1031" t="s">
        <v>155</v>
      </c>
      <c r="V1031" t="s">
        <v>79</v>
      </c>
    </row>
    <row r="1032" spans="1:22" x14ac:dyDescent="0.3">
      <c r="A1032" t="s">
        <v>4409</v>
      </c>
      <c r="B1032" t="s">
        <v>1638</v>
      </c>
      <c r="C1032" t="s">
        <v>1639</v>
      </c>
      <c r="D1032" t="s">
        <v>4410</v>
      </c>
      <c r="E1032" t="s">
        <v>228</v>
      </c>
      <c r="F1032" t="s">
        <v>228</v>
      </c>
      <c r="G1032" t="s">
        <v>147</v>
      </c>
      <c r="H1032" t="s">
        <v>88</v>
      </c>
      <c r="I1032" t="s">
        <v>29</v>
      </c>
      <c r="J1032" t="s">
        <v>70</v>
      </c>
      <c r="K1032" t="s">
        <v>50</v>
      </c>
      <c r="L1032" t="s">
        <v>400</v>
      </c>
      <c r="M1032" t="s">
        <v>850</v>
      </c>
      <c r="N1032" t="s">
        <v>299</v>
      </c>
      <c r="O1032" t="s">
        <v>1681</v>
      </c>
      <c r="P1032" t="s">
        <v>836</v>
      </c>
      <c r="Q1032" t="s">
        <v>1043</v>
      </c>
      <c r="R1032" t="s">
        <v>4411</v>
      </c>
      <c r="S1032" t="s">
        <v>39</v>
      </c>
      <c r="T1032" t="s">
        <v>695</v>
      </c>
      <c r="U1032" t="s">
        <v>423</v>
      </c>
      <c r="V1032" t="s">
        <v>58</v>
      </c>
    </row>
    <row r="1033" spans="1:22" x14ac:dyDescent="0.3">
      <c r="A1033" t="s">
        <v>4412</v>
      </c>
      <c r="B1033" t="s">
        <v>818</v>
      </c>
      <c r="C1033" t="s">
        <v>819</v>
      </c>
      <c r="D1033" t="s">
        <v>1995</v>
      </c>
      <c r="E1033" t="s">
        <v>66</v>
      </c>
      <c r="F1033" t="s">
        <v>66</v>
      </c>
      <c r="G1033" t="s">
        <v>147</v>
      </c>
      <c r="H1033" t="s">
        <v>49</v>
      </c>
      <c r="I1033" t="s">
        <v>29</v>
      </c>
      <c r="J1033" t="s">
        <v>30</v>
      </c>
      <c r="K1033" t="s">
        <v>200</v>
      </c>
      <c r="L1033" t="s">
        <v>466</v>
      </c>
      <c r="M1033" t="s">
        <v>4413</v>
      </c>
      <c r="N1033" t="s">
        <v>94</v>
      </c>
      <c r="O1033" t="s">
        <v>2588</v>
      </c>
      <c r="P1033" t="s">
        <v>419</v>
      </c>
      <c r="Q1033" t="s">
        <v>2740</v>
      </c>
      <c r="R1033" t="s">
        <v>4414</v>
      </c>
      <c r="S1033" t="s">
        <v>58</v>
      </c>
      <c r="T1033" t="s">
        <v>1694</v>
      </c>
      <c r="U1033" t="s">
        <v>155</v>
      </c>
      <c r="V1033" t="s">
        <v>79</v>
      </c>
    </row>
    <row r="1034" spans="1:22" x14ac:dyDescent="0.3">
      <c r="A1034" t="s">
        <v>4415</v>
      </c>
      <c r="B1034" t="s">
        <v>3949</v>
      </c>
      <c r="C1034" t="s">
        <v>3950</v>
      </c>
      <c r="D1034" t="s">
        <v>3761</v>
      </c>
      <c r="E1034" t="s">
        <v>1321</v>
      </c>
      <c r="F1034" t="s">
        <v>228</v>
      </c>
      <c r="G1034" t="s">
        <v>27</v>
      </c>
      <c r="H1034" t="s">
        <v>214</v>
      </c>
      <c r="I1034" t="s">
        <v>69</v>
      </c>
      <c r="J1034" t="s">
        <v>30</v>
      </c>
      <c r="K1034" t="s">
        <v>230</v>
      </c>
      <c r="L1034" t="s">
        <v>1863</v>
      </c>
      <c r="M1034" t="s">
        <v>274</v>
      </c>
      <c r="N1034" t="s">
        <v>369</v>
      </c>
      <c r="O1034" t="s">
        <v>1894</v>
      </c>
      <c r="P1034" t="s">
        <v>842</v>
      </c>
      <c r="Q1034" t="s">
        <v>1864</v>
      </c>
      <c r="R1034" t="s">
        <v>1499</v>
      </c>
      <c r="S1034" t="s">
        <v>79</v>
      </c>
      <c r="T1034" t="s">
        <v>499</v>
      </c>
      <c r="U1034" t="s">
        <v>362</v>
      </c>
      <c r="V1034" t="s">
        <v>42</v>
      </c>
    </row>
    <row r="1035" spans="1:22" x14ac:dyDescent="0.3">
      <c r="A1035" t="s">
        <v>4416</v>
      </c>
      <c r="B1035" t="s">
        <v>818</v>
      </c>
      <c r="C1035" t="s">
        <v>819</v>
      </c>
      <c r="D1035" t="s">
        <v>1356</v>
      </c>
      <c r="E1035" t="s">
        <v>417</v>
      </c>
      <c r="F1035" t="s">
        <v>134</v>
      </c>
      <c r="G1035" t="s">
        <v>27</v>
      </c>
      <c r="H1035" t="s">
        <v>229</v>
      </c>
      <c r="I1035" t="s">
        <v>29</v>
      </c>
      <c r="J1035" t="s">
        <v>30</v>
      </c>
      <c r="K1035" t="s">
        <v>215</v>
      </c>
      <c r="L1035" t="s">
        <v>974</v>
      </c>
      <c r="M1035" t="s">
        <v>2819</v>
      </c>
      <c r="N1035" t="s">
        <v>2673</v>
      </c>
      <c r="O1035" t="s">
        <v>753</v>
      </c>
      <c r="P1035" t="s">
        <v>260</v>
      </c>
      <c r="Q1035" t="s">
        <v>896</v>
      </c>
      <c r="R1035" t="s">
        <v>4417</v>
      </c>
      <c r="S1035" t="s">
        <v>39</v>
      </c>
      <c r="T1035" t="s">
        <v>59</v>
      </c>
      <c r="U1035" t="s">
        <v>277</v>
      </c>
      <c r="V1035" t="s">
        <v>42</v>
      </c>
    </row>
    <row r="1036" spans="1:22" x14ac:dyDescent="0.3">
      <c r="A1036" t="s">
        <v>4418</v>
      </c>
      <c r="B1036" t="s">
        <v>484</v>
      </c>
      <c r="C1036" t="s">
        <v>485</v>
      </c>
      <c r="D1036" t="s">
        <v>3597</v>
      </c>
      <c r="E1036" t="s">
        <v>227</v>
      </c>
      <c r="F1036" t="s">
        <v>228</v>
      </c>
      <c r="G1036" t="s">
        <v>48</v>
      </c>
      <c r="H1036" t="s">
        <v>68</v>
      </c>
      <c r="I1036" t="s">
        <v>29</v>
      </c>
      <c r="J1036" t="s">
        <v>30</v>
      </c>
      <c r="K1036" t="s">
        <v>50</v>
      </c>
      <c r="L1036" t="s">
        <v>1022</v>
      </c>
      <c r="M1036" t="s">
        <v>1364</v>
      </c>
      <c r="N1036" t="s">
        <v>260</v>
      </c>
      <c r="O1036" t="s">
        <v>3958</v>
      </c>
      <c r="P1036" t="s">
        <v>1553</v>
      </c>
      <c r="Q1036" t="s">
        <v>56</v>
      </c>
      <c r="R1036" t="s">
        <v>4419</v>
      </c>
      <c r="S1036" t="s">
        <v>97</v>
      </c>
      <c r="T1036" t="s">
        <v>112</v>
      </c>
      <c r="U1036" t="s">
        <v>362</v>
      </c>
      <c r="V1036" t="s">
        <v>82</v>
      </c>
    </row>
    <row r="1037" spans="1:22" x14ac:dyDescent="0.3">
      <c r="A1037" t="s">
        <v>4420</v>
      </c>
      <c r="B1037" t="s">
        <v>3015</v>
      </c>
      <c r="C1037" t="s">
        <v>3016</v>
      </c>
      <c r="D1037" t="s">
        <v>4421</v>
      </c>
      <c r="E1037" t="s">
        <v>267</v>
      </c>
      <c r="F1037" t="s">
        <v>66</v>
      </c>
      <c r="G1037" t="s">
        <v>118</v>
      </c>
      <c r="H1037" t="s">
        <v>268</v>
      </c>
      <c r="I1037" t="s">
        <v>69</v>
      </c>
      <c r="J1037" t="s">
        <v>162</v>
      </c>
      <c r="K1037" t="s">
        <v>230</v>
      </c>
      <c r="L1037" t="s">
        <v>51</v>
      </c>
      <c r="M1037" t="s">
        <v>1640</v>
      </c>
      <c r="N1037" t="s">
        <v>179</v>
      </c>
      <c r="O1037" t="s">
        <v>1640</v>
      </c>
      <c r="P1037" t="s">
        <v>2565</v>
      </c>
      <c r="Q1037" t="s">
        <v>657</v>
      </c>
      <c r="R1037" t="s">
        <v>4422</v>
      </c>
      <c r="S1037" t="s">
        <v>97</v>
      </c>
      <c r="T1037" t="s">
        <v>742</v>
      </c>
      <c r="U1037" t="s">
        <v>385</v>
      </c>
      <c r="V1037" t="s">
        <v>42</v>
      </c>
    </row>
    <row r="1038" spans="1:22" x14ac:dyDescent="0.3">
      <c r="A1038" t="s">
        <v>4423</v>
      </c>
      <c r="B1038" t="s">
        <v>4424</v>
      </c>
      <c r="C1038" t="s">
        <v>4425</v>
      </c>
      <c r="D1038" t="s">
        <v>3761</v>
      </c>
      <c r="E1038" t="s">
        <v>672</v>
      </c>
      <c r="F1038" t="s">
        <v>244</v>
      </c>
      <c r="G1038" t="s">
        <v>580</v>
      </c>
      <c r="H1038" t="s">
        <v>214</v>
      </c>
      <c r="I1038" t="s">
        <v>29</v>
      </c>
      <c r="J1038" t="s">
        <v>30</v>
      </c>
      <c r="K1038" t="s">
        <v>71</v>
      </c>
      <c r="L1038" t="s">
        <v>189</v>
      </c>
      <c r="M1038" t="s">
        <v>3162</v>
      </c>
      <c r="N1038" t="s">
        <v>179</v>
      </c>
      <c r="O1038" t="s">
        <v>3162</v>
      </c>
      <c r="P1038" t="s">
        <v>467</v>
      </c>
      <c r="Q1038" t="s">
        <v>601</v>
      </c>
      <c r="R1038" t="s">
        <v>4426</v>
      </c>
      <c r="S1038" t="s">
        <v>39</v>
      </c>
      <c r="T1038" t="s">
        <v>319</v>
      </c>
      <c r="U1038" t="s">
        <v>407</v>
      </c>
      <c r="V1038" t="s">
        <v>42</v>
      </c>
    </row>
    <row r="1039" spans="1:22" x14ac:dyDescent="0.3">
      <c r="A1039" t="s">
        <v>4427</v>
      </c>
      <c r="B1039" t="s">
        <v>1136</v>
      </c>
      <c r="C1039" t="s">
        <v>1137</v>
      </c>
      <c r="D1039" t="s">
        <v>4428</v>
      </c>
      <c r="E1039" t="s">
        <v>176</v>
      </c>
      <c r="F1039" t="s">
        <v>161</v>
      </c>
      <c r="G1039" t="s">
        <v>213</v>
      </c>
      <c r="H1039" t="s">
        <v>28</v>
      </c>
      <c r="I1039" t="s">
        <v>69</v>
      </c>
      <c r="J1039" t="s">
        <v>30</v>
      </c>
      <c r="K1039" t="s">
        <v>71</v>
      </c>
      <c r="L1039" t="s">
        <v>135</v>
      </c>
      <c r="M1039" t="s">
        <v>221</v>
      </c>
      <c r="N1039" t="s">
        <v>179</v>
      </c>
      <c r="O1039" t="s">
        <v>221</v>
      </c>
      <c r="P1039" t="s">
        <v>2765</v>
      </c>
      <c r="Q1039" t="s">
        <v>180</v>
      </c>
      <c r="R1039" t="s">
        <v>3127</v>
      </c>
      <c r="S1039" t="s">
        <v>126</v>
      </c>
      <c r="T1039" t="s">
        <v>384</v>
      </c>
      <c r="U1039" t="s">
        <v>277</v>
      </c>
      <c r="V1039" t="s">
        <v>82</v>
      </c>
    </row>
    <row r="1040" spans="1:22" x14ac:dyDescent="0.3">
      <c r="A1040" t="s">
        <v>4429</v>
      </c>
      <c r="B1040" t="s">
        <v>2000</v>
      </c>
      <c r="C1040" t="s">
        <v>2001</v>
      </c>
      <c r="D1040" t="s">
        <v>2920</v>
      </c>
      <c r="E1040" t="s">
        <v>378</v>
      </c>
      <c r="F1040" t="s">
        <v>282</v>
      </c>
      <c r="G1040" t="s">
        <v>118</v>
      </c>
      <c r="H1040" t="s">
        <v>68</v>
      </c>
      <c r="I1040" t="s">
        <v>69</v>
      </c>
      <c r="J1040" t="s">
        <v>30</v>
      </c>
      <c r="K1040" t="s">
        <v>200</v>
      </c>
      <c r="L1040" t="s">
        <v>269</v>
      </c>
      <c r="M1040" t="s">
        <v>4430</v>
      </c>
      <c r="N1040" t="s">
        <v>179</v>
      </c>
      <c r="O1040" t="s">
        <v>4430</v>
      </c>
      <c r="P1040" t="s">
        <v>563</v>
      </c>
      <c r="Q1040" t="s">
        <v>206</v>
      </c>
      <c r="R1040" t="s">
        <v>4431</v>
      </c>
      <c r="S1040" t="s">
        <v>97</v>
      </c>
      <c r="T1040" t="s">
        <v>751</v>
      </c>
      <c r="U1040" t="s">
        <v>128</v>
      </c>
      <c r="V1040" t="s">
        <v>114</v>
      </c>
    </row>
    <row r="1041" spans="1:22" x14ac:dyDescent="0.3">
      <c r="A1041" t="s">
        <v>4432</v>
      </c>
      <c r="B1041" t="s">
        <v>2163</v>
      </c>
      <c r="C1041" t="s">
        <v>2164</v>
      </c>
      <c r="D1041" t="s">
        <v>2531</v>
      </c>
      <c r="E1041" t="s">
        <v>161</v>
      </c>
      <c r="F1041" t="s">
        <v>161</v>
      </c>
      <c r="G1041" t="s">
        <v>103</v>
      </c>
      <c r="H1041" t="s">
        <v>28</v>
      </c>
      <c r="I1041" t="s">
        <v>69</v>
      </c>
      <c r="J1041" t="s">
        <v>30</v>
      </c>
      <c r="K1041" t="s">
        <v>245</v>
      </c>
      <c r="L1041" t="s">
        <v>135</v>
      </c>
      <c r="M1041" t="s">
        <v>4433</v>
      </c>
      <c r="N1041" t="s">
        <v>518</v>
      </c>
      <c r="O1041" t="s">
        <v>4434</v>
      </c>
      <c r="P1041" t="s">
        <v>4435</v>
      </c>
      <c r="Q1041" t="s">
        <v>1273</v>
      </c>
      <c r="R1041" t="s">
        <v>4436</v>
      </c>
      <c r="S1041" t="s">
        <v>39</v>
      </c>
      <c r="T1041" t="s">
        <v>1492</v>
      </c>
      <c r="U1041" t="s">
        <v>277</v>
      </c>
      <c r="V1041" t="s">
        <v>58</v>
      </c>
    </row>
    <row r="1042" spans="1:22" x14ac:dyDescent="0.3">
      <c r="A1042" t="s">
        <v>4437</v>
      </c>
      <c r="B1042" t="s">
        <v>4027</v>
      </c>
      <c r="C1042" t="s">
        <v>4028</v>
      </c>
      <c r="D1042" t="s">
        <v>2023</v>
      </c>
      <c r="E1042" t="s">
        <v>176</v>
      </c>
      <c r="F1042" t="s">
        <v>161</v>
      </c>
      <c r="G1042" t="s">
        <v>118</v>
      </c>
      <c r="H1042" t="s">
        <v>88</v>
      </c>
      <c r="I1042" t="s">
        <v>69</v>
      </c>
      <c r="J1042" t="s">
        <v>70</v>
      </c>
      <c r="K1042" t="s">
        <v>31</v>
      </c>
      <c r="L1042" t="s">
        <v>148</v>
      </c>
      <c r="M1042" t="s">
        <v>609</v>
      </c>
      <c r="N1042" t="s">
        <v>610</v>
      </c>
      <c r="O1042" t="s">
        <v>611</v>
      </c>
      <c r="P1042" t="s">
        <v>1413</v>
      </c>
      <c r="Q1042" t="s">
        <v>92</v>
      </c>
      <c r="R1042" t="s">
        <v>4438</v>
      </c>
      <c r="S1042" t="s">
        <v>79</v>
      </c>
      <c r="T1042" t="s">
        <v>121</v>
      </c>
      <c r="U1042" t="s">
        <v>98</v>
      </c>
      <c r="V1042" t="s">
        <v>42</v>
      </c>
    </row>
    <row r="1043" spans="1:22" x14ac:dyDescent="0.3">
      <c r="A1043" t="s">
        <v>4439</v>
      </c>
      <c r="B1043" t="s">
        <v>1617</v>
      </c>
      <c r="C1043" t="s">
        <v>1618</v>
      </c>
      <c r="D1043" t="s">
        <v>4369</v>
      </c>
      <c r="E1043" t="s">
        <v>188</v>
      </c>
      <c r="F1043" t="s">
        <v>188</v>
      </c>
      <c r="G1043" t="s">
        <v>118</v>
      </c>
      <c r="H1043" t="s">
        <v>229</v>
      </c>
      <c r="I1043" t="s">
        <v>69</v>
      </c>
      <c r="J1043" t="s">
        <v>162</v>
      </c>
      <c r="K1043" t="s">
        <v>71</v>
      </c>
      <c r="L1043" t="s">
        <v>119</v>
      </c>
      <c r="M1043" t="s">
        <v>505</v>
      </c>
      <c r="N1043" t="s">
        <v>567</v>
      </c>
      <c r="O1043" t="s">
        <v>805</v>
      </c>
      <c r="P1043" t="s">
        <v>1430</v>
      </c>
      <c r="Q1043" t="s">
        <v>80</v>
      </c>
      <c r="R1043" t="s">
        <v>4440</v>
      </c>
      <c r="S1043" t="s">
        <v>79</v>
      </c>
      <c r="T1043" t="s">
        <v>261</v>
      </c>
      <c r="U1043" t="s">
        <v>300</v>
      </c>
      <c r="V1043" t="s">
        <v>82</v>
      </c>
    </row>
    <row r="1044" spans="1:22" x14ac:dyDescent="0.3">
      <c r="A1044" t="s">
        <v>4441</v>
      </c>
      <c r="B1044" t="s">
        <v>1459</v>
      </c>
      <c r="C1044" t="s">
        <v>1460</v>
      </c>
      <c r="D1044" t="s">
        <v>936</v>
      </c>
      <c r="E1044" t="s">
        <v>282</v>
      </c>
      <c r="F1044" t="s">
        <v>282</v>
      </c>
      <c r="G1044" t="s">
        <v>147</v>
      </c>
      <c r="H1044" t="s">
        <v>68</v>
      </c>
      <c r="I1044" t="s">
        <v>29</v>
      </c>
      <c r="J1044" t="s">
        <v>30</v>
      </c>
      <c r="K1044" t="s">
        <v>200</v>
      </c>
      <c r="L1044" t="s">
        <v>487</v>
      </c>
      <c r="M1044" t="s">
        <v>693</v>
      </c>
      <c r="N1044" t="s">
        <v>92</v>
      </c>
      <c r="O1044" t="s">
        <v>1523</v>
      </c>
      <c r="P1044" t="s">
        <v>767</v>
      </c>
      <c r="Q1044" t="s">
        <v>499</v>
      </c>
      <c r="R1044" t="s">
        <v>4442</v>
      </c>
      <c r="S1044" t="s">
        <v>39</v>
      </c>
      <c r="T1044" t="s">
        <v>308</v>
      </c>
      <c r="U1044" t="s">
        <v>98</v>
      </c>
      <c r="V1044" t="s">
        <v>114</v>
      </c>
    </row>
    <row r="1045" spans="1:22" x14ac:dyDescent="0.3">
      <c r="A1045" t="s">
        <v>4443</v>
      </c>
      <c r="B1045" t="s">
        <v>2443</v>
      </c>
      <c r="C1045" t="s">
        <v>2444</v>
      </c>
      <c r="D1045" t="s">
        <v>3093</v>
      </c>
      <c r="E1045" t="s">
        <v>160</v>
      </c>
      <c r="F1045" t="s">
        <v>161</v>
      </c>
      <c r="G1045" t="s">
        <v>27</v>
      </c>
      <c r="H1045" t="s">
        <v>104</v>
      </c>
      <c r="I1045" t="s">
        <v>69</v>
      </c>
      <c r="J1045" t="s">
        <v>30</v>
      </c>
      <c r="K1045" t="s">
        <v>200</v>
      </c>
      <c r="L1045" t="s">
        <v>983</v>
      </c>
      <c r="M1045" t="s">
        <v>2299</v>
      </c>
      <c r="N1045" t="s">
        <v>308</v>
      </c>
      <c r="O1045" t="s">
        <v>1872</v>
      </c>
      <c r="P1045" t="s">
        <v>1260</v>
      </c>
      <c r="Q1045" t="s">
        <v>110</v>
      </c>
      <c r="R1045" t="s">
        <v>4444</v>
      </c>
      <c r="S1045" t="s">
        <v>58</v>
      </c>
      <c r="T1045" t="s">
        <v>1230</v>
      </c>
      <c r="U1045" t="s">
        <v>288</v>
      </c>
      <c r="V1045" t="s">
        <v>58</v>
      </c>
    </row>
    <row r="1046" spans="1:22" x14ac:dyDescent="0.3">
      <c r="A1046" t="s">
        <v>4445</v>
      </c>
      <c r="B1046" t="s">
        <v>4446</v>
      </c>
      <c r="C1046" t="s">
        <v>4447</v>
      </c>
      <c r="D1046" t="s">
        <v>3243</v>
      </c>
      <c r="E1046" t="s">
        <v>227</v>
      </c>
      <c r="F1046" t="s">
        <v>228</v>
      </c>
      <c r="G1046" t="s">
        <v>27</v>
      </c>
      <c r="H1046" t="s">
        <v>88</v>
      </c>
      <c r="I1046" t="s">
        <v>29</v>
      </c>
      <c r="J1046" t="s">
        <v>30</v>
      </c>
      <c r="K1046" t="s">
        <v>215</v>
      </c>
      <c r="L1046" t="s">
        <v>766</v>
      </c>
      <c r="M1046" t="s">
        <v>4448</v>
      </c>
      <c r="N1046" t="s">
        <v>602</v>
      </c>
      <c r="O1046" t="s">
        <v>814</v>
      </c>
      <c r="P1046" t="s">
        <v>2568</v>
      </c>
      <c r="Q1046" t="s">
        <v>1116</v>
      </c>
      <c r="R1046" t="s">
        <v>4449</v>
      </c>
      <c r="S1046" t="s">
        <v>182</v>
      </c>
      <c r="T1046" t="s">
        <v>80</v>
      </c>
      <c r="U1046" t="s">
        <v>362</v>
      </c>
      <c r="V1046" t="s">
        <v>79</v>
      </c>
    </row>
    <row r="1047" spans="1:22" x14ac:dyDescent="0.3">
      <c r="A1047" t="s">
        <v>4450</v>
      </c>
      <c r="B1047" t="s">
        <v>1566</v>
      </c>
      <c r="C1047" t="s">
        <v>1567</v>
      </c>
      <c r="D1047" t="s">
        <v>3788</v>
      </c>
      <c r="E1047" t="s">
        <v>634</v>
      </c>
      <c r="F1047" t="s">
        <v>228</v>
      </c>
      <c r="G1047" t="s">
        <v>580</v>
      </c>
      <c r="H1047" t="s">
        <v>28</v>
      </c>
      <c r="I1047" t="s">
        <v>69</v>
      </c>
      <c r="J1047" t="s">
        <v>70</v>
      </c>
      <c r="K1047" t="s">
        <v>245</v>
      </c>
      <c r="L1047" t="s">
        <v>1987</v>
      </c>
      <c r="M1047" t="s">
        <v>4451</v>
      </c>
      <c r="N1047" t="s">
        <v>1681</v>
      </c>
      <c r="O1047" t="s">
        <v>3210</v>
      </c>
      <c r="P1047" t="s">
        <v>4452</v>
      </c>
      <c r="Q1047" t="s">
        <v>2143</v>
      </c>
      <c r="R1047" t="s">
        <v>4453</v>
      </c>
      <c r="S1047" t="s">
        <v>97</v>
      </c>
      <c r="T1047" t="s">
        <v>784</v>
      </c>
      <c r="U1047" t="s">
        <v>362</v>
      </c>
      <c r="V1047" t="s">
        <v>82</v>
      </c>
    </row>
    <row r="1048" spans="1:22" x14ac:dyDescent="0.3">
      <c r="A1048" t="s">
        <v>4454</v>
      </c>
      <c r="B1048" t="s">
        <v>2547</v>
      </c>
      <c r="C1048" t="s">
        <v>2548</v>
      </c>
      <c r="D1048" t="s">
        <v>2076</v>
      </c>
      <c r="E1048" t="s">
        <v>282</v>
      </c>
      <c r="F1048" t="s">
        <v>282</v>
      </c>
      <c r="G1048" t="s">
        <v>147</v>
      </c>
      <c r="H1048" t="s">
        <v>88</v>
      </c>
      <c r="I1048" t="s">
        <v>69</v>
      </c>
      <c r="J1048" t="s">
        <v>30</v>
      </c>
      <c r="K1048" t="s">
        <v>293</v>
      </c>
      <c r="L1048" t="s">
        <v>551</v>
      </c>
      <c r="M1048" t="s">
        <v>2108</v>
      </c>
      <c r="N1048" t="s">
        <v>724</v>
      </c>
      <c r="O1048" t="s">
        <v>1485</v>
      </c>
      <c r="P1048" t="s">
        <v>2160</v>
      </c>
      <c r="Q1048" t="s">
        <v>1099</v>
      </c>
      <c r="R1048" t="s">
        <v>4455</v>
      </c>
      <c r="S1048" t="s">
        <v>182</v>
      </c>
      <c r="T1048" t="s">
        <v>1013</v>
      </c>
      <c r="U1048" t="s">
        <v>155</v>
      </c>
      <c r="V1048" t="s">
        <v>114</v>
      </c>
    </row>
    <row r="1049" spans="1:22" x14ac:dyDescent="0.3">
      <c r="A1049" t="s">
        <v>4456</v>
      </c>
      <c r="B1049" t="s">
        <v>4016</v>
      </c>
      <c r="C1049" t="s">
        <v>4017</v>
      </c>
      <c r="D1049" t="s">
        <v>4457</v>
      </c>
      <c r="E1049" t="s">
        <v>1321</v>
      </c>
      <c r="F1049" t="s">
        <v>228</v>
      </c>
      <c r="G1049" t="s">
        <v>67</v>
      </c>
      <c r="H1049" t="s">
        <v>268</v>
      </c>
      <c r="I1049" t="s">
        <v>29</v>
      </c>
      <c r="J1049" t="s">
        <v>70</v>
      </c>
      <c r="K1049" t="s">
        <v>200</v>
      </c>
      <c r="L1049" t="s">
        <v>177</v>
      </c>
      <c r="M1049" t="s">
        <v>965</v>
      </c>
      <c r="N1049" t="s">
        <v>179</v>
      </c>
      <c r="O1049" t="s">
        <v>965</v>
      </c>
      <c r="P1049" t="s">
        <v>953</v>
      </c>
      <c r="Q1049" t="s">
        <v>220</v>
      </c>
      <c r="R1049" t="s">
        <v>3951</v>
      </c>
      <c r="S1049" t="s">
        <v>97</v>
      </c>
      <c r="T1049" t="s">
        <v>724</v>
      </c>
      <c r="U1049" t="s">
        <v>508</v>
      </c>
      <c r="V1049" t="s">
        <v>114</v>
      </c>
    </row>
    <row r="1050" spans="1:22" x14ac:dyDescent="0.3">
      <c r="A1050" t="s">
        <v>4458</v>
      </c>
      <c r="B1050" t="s">
        <v>1205</v>
      </c>
      <c r="C1050" t="s">
        <v>1206</v>
      </c>
      <c r="D1050" t="s">
        <v>4459</v>
      </c>
      <c r="E1050" t="s">
        <v>176</v>
      </c>
      <c r="F1050" t="s">
        <v>161</v>
      </c>
      <c r="G1050" t="s">
        <v>103</v>
      </c>
      <c r="H1050" t="s">
        <v>28</v>
      </c>
      <c r="I1050" t="s">
        <v>29</v>
      </c>
      <c r="J1050" t="s">
        <v>30</v>
      </c>
      <c r="K1050" t="s">
        <v>89</v>
      </c>
      <c r="L1050" t="s">
        <v>362</v>
      </c>
      <c r="M1050" t="s">
        <v>123</v>
      </c>
      <c r="N1050" t="s">
        <v>179</v>
      </c>
      <c r="O1050" t="s">
        <v>123</v>
      </c>
      <c r="P1050" t="s">
        <v>2299</v>
      </c>
      <c r="Q1050" t="s">
        <v>153</v>
      </c>
      <c r="R1050" t="s">
        <v>4460</v>
      </c>
      <c r="S1050" t="s">
        <v>182</v>
      </c>
      <c r="T1050" t="s">
        <v>276</v>
      </c>
      <c r="U1050" t="s">
        <v>113</v>
      </c>
      <c r="V1050" t="s">
        <v>42</v>
      </c>
    </row>
    <row r="1051" spans="1:22" x14ac:dyDescent="0.3">
      <c r="A1051" t="s">
        <v>4461</v>
      </c>
      <c r="B1051" t="s">
        <v>2675</v>
      </c>
      <c r="C1051" t="s">
        <v>2676</v>
      </c>
      <c r="D1051" t="s">
        <v>4462</v>
      </c>
      <c r="E1051" t="s">
        <v>134</v>
      </c>
      <c r="F1051" t="s">
        <v>134</v>
      </c>
      <c r="G1051" t="s">
        <v>580</v>
      </c>
      <c r="H1051" t="s">
        <v>214</v>
      </c>
      <c r="I1051" t="s">
        <v>69</v>
      </c>
      <c r="J1051" t="s">
        <v>30</v>
      </c>
      <c r="K1051" t="s">
        <v>50</v>
      </c>
      <c r="L1051" t="s">
        <v>367</v>
      </c>
      <c r="M1051" t="s">
        <v>2160</v>
      </c>
      <c r="N1051" t="s">
        <v>40</v>
      </c>
      <c r="O1051" t="s">
        <v>480</v>
      </c>
      <c r="P1051" t="s">
        <v>344</v>
      </c>
      <c r="Q1051" t="s">
        <v>1112</v>
      </c>
      <c r="R1051" t="s">
        <v>4463</v>
      </c>
      <c r="S1051" t="s">
        <v>126</v>
      </c>
      <c r="T1051" t="s">
        <v>770</v>
      </c>
      <c r="U1051" t="s">
        <v>300</v>
      </c>
      <c r="V1051" t="s">
        <v>79</v>
      </c>
    </row>
    <row r="1052" spans="1:22" x14ac:dyDescent="0.3">
      <c r="A1052" t="s">
        <v>4464</v>
      </c>
      <c r="B1052" t="s">
        <v>4155</v>
      </c>
      <c r="C1052" t="s">
        <v>4156</v>
      </c>
      <c r="D1052" t="s">
        <v>2587</v>
      </c>
      <c r="E1052" t="s">
        <v>176</v>
      </c>
      <c r="F1052" t="s">
        <v>161</v>
      </c>
      <c r="G1052" t="s">
        <v>67</v>
      </c>
      <c r="H1052" t="s">
        <v>104</v>
      </c>
      <c r="I1052" t="s">
        <v>29</v>
      </c>
      <c r="J1052" t="s">
        <v>70</v>
      </c>
      <c r="K1052" t="s">
        <v>215</v>
      </c>
      <c r="L1052" t="s">
        <v>1022</v>
      </c>
      <c r="M1052" t="s">
        <v>1647</v>
      </c>
      <c r="N1052" t="s">
        <v>299</v>
      </c>
      <c r="O1052" t="s">
        <v>1414</v>
      </c>
      <c r="P1052" t="s">
        <v>1864</v>
      </c>
      <c r="Q1052" t="s">
        <v>326</v>
      </c>
      <c r="R1052" t="s">
        <v>4465</v>
      </c>
      <c r="S1052" t="s">
        <v>39</v>
      </c>
      <c r="T1052" t="s">
        <v>92</v>
      </c>
      <c r="U1052" t="s">
        <v>349</v>
      </c>
      <c r="V1052" t="s">
        <v>42</v>
      </c>
    </row>
    <row r="1053" spans="1:22" x14ac:dyDescent="0.3">
      <c r="A1053" t="s">
        <v>4466</v>
      </c>
      <c r="B1053" t="s">
        <v>2240</v>
      </c>
      <c r="C1053" t="s">
        <v>2241</v>
      </c>
      <c r="D1053" t="s">
        <v>626</v>
      </c>
      <c r="E1053" t="s">
        <v>893</v>
      </c>
      <c r="F1053" t="s">
        <v>188</v>
      </c>
      <c r="G1053" t="s">
        <v>27</v>
      </c>
      <c r="H1053" t="s">
        <v>104</v>
      </c>
      <c r="I1053" t="s">
        <v>69</v>
      </c>
      <c r="J1053" t="s">
        <v>30</v>
      </c>
      <c r="K1053" t="s">
        <v>293</v>
      </c>
      <c r="L1053" t="s">
        <v>231</v>
      </c>
      <c r="M1053" t="s">
        <v>4467</v>
      </c>
      <c r="N1053" t="s">
        <v>179</v>
      </c>
      <c r="O1053" t="s">
        <v>4467</v>
      </c>
      <c r="P1053" t="s">
        <v>1989</v>
      </c>
      <c r="Q1053" t="s">
        <v>1413</v>
      </c>
      <c r="R1053" t="s">
        <v>4468</v>
      </c>
      <c r="S1053" t="s">
        <v>79</v>
      </c>
      <c r="T1053" t="s">
        <v>686</v>
      </c>
      <c r="U1053" t="s">
        <v>171</v>
      </c>
      <c r="V1053" t="s">
        <v>58</v>
      </c>
    </row>
    <row r="1054" spans="1:22" x14ac:dyDescent="0.3">
      <c r="A1054" t="s">
        <v>4469</v>
      </c>
      <c r="B1054" t="s">
        <v>2317</v>
      </c>
      <c r="C1054" t="s">
        <v>2318</v>
      </c>
      <c r="D1054" t="s">
        <v>3084</v>
      </c>
      <c r="E1054" t="s">
        <v>244</v>
      </c>
      <c r="F1054" t="s">
        <v>244</v>
      </c>
      <c r="G1054" t="s">
        <v>103</v>
      </c>
      <c r="H1054" t="s">
        <v>268</v>
      </c>
      <c r="I1054" t="s">
        <v>69</v>
      </c>
      <c r="J1054" t="s">
        <v>30</v>
      </c>
      <c r="K1054" t="s">
        <v>31</v>
      </c>
      <c r="L1054" t="s">
        <v>1515</v>
      </c>
      <c r="M1054" t="s">
        <v>2527</v>
      </c>
      <c r="N1054" t="s">
        <v>896</v>
      </c>
      <c r="O1054" t="s">
        <v>359</v>
      </c>
      <c r="P1054" t="s">
        <v>1456</v>
      </c>
      <c r="Q1054" t="s">
        <v>1162</v>
      </c>
      <c r="R1054" t="s">
        <v>4470</v>
      </c>
      <c r="S1054" t="s">
        <v>39</v>
      </c>
      <c r="T1054" t="s">
        <v>59</v>
      </c>
      <c r="U1054" t="s">
        <v>238</v>
      </c>
      <c r="V1054" t="s">
        <v>58</v>
      </c>
    </row>
    <row r="1055" spans="1:22" x14ac:dyDescent="0.3">
      <c r="A1055" t="s">
        <v>4471</v>
      </c>
      <c r="B1055" t="s">
        <v>2233</v>
      </c>
      <c r="C1055" t="s">
        <v>2234</v>
      </c>
      <c r="D1055" t="s">
        <v>2683</v>
      </c>
      <c r="E1055" t="s">
        <v>244</v>
      </c>
      <c r="F1055" t="s">
        <v>244</v>
      </c>
      <c r="G1055" t="s">
        <v>67</v>
      </c>
      <c r="H1055" t="s">
        <v>88</v>
      </c>
      <c r="I1055" t="s">
        <v>69</v>
      </c>
      <c r="J1055" t="s">
        <v>30</v>
      </c>
      <c r="K1055" t="s">
        <v>293</v>
      </c>
      <c r="L1055" t="s">
        <v>90</v>
      </c>
      <c r="M1055" t="s">
        <v>1395</v>
      </c>
      <c r="N1055" t="s">
        <v>179</v>
      </c>
      <c r="O1055" t="s">
        <v>1395</v>
      </c>
      <c r="P1055" t="s">
        <v>1539</v>
      </c>
      <c r="Q1055" t="s">
        <v>459</v>
      </c>
      <c r="R1055" t="s">
        <v>4472</v>
      </c>
      <c r="S1055" t="s">
        <v>126</v>
      </c>
      <c r="T1055" t="s">
        <v>361</v>
      </c>
      <c r="U1055" t="s">
        <v>373</v>
      </c>
      <c r="V1055" t="s">
        <v>82</v>
      </c>
    </row>
    <row r="1056" spans="1:22" x14ac:dyDescent="0.3">
      <c r="A1056" t="s">
        <v>4473</v>
      </c>
      <c r="B1056" t="s">
        <v>4184</v>
      </c>
      <c r="C1056" t="s">
        <v>4185</v>
      </c>
      <c r="D1056" t="s">
        <v>4474</v>
      </c>
      <c r="E1056" t="s">
        <v>160</v>
      </c>
      <c r="F1056" t="s">
        <v>161</v>
      </c>
      <c r="G1056" t="s">
        <v>118</v>
      </c>
      <c r="H1056" t="s">
        <v>68</v>
      </c>
      <c r="I1056" t="s">
        <v>69</v>
      </c>
      <c r="J1056" t="s">
        <v>70</v>
      </c>
      <c r="K1056" t="s">
        <v>215</v>
      </c>
      <c r="L1056" t="s">
        <v>51</v>
      </c>
      <c r="M1056" t="s">
        <v>4475</v>
      </c>
      <c r="N1056" t="s">
        <v>583</v>
      </c>
      <c r="O1056" t="s">
        <v>4476</v>
      </c>
      <c r="P1056" t="s">
        <v>1957</v>
      </c>
      <c r="Q1056" t="s">
        <v>3456</v>
      </c>
      <c r="R1056" t="s">
        <v>4477</v>
      </c>
      <c r="S1056" t="s">
        <v>97</v>
      </c>
      <c r="T1056" t="s">
        <v>1266</v>
      </c>
      <c r="U1056" t="s">
        <v>277</v>
      </c>
      <c r="V1056" t="s">
        <v>42</v>
      </c>
    </row>
    <row r="1057" spans="1:22" x14ac:dyDescent="0.3">
      <c r="A1057" t="s">
        <v>4478</v>
      </c>
      <c r="B1057" t="s">
        <v>3670</v>
      </c>
      <c r="C1057" t="s">
        <v>3671</v>
      </c>
      <c r="D1057" t="s">
        <v>4375</v>
      </c>
      <c r="E1057" t="s">
        <v>893</v>
      </c>
      <c r="F1057" t="s">
        <v>188</v>
      </c>
      <c r="G1057" t="s">
        <v>147</v>
      </c>
      <c r="H1057" t="s">
        <v>28</v>
      </c>
      <c r="I1057" t="s">
        <v>69</v>
      </c>
      <c r="J1057" t="s">
        <v>30</v>
      </c>
      <c r="K1057" t="s">
        <v>89</v>
      </c>
      <c r="L1057" t="s">
        <v>1037</v>
      </c>
      <c r="M1057" t="s">
        <v>2590</v>
      </c>
      <c r="N1057" t="s">
        <v>179</v>
      </c>
      <c r="O1057" t="s">
        <v>2590</v>
      </c>
      <c r="P1057" t="s">
        <v>1725</v>
      </c>
      <c r="Q1057" t="s">
        <v>2527</v>
      </c>
      <c r="R1057" t="s">
        <v>4479</v>
      </c>
      <c r="S1057" t="s">
        <v>58</v>
      </c>
      <c r="T1057" t="s">
        <v>782</v>
      </c>
      <c r="U1057" t="s">
        <v>277</v>
      </c>
      <c r="V1057" t="s">
        <v>58</v>
      </c>
    </row>
    <row r="1058" spans="1:22" x14ac:dyDescent="0.3">
      <c r="A1058" t="s">
        <v>4480</v>
      </c>
      <c r="B1058" t="s">
        <v>3595</v>
      </c>
      <c r="C1058" t="s">
        <v>3596</v>
      </c>
      <c r="D1058" t="s">
        <v>3141</v>
      </c>
      <c r="E1058" t="s">
        <v>244</v>
      </c>
      <c r="F1058" t="s">
        <v>244</v>
      </c>
      <c r="G1058" t="s">
        <v>27</v>
      </c>
      <c r="H1058" t="s">
        <v>49</v>
      </c>
      <c r="I1058" t="s">
        <v>29</v>
      </c>
      <c r="J1058" t="s">
        <v>70</v>
      </c>
      <c r="K1058" t="s">
        <v>71</v>
      </c>
      <c r="L1058" t="s">
        <v>269</v>
      </c>
      <c r="M1058" t="s">
        <v>4481</v>
      </c>
      <c r="N1058" t="s">
        <v>179</v>
      </c>
      <c r="O1058" t="s">
        <v>4481</v>
      </c>
      <c r="P1058" t="s">
        <v>760</v>
      </c>
      <c r="Q1058" t="s">
        <v>167</v>
      </c>
      <c r="R1058" t="s">
        <v>4482</v>
      </c>
      <c r="S1058" t="s">
        <v>79</v>
      </c>
      <c r="T1058" t="s">
        <v>448</v>
      </c>
      <c r="U1058" t="s">
        <v>288</v>
      </c>
      <c r="V1058" t="s">
        <v>114</v>
      </c>
    </row>
    <row r="1059" spans="1:22" x14ac:dyDescent="0.3">
      <c r="A1059" t="s">
        <v>4483</v>
      </c>
      <c r="B1059" t="s">
        <v>4184</v>
      </c>
      <c r="C1059" t="s">
        <v>4185</v>
      </c>
      <c r="D1059" t="s">
        <v>2142</v>
      </c>
      <c r="E1059" t="s">
        <v>634</v>
      </c>
      <c r="F1059" t="s">
        <v>228</v>
      </c>
      <c r="G1059" t="s">
        <v>580</v>
      </c>
      <c r="H1059" t="s">
        <v>68</v>
      </c>
      <c r="I1059" t="s">
        <v>69</v>
      </c>
      <c r="J1059" t="s">
        <v>162</v>
      </c>
      <c r="K1059" t="s">
        <v>50</v>
      </c>
      <c r="L1059" t="s">
        <v>189</v>
      </c>
      <c r="M1059" t="s">
        <v>3231</v>
      </c>
      <c r="N1059" t="s">
        <v>179</v>
      </c>
      <c r="O1059" t="s">
        <v>3231</v>
      </c>
      <c r="P1059" t="s">
        <v>3545</v>
      </c>
      <c r="Q1059" t="s">
        <v>2740</v>
      </c>
      <c r="R1059" t="s">
        <v>4484</v>
      </c>
      <c r="S1059" t="s">
        <v>126</v>
      </c>
      <c r="T1059" t="s">
        <v>567</v>
      </c>
      <c r="U1059" t="s">
        <v>508</v>
      </c>
      <c r="V1059" t="s">
        <v>82</v>
      </c>
    </row>
    <row r="1060" spans="1:22" x14ac:dyDescent="0.3">
      <c r="A1060" t="s">
        <v>4485</v>
      </c>
      <c r="B1060" t="s">
        <v>1153</v>
      </c>
      <c r="C1060" t="s">
        <v>1154</v>
      </c>
      <c r="D1060" t="s">
        <v>4486</v>
      </c>
      <c r="E1060" t="s">
        <v>399</v>
      </c>
      <c r="F1060" t="s">
        <v>188</v>
      </c>
      <c r="G1060" t="s">
        <v>103</v>
      </c>
      <c r="H1060" t="s">
        <v>49</v>
      </c>
      <c r="I1060" t="s">
        <v>69</v>
      </c>
      <c r="J1060" t="s">
        <v>162</v>
      </c>
      <c r="K1060" t="s">
        <v>293</v>
      </c>
      <c r="L1060" t="s">
        <v>294</v>
      </c>
      <c r="M1060" t="s">
        <v>2077</v>
      </c>
      <c r="N1060" t="s">
        <v>74</v>
      </c>
      <c r="O1060" t="s">
        <v>2819</v>
      </c>
      <c r="P1060" t="s">
        <v>153</v>
      </c>
      <c r="Q1060" t="s">
        <v>237</v>
      </c>
      <c r="R1060" t="s">
        <v>4487</v>
      </c>
      <c r="S1060" t="s">
        <v>182</v>
      </c>
      <c r="T1060" t="s">
        <v>695</v>
      </c>
      <c r="U1060" t="s">
        <v>98</v>
      </c>
      <c r="V1060" t="s">
        <v>58</v>
      </c>
    </row>
    <row r="1061" spans="1:22" x14ac:dyDescent="0.3">
      <c r="A1061" t="s">
        <v>4488</v>
      </c>
      <c r="B1061" t="s">
        <v>1173</v>
      </c>
      <c r="C1061" t="s">
        <v>1174</v>
      </c>
      <c r="D1061" t="s">
        <v>2651</v>
      </c>
      <c r="E1061" t="s">
        <v>26</v>
      </c>
      <c r="F1061" t="s">
        <v>26</v>
      </c>
      <c r="G1061" t="s">
        <v>213</v>
      </c>
      <c r="H1061" t="s">
        <v>268</v>
      </c>
      <c r="I1061" t="s">
        <v>29</v>
      </c>
      <c r="J1061" t="s">
        <v>30</v>
      </c>
      <c r="K1061" t="s">
        <v>245</v>
      </c>
      <c r="L1061" t="s">
        <v>119</v>
      </c>
      <c r="M1061" t="s">
        <v>3402</v>
      </c>
      <c r="N1061" t="s">
        <v>2073</v>
      </c>
      <c r="O1061" t="s">
        <v>3361</v>
      </c>
      <c r="P1061" t="s">
        <v>913</v>
      </c>
      <c r="Q1061" t="s">
        <v>524</v>
      </c>
      <c r="R1061" t="s">
        <v>4489</v>
      </c>
      <c r="S1061" t="s">
        <v>182</v>
      </c>
      <c r="T1061" t="s">
        <v>107</v>
      </c>
      <c r="U1061" t="s">
        <v>41</v>
      </c>
      <c r="V1061" t="s">
        <v>42</v>
      </c>
    </row>
    <row r="1062" spans="1:22" x14ac:dyDescent="0.3">
      <c r="A1062" t="s">
        <v>4490</v>
      </c>
      <c r="B1062" t="s">
        <v>3002</v>
      </c>
      <c r="C1062" t="s">
        <v>3003</v>
      </c>
      <c r="D1062" t="s">
        <v>4010</v>
      </c>
      <c r="E1062" t="s">
        <v>780</v>
      </c>
      <c r="F1062" t="s">
        <v>282</v>
      </c>
      <c r="G1062" t="s">
        <v>213</v>
      </c>
      <c r="H1062" t="s">
        <v>104</v>
      </c>
      <c r="I1062" t="s">
        <v>29</v>
      </c>
      <c r="J1062" t="s">
        <v>30</v>
      </c>
      <c r="K1062" t="s">
        <v>215</v>
      </c>
      <c r="L1062" t="s">
        <v>315</v>
      </c>
      <c r="M1062" t="s">
        <v>3900</v>
      </c>
      <c r="N1062" t="s">
        <v>179</v>
      </c>
      <c r="O1062" t="s">
        <v>3900</v>
      </c>
      <c r="P1062" t="s">
        <v>590</v>
      </c>
      <c r="Q1062" t="s">
        <v>768</v>
      </c>
      <c r="R1062" t="s">
        <v>4491</v>
      </c>
      <c r="S1062" t="s">
        <v>126</v>
      </c>
      <c r="T1062" t="s">
        <v>361</v>
      </c>
      <c r="U1062" t="s">
        <v>171</v>
      </c>
      <c r="V1062" t="s">
        <v>58</v>
      </c>
    </row>
    <row r="1063" spans="1:22" x14ac:dyDescent="0.3">
      <c r="A1063" t="s">
        <v>4492</v>
      </c>
      <c r="B1063" t="s">
        <v>3949</v>
      </c>
      <c r="C1063" t="s">
        <v>3950</v>
      </c>
      <c r="D1063" t="s">
        <v>2475</v>
      </c>
      <c r="E1063" t="s">
        <v>399</v>
      </c>
      <c r="F1063" t="s">
        <v>188</v>
      </c>
      <c r="G1063" t="s">
        <v>67</v>
      </c>
      <c r="H1063" t="s">
        <v>214</v>
      </c>
      <c r="I1063" t="s">
        <v>69</v>
      </c>
      <c r="J1063" t="s">
        <v>30</v>
      </c>
      <c r="K1063" t="s">
        <v>89</v>
      </c>
      <c r="L1063" t="s">
        <v>766</v>
      </c>
      <c r="M1063" t="s">
        <v>998</v>
      </c>
      <c r="N1063" t="s">
        <v>179</v>
      </c>
      <c r="O1063" t="s">
        <v>998</v>
      </c>
      <c r="P1063" t="s">
        <v>404</v>
      </c>
      <c r="Q1063" t="s">
        <v>110</v>
      </c>
      <c r="R1063" t="s">
        <v>4493</v>
      </c>
      <c r="S1063" t="s">
        <v>126</v>
      </c>
      <c r="T1063" t="s">
        <v>543</v>
      </c>
      <c r="U1063" t="s">
        <v>407</v>
      </c>
      <c r="V1063" t="s">
        <v>79</v>
      </c>
    </row>
    <row r="1064" spans="1:22" x14ac:dyDescent="0.3">
      <c r="A1064" t="s">
        <v>4494</v>
      </c>
      <c r="B1064" t="s">
        <v>2453</v>
      </c>
      <c r="C1064" t="s">
        <v>2454</v>
      </c>
      <c r="D1064" t="s">
        <v>3174</v>
      </c>
      <c r="E1064" t="s">
        <v>634</v>
      </c>
      <c r="F1064" t="s">
        <v>228</v>
      </c>
      <c r="G1064" t="s">
        <v>48</v>
      </c>
      <c r="H1064" t="s">
        <v>28</v>
      </c>
      <c r="I1064" t="s">
        <v>29</v>
      </c>
      <c r="J1064" t="s">
        <v>30</v>
      </c>
      <c r="K1064" t="s">
        <v>245</v>
      </c>
      <c r="L1064" t="s">
        <v>1295</v>
      </c>
      <c r="M1064" t="s">
        <v>1516</v>
      </c>
      <c r="N1064" t="s">
        <v>56</v>
      </c>
      <c r="O1064" t="s">
        <v>3456</v>
      </c>
      <c r="P1064" t="s">
        <v>611</v>
      </c>
      <c r="Q1064" t="s">
        <v>1569</v>
      </c>
      <c r="R1064" t="s">
        <v>4495</v>
      </c>
      <c r="S1064" t="s">
        <v>182</v>
      </c>
      <c r="T1064" t="s">
        <v>37</v>
      </c>
      <c r="U1064" t="s">
        <v>537</v>
      </c>
      <c r="V1064" t="s">
        <v>114</v>
      </c>
    </row>
    <row r="1065" spans="1:22" x14ac:dyDescent="0.3">
      <c r="A1065" t="s">
        <v>4496</v>
      </c>
      <c r="B1065" t="s">
        <v>2089</v>
      </c>
      <c r="C1065" t="s">
        <v>2090</v>
      </c>
      <c r="D1065" t="s">
        <v>1217</v>
      </c>
      <c r="E1065" t="s">
        <v>378</v>
      </c>
      <c r="F1065" t="s">
        <v>282</v>
      </c>
      <c r="G1065" t="s">
        <v>48</v>
      </c>
      <c r="H1065" t="s">
        <v>214</v>
      </c>
      <c r="I1065" t="s">
        <v>69</v>
      </c>
      <c r="J1065" t="s">
        <v>30</v>
      </c>
      <c r="K1065" t="s">
        <v>215</v>
      </c>
      <c r="L1065" t="s">
        <v>691</v>
      </c>
      <c r="M1065" t="s">
        <v>2285</v>
      </c>
      <c r="N1065" t="s">
        <v>310</v>
      </c>
      <c r="O1065" t="s">
        <v>1414</v>
      </c>
      <c r="P1065" t="s">
        <v>382</v>
      </c>
      <c r="Q1065" t="s">
        <v>139</v>
      </c>
      <c r="R1065" t="s">
        <v>4497</v>
      </c>
      <c r="S1065" t="s">
        <v>126</v>
      </c>
      <c r="T1065" t="s">
        <v>183</v>
      </c>
      <c r="U1065" t="s">
        <v>568</v>
      </c>
      <c r="V1065" t="s">
        <v>42</v>
      </c>
    </row>
    <row r="1066" spans="1:22" x14ac:dyDescent="0.3">
      <c r="A1066" t="s">
        <v>4498</v>
      </c>
      <c r="B1066" t="s">
        <v>1945</v>
      </c>
      <c r="C1066" t="s">
        <v>1946</v>
      </c>
      <c r="D1066" t="s">
        <v>4499</v>
      </c>
      <c r="E1066" t="s">
        <v>244</v>
      </c>
      <c r="F1066" t="s">
        <v>244</v>
      </c>
      <c r="G1066" t="s">
        <v>67</v>
      </c>
      <c r="H1066" t="s">
        <v>28</v>
      </c>
      <c r="I1066" t="s">
        <v>69</v>
      </c>
      <c r="J1066" t="s">
        <v>30</v>
      </c>
      <c r="K1066" t="s">
        <v>50</v>
      </c>
      <c r="L1066" t="s">
        <v>269</v>
      </c>
      <c r="M1066" t="s">
        <v>1872</v>
      </c>
      <c r="N1066" t="s">
        <v>461</v>
      </c>
      <c r="O1066" t="s">
        <v>693</v>
      </c>
      <c r="P1066" t="s">
        <v>3165</v>
      </c>
      <c r="Q1066" t="s">
        <v>908</v>
      </c>
      <c r="R1066" t="s">
        <v>4500</v>
      </c>
      <c r="S1066" t="s">
        <v>79</v>
      </c>
      <c r="T1066" t="s">
        <v>369</v>
      </c>
      <c r="U1066" t="s">
        <v>407</v>
      </c>
      <c r="V1066" t="s">
        <v>58</v>
      </c>
    </row>
    <row r="1067" spans="1:22" x14ac:dyDescent="0.3">
      <c r="A1067" t="s">
        <v>4501</v>
      </c>
      <c r="B1067" t="s">
        <v>1921</v>
      </c>
      <c r="C1067" t="s">
        <v>1922</v>
      </c>
      <c r="D1067" t="s">
        <v>2535</v>
      </c>
      <c r="E1067" t="s">
        <v>160</v>
      </c>
      <c r="F1067" t="s">
        <v>161</v>
      </c>
      <c r="G1067" t="s">
        <v>27</v>
      </c>
      <c r="H1067" t="s">
        <v>229</v>
      </c>
      <c r="I1067" t="s">
        <v>29</v>
      </c>
      <c r="J1067" t="s">
        <v>162</v>
      </c>
      <c r="K1067" t="s">
        <v>200</v>
      </c>
      <c r="L1067" t="s">
        <v>691</v>
      </c>
      <c r="M1067" t="s">
        <v>123</v>
      </c>
      <c r="N1067" t="s">
        <v>440</v>
      </c>
      <c r="O1067" t="s">
        <v>2461</v>
      </c>
      <c r="P1067" t="s">
        <v>368</v>
      </c>
      <c r="Q1067" t="s">
        <v>985</v>
      </c>
      <c r="R1067" t="s">
        <v>3226</v>
      </c>
      <c r="S1067" t="s">
        <v>58</v>
      </c>
      <c r="T1067" t="s">
        <v>648</v>
      </c>
      <c r="U1067" t="s">
        <v>537</v>
      </c>
      <c r="V1067" t="s">
        <v>79</v>
      </c>
    </row>
    <row r="1068" spans="1:22" x14ac:dyDescent="0.3">
      <c r="A1068" t="s">
        <v>4502</v>
      </c>
      <c r="B1068" t="s">
        <v>520</v>
      </c>
      <c r="C1068" t="s">
        <v>521</v>
      </c>
      <c r="D1068" t="s">
        <v>4200</v>
      </c>
      <c r="E1068" t="s">
        <v>780</v>
      </c>
      <c r="F1068" t="s">
        <v>282</v>
      </c>
      <c r="G1068" t="s">
        <v>48</v>
      </c>
      <c r="H1068" t="s">
        <v>49</v>
      </c>
      <c r="I1068" t="s">
        <v>29</v>
      </c>
      <c r="J1068" t="s">
        <v>70</v>
      </c>
      <c r="K1068" t="s">
        <v>71</v>
      </c>
      <c r="L1068" t="s">
        <v>1295</v>
      </c>
      <c r="M1068" t="s">
        <v>1364</v>
      </c>
      <c r="N1068" t="s">
        <v>179</v>
      </c>
      <c r="O1068" t="s">
        <v>1364</v>
      </c>
      <c r="P1068" t="s">
        <v>2340</v>
      </c>
      <c r="Q1068" t="s">
        <v>370</v>
      </c>
      <c r="R1068" t="s">
        <v>4503</v>
      </c>
      <c r="S1068" t="s">
        <v>58</v>
      </c>
      <c r="T1068" t="s">
        <v>567</v>
      </c>
      <c r="U1068" t="s">
        <v>171</v>
      </c>
      <c r="V1068" t="s">
        <v>82</v>
      </c>
    </row>
    <row r="1069" spans="1:22" x14ac:dyDescent="0.3">
      <c r="A1069" t="s">
        <v>4504</v>
      </c>
      <c r="B1069" t="s">
        <v>2851</v>
      </c>
      <c r="C1069" t="s">
        <v>2852</v>
      </c>
      <c r="D1069" t="s">
        <v>2284</v>
      </c>
      <c r="E1069" t="s">
        <v>730</v>
      </c>
      <c r="F1069" t="s">
        <v>26</v>
      </c>
      <c r="G1069" t="s">
        <v>27</v>
      </c>
      <c r="H1069" t="s">
        <v>268</v>
      </c>
      <c r="I1069" t="s">
        <v>29</v>
      </c>
      <c r="J1069" t="s">
        <v>30</v>
      </c>
      <c r="K1069" t="s">
        <v>245</v>
      </c>
      <c r="L1069" t="s">
        <v>367</v>
      </c>
      <c r="M1069" t="s">
        <v>4505</v>
      </c>
      <c r="N1069" t="s">
        <v>276</v>
      </c>
      <c r="O1069" t="s">
        <v>4506</v>
      </c>
      <c r="P1069" t="s">
        <v>4507</v>
      </c>
      <c r="Q1069" t="s">
        <v>1140</v>
      </c>
      <c r="R1069" t="s">
        <v>4508</v>
      </c>
      <c r="S1069" t="s">
        <v>58</v>
      </c>
      <c r="T1069" t="s">
        <v>675</v>
      </c>
      <c r="U1069" t="s">
        <v>98</v>
      </c>
      <c r="V1069" t="s">
        <v>42</v>
      </c>
    </row>
    <row r="1070" spans="1:22" x14ac:dyDescent="0.3">
      <c r="A1070" t="s">
        <v>4509</v>
      </c>
      <c r="B1070" t="s">
        <v>688</v>
      </c>
      <c r="C1070" t="s">
        <v>689</v>
      </c>
      <c r="D1070" t="s">
        <v>1003</v>
      </c>
      <c r="E1070" t="s">
        <v>228</v>
      </c>
      <c r="F1070" t="s">
        <v>228</v>
      </c>
      <c r="G1070" t="s">
        <v>48</v>
      </c>
      <c r="H1070" t="s">
        <v>88</v>
      </c>
      <c r="I1070" t="s">
        <v>69</v>
      </c>
      <c r="J1070" t="s">
        <v>30</v>
      </c>
      <c r="K1070" t="s">
        <v>31</v>
      </c>
      <c r="L1070" t="s">
        <v>177</v>
      </c>
      <c r="M1070" t="s">
        <v>590</v>
      </c>
      <c r="N1070" t="s">
        <v>336</v>
      </c>
      <c r="O1070" t="s">
        <v>2258</v>
      </c>
      <c r="P1070" t="s">
        <v>73</v>
      </c>
      <c r="Q1070" t="s">
        <v>180</v>
      </c>
      <c r="R1070" t="s">
        <v>4510</v>
      </c>
      <c r="S1070" t="s">
        <v>126</v>
      </c>
      <c r="T1070" t="s">
        <v>440</v>
      </c>
      <c r="U1070" t="s">
        <v>537</v>
      </c>
      <c r="V1070" t="s">
        <v>79</v>
      </c>
    </row>
    <row r="1071" spans="1:22" x14ac:dyDescent="0.3">
      <c r="A1071" t="s">
        <v>4511</v>
      </c>
      <c r="B1071" t="s">
        <v>1630</v>
      </c>
      <c r="C1071" t="s">
        <v>1631</v>
      </c>
      <c r="D1071" t="s">
        <v>2587</v>
      </c>
      <c r="E1071" t="s">
        <v>378</v>
      </c>
      <c r="F1071" t="s">
        <v>282</v>
      </c>
      <c r="G1071" t="s">
        <v>48</v>
      </c>
      <c r="H1071" t="s">
        <v>268</v>
      </c>
      <c r="I1071" t="s">
        <v>29</v>
      </c>
      <c r="J1071" t="s">
        <v>162</v>
      </c>
      <c r="K1071" t="s">
        <v>31</v>
      </c>
      <c r="L1071" t="s">
        <v>2637</v>
      </c>
      <c r="M1071" t="s">
        <v>120</v>
      </c>
      <c r="N1071" t="s">
        <v>836</v>
      </c>
      <c r="O1071" t="s">
        <v>274</v>
      </c>
      <c r="P1071" t="s">
        <v>1198</v>
      </c>
      <c r="Q1071" t="s">
        <v>1097</v>
      </c>
      <c r="R1071" t="s">
        <v>4512</v>
      </c>
      <c r="S1071" t="s">
        <v>126</v>
      </c>
      <c r="T1071" t="s">
        <v>735</v>
      </c>
      <c r="U1071" t="s">
        <v>155</v>
      </c>
      <c r="V1071" t="s">
        <v>114</v>
      </c>
    </row>
    <row r="1072" spans="1:22" x14ac:dyDescent="0.3">
      <c r="A1072" t="s">
        <v>4513</v>
      </c>
      <c r="B1072" t="s">
        <v>2021</v>
      </c>
      <c r="C1072" t="s">
        <v>2022</v>
      </c>
      <c r="D1072" t="s">
        <v>991</v>
      </c>
      <c r="E1072" t="s">
        <v>87</v>
      </c>
      <c r="F1072" t="s">
        <v>26</v>
      </c>
      <c r="G1072" t="s">
        <v>580</v>
      </c>
      <c r="H1072" t="s">
        <v>28</v>
      </c>
      <c r="I1072" t="s">
        <v>29</v>
      </c>
      <c r="J1072" t="s">
        <v>30</v>
      </c>
      <c r="K1072" t="s">
        <v>230</v>
      </c>
      <c r="L1072" t="s">
        <v>663</v>
      </c>
      <c r="M1072" t="s">
        <v>1063</v>
      </c>
      <c r="N1072" t="s">
        <v>191</v>
      </c>
      <c r="O1072" t="s">
        <v>1456</v>
      </c>
      <c r="P1072" t="s">
        <v>645</v>
      </c>
      <c r="Q1072" t="s">
        <v>751</v>
      </c>
      <c r="R1072" t="s">
        <v>4514</v>
      </c>
      <c r="S1072" t="s">
        <v>182</v>
      </c>
      <c r="T1072" t="s">
        <v>440</v>
      </c>
      <c r="U1072" t="s">
        <v>385</v>
      </c>
      <c r="V1072" t="s">
        <v>114</v>
      </c>
    </row>
    <row r="1073" spans="1:22" x14ac:dyDescent="0.3">
      <c r="A1073" t="s">
        <v>4515</v>
      </c>
      <c r="B1073" t="s">
        <v>1804</v>
      </c>
      <c r="C1073" t="s">
        <v>1805</v>
      </c>
      <c r="D1073" t="s">
        <v>2587</v>
      </c>
      <c r="E1073" t="s">
        <v>65</v>
      </c>
      <c r="F1073" t="s">
        <v>66</v>
      </c>
      <c r="G1073" t="s">
        <v>118</v>
      </c>
      <c r="H1073" t="s">
        <v>268</v>
      </c>
      <c r="I1073" t="s">
        <v>29</v>
      </c>
      <c r="J1073" t="s">
        <v>162</v>
      </c>
      <c r="K1073" t="s">
        <v>89</v>
      </c>
      <c r="L1073" t="s">
        <v>1049</v>
      </c>
      <c r="M1073" t="s">
        <v>4051</v>
      </c>
      <c r="N1073" t="s">
        <v>203</v>
      </c>
      <c r="O1073" t="s">
        <v>2555</v>
      </c>
      <c r="P1073" t="s">
        <v>2642</v>
      </c>
      <c r="Q1073" t="s">
        <v>666</v>
      </c>
      <c r="R1073" t="s">
        <v>4516</v>
      </c>
      <c r="S1073" t="s">
        <v>79</v>
      </c>
      <c r="T1073" t="s">
        <v>567</v>
      </c>
      <c r="U1073" t="s">
        <v>394</v>
      </c>
      <c r="V1073" t="s">
        <v>114</v>
      </c>
    </row>
    <row r="1074" spans="1:22" x14ac:dyDescent="0.3">
      <c r="A1074" t="s">
        <v>4517</v>
      </c>
      <c r="B1074" t="s">
        <v>2163</v>
      </c>
      <c r="C1074" t="s">
        <v>2164</v>
      </c>
      <c r="D1074" t="s">
        <v>2699</v>
      </c>
      <c r="E1074" t="s">
        <v>893</v>
      </c>
      <c r="F1074" t="s">
        <v>188</v>
      </c>
      <c r="G1074" t="s">
        <v>48</v>
      </c>
      <c r="H1074" t="s">
        <v>3179</v>
      </c>
      <c r="I1074" t="s">
        <v>69</v>
      </c>
      <c r="J1074" t="s">
        <v>30</v>
      </c>
      <c r="K1074" t="s">
        <v>245</v>
      </c>
      <c r="L1074" t="s">
        <v>258</v>
      </c>
      <c r="M1074" t="s">
        <v>554</v>
      </c>
      <c r="N1074" t="s">
        <v>191</v>
      </c>
      <c r="O1074" t="s">
        <v>842</v>
      </c>
      <c r="P1074" t="s">
        <v>645</v>
      </c>
      <c r="Q1074" t="s">
        <v>206</v>
      </c>
      <c r="R1074" t="s">
        <v>4518</v>
      </c>
      <c r="S1074" t="s">
        <v>97</v>
      </c>
      <c r="T1074" t="s">
        <v>112</v>
      </c>
      <c r="U1074" t="s">
        <v>113</v>
      </c>
      <c r="V1074" t="s">
        <v>58</v>
      </c>
    </row>
    <row r="1075" spans="1:22" x14ac:dyDescent="0.3">
      <c r="A1075" t="s">
        <v>4519</v>
      </c>
      <c r="B1075" t="s">
        <v>4016</v>
      </c>
      <c r="C1075" t="s">
        <v>4017</v>
      </c>
      <c r="D1075" t="s">
        <v>4520</v>
      </c>
      <c r="E1075" t="s">
        <v>160</v>
      </c>
      <c r="F1075" t="s">
        <v>161</v>
      </c>
      <c r="G1075" t="s">
        <v>213</v>
      </c>
      <c r="H1075" t="s">
        <v>229</v>
      </c>
      <c r="I1075" t="s">
        <v>29</v>
      </c>
      <c r="J1075" t="s">
        <v>30</v>
      </c>
      <c r="K1075" t="s">
        <v>31</v>
      </c>
      <c r="L1075" t="s">
        <v>333</v>
      </c>
      <c r="M1075" t="s">
        <v>4521</v>
      </c>
      <c r="N1075" t="s">
        <v>529</v>
      </c>
      <c r="O1075" t="s">
        <v>4522</v>
      </c>
      <c r="P1075" t="s">
        <v>3065</v>
      </c>
      <c r="Q1075" t="s">
        <v>1112</v>
      </c>
      <c r="R1075" t="s">
        <v>4523</v>
      </c>
      <c r="S1075" t="s">
        <v>97</v>
      </c>
      <c r="T1075" t="s">
        <v>321</v>
      </c>
      <c r="U1075" t="s">
        <v>288</v>
      </c>
      <c r="V1075" t="s">
        <v>82</v>
      </c>
    </row>
    <row r="1076" spans="1:22" x14ac:dyDescent="0.3">
      <c r="A1076" t="s">
        <v>4524</v>
      </c>
      <c r="B1076" t="s">
        <v>3089</v>
      </c>
      <c r="C1076" t="s">
        <v>3090</v>
      </c>
      <c r="D1076" t="s">
        <v>175</v>
      </c>
      <c r="E1076" t="s">
        <v>243</v>
      </c>
      <c r="F1076" t="s">
        <v>244</v>
      </c>
      <c r="G1076" t="s">
        <v>27</v>
      </c>
      <c r="H1076" t="s">
        <v>28</v>
      </c>
      <c r="I1076" t="s">
        <v>29</v>
      </c>
      <c r="J1076" t="s">
        <v>30</v>
      </c>
      <c r="K1076" t="s">
        <v>71</v>
      </c>
      <c r="L1076" t="s">
        <v>513</v>
      </c>
      <c r="M1076" t="s">
        <v>2167</v>
      </c>
      <c r="N1076" t="s">
        <v>252</v>
      </c>
      <c r="O1076" t="s">
        <v>250</v>
      </c>
      <c r="P1076" t="s">
        <v>753</v>
      </c>
      <c r="Q1076" t="s">
        <v>286</v>
      </c>
      <c r="R1076" t="s">
        <v>2754</v>
      </c>
      <c r="S1076" t="s">
        <v>126</v>
      </c>
      <c r="T1076" t="s">
        <v>896</v>
      </c>
      <c r="U1076" t="s">
        <v>3688</v>
      </c>
      <c r="V1076" t="s">
        <v>58</v>
      </c>
    </row>
    <row r="1077" spans="1:22" x14ac:dyDescent="0.3">
      <c r="A1077" t="s">
        <v>4525</v>
      </c>
      <c r="B1077" t="s">
        <v>756</v>
      </c>
      <c r="C1077" t="s">
        <v>757</v>
      </c>
      <c r="D1077" t="s">
        <v>3259</v>
      </c>
      <c r="E1077" t="s">
        <v>244</v>
      </c>
      <c r="F1077" t="s">
        <v>244</v>
      </c>
      <c r="G1077" t="s">
        <v>147</v>
      </c>
      <c r="H1077" t="s">
        <v>49</v>
      </c>
      <c r="I1077" t="s">
        <v>69</v>
      </c>
      <c r="J1077" t="s">
        <v>70</v>
      </c>
      <c r="K1077" t="s">
        <v>245</v>
      </c>
      <c r="L1077" t="s">
        <v>1611</v>
      </c>
      <c r="M1077" t="s">
        <v>1113</v>
      </c>
      <c r="N1077" t="s">
        <v>2542</v>
      </c>
      <c r="O1077" t="s">
        <v>1490</v>
      </c>
      <c r="P1077" t="s">
        <v>1198</v>
      </c>
      <c r="Q1077" t="s">
        <v>1116</v>
      </c>
      <c r="R1077" t="s">
        <v>3453</v>
      </c>
      <c r="S1077" t="s">
        <v>97</v>
      </c>
      <c r="T1077" t="s">
        <v>433</v>
      </c>
      <c r="U1077" t="s">
        <v>744</v>
      </c>
      <c r="V1077" t="s">
        <v>114</v>
      </c>
    </row>
    <row r="1078" spans="1:22" x14ac:dyDescent="0.3">
      <c r="A1078" t="s">
        <v>4526</v>
      </c>
      <c r="B1078" t="s">
        <v>2351</v>
      </c>
      <c r="C1078" t="s">
        <v>2352</v>
      </c>
      <c r="D1078" t="s">
        <v>2091</v>
      </c>
      <c r="E1078" t="s">
        <v>176</v>
      </c>
      <c r="F1078" t="s">
        <v>161</v>
      </c>
      <c r="G1078" t="s">
        <v>118</v>
      </c>
      <c r="H1078" t="s">
        <v>49</v>
      </c>
      <c r="I1078" t="s">
        <v>69</v>
      </c>
      <c r="J1078" t="s">
        <v>30</v>
      </c>
      <c r="K1078" t="s">
        <v>71</v>
      </c>
      <c r="L1078" t="s">
        <v>362</v>
      </c>
      <c r="M1078" t="s">
        <v>4527</v>
      </c>
      <c r="N1078" t="s">
        <v>179</v>
      </c>
      <c r="O1078" t="s">
        <v>4527</v>
      </c>
      <c r="P1078" t="s">
        <v>1889</v>
      </c>
      <c r="Q1078" t="s">
        <v>1183</v>
      </c>
      <c r="R1078" t="s">
        <v>3996</v>
      </c>
      <c r="S1078" t="s">
        <v>79</v>
      </c>
      <c r="T1078" t="s">
        <v>604</v>
      </c>
      <c r="U1078" t="s">
        <v>362</v>
      </c>
      <c r="V1078" t="s">
        <v>58</v>
      </c>
    </row>
    <row r="1079" spans="1:22" x14ac:dyDescent="0.3">
      <c r="A1079" t="s">
        <v>4528</v>
      </c>
      <c r="B1079" t="s">
        <v>414</v>
      </c>
      <c r="C1079" t="s">
        <v>415</v>
      </c>
      <c r="D1079" t="s">
        <v>2946</v>
      </c>
      <c r="E1079" t="s">
        <v>243</v>
      </c>
      <c r="F1079" t="s">
        <v>244</v>
      </c>
      <c r="G1079" t="s">
        <v>27</v>
      </c>
      <c r="H1079" t="s">
        <v>214</v>
      </c>
      <c r="I1079" t="s">
        <v>69</v>
      </c>
      <c r="J1079" t="s">
        <v>30</v>
      </c>
      <c r="K1079" t="s">
        <v>293</v>
      </c>
      <c r="L1079" t="s">
        <v>691</v>
      </c>
      <c r="M1079" t="s">
        <v>931</v>
      </c>
      <c r="N1079" t="s">
        <v>112</v>
      </c>
      <c r="O1079" t="s">
        <v>1430</v>
      </c>
      <c r="P1079" t="s">
        <v>77</v>
      </c>
      <c r="Q1079" t="s">
        <v>165</v>
      </c>
      <c r="R1079" t="s">
        <v>4529</v>
      </c>
      <c r="S1079" t="s">
        <v>97</v>
      </c>
      <c r="T1079" t="s">
        <v>384</v>
      </c>
      <c r="U1079" t="s">
        <v>98</v>
      </c>
      <c r="V1079" t="s">
        <v>79</v>
      </c>
    </row>
    <row r="1080" spans="1:22" x14ac:dyDescent="0.3">
      <c r="A1080" t="s">
        <v>4530</v>
      </c>
      <c r="B1080" t="s">
        <v>2504</v>
      </c>
      <c r="C1080" t="s">
        <v>2505</v>
      </c>
      <c r="D1080" t="s">
        <v>4531</v>
      </c>
      <c r="E1080" t="s">
        <v>161</v>
      </c>
      <c r="F1080" t="s">
        <v>161</v>
      </c>
      <c r="G1080" t="s">
        <v>118</v>
      </c>
      <c r="H1080" t="s">
        <v>104</v>
      </c>
      <c r="I1080" t="s">
        <v>69</v>
      </c>
      <c r="J1080" t="s">
        <v>70</v>
      </c>
      <c r="K1080" t="s">
        <v>215</v>
      </c>
      <c r="L1080" t="s">
        <v>1139</v>
      </c>
      <c r="M1080" t="s">
        <v>4532</v>
      </c>
      <c r="N1080" t="s">
        <v>836</v>
      </c>
      <c r="O1080" t="s">
        <v>1614</v>
      </c>
      <c r="P1080" t="s">
        <v>73</v>
      </c>
      <c r="Q1080" t="s">
        <v>1090</v>
      </c>
      <c r="R1080" t="s">
        <v>4533</v>
      </c>
      <c r="S1080" t="s">
        <v>79</v>
      </c>
      <c r="T1080" t="s">
        <v>233</v>
      </c>
      <c r="U1080" t="s">
        <v>171</v>
      </c>
      <c r="V1080" t="s">
        <v>79</v>
      </c>
    </row>
    <row r="1081" spans="1:22" x14ac:dyDescent="0.3">
      <c r="A1081" t="s">
        <v>4534</v>
      </c>
      <c r="B1081" t="s">
        <v>1972</v>
      </c>
      <c r="C1081" t="s">
        <v>1973</v>
      </c>
      <c r="D1081" t="s">
        <v>2256</v>
      </c>
      <c r="E1081" t="s">
        <v>160</v>
      </c>
      <c r="F1081" t="s">
        <v>161</v>
      </c>
      <c r="G1081" t="s">
        <v>48</v>
      </c>
      <c r="H1081" t="s">
        <v>28</v>
      </c>
      <c r="I1081" t="s">
        <v>69</v>
      </c>
      <c r="J1081" t="s">
        <v>30</v>
      </c>
      <c r="K1081" t="s">
        <v>50</v>
      </c>
      <c r="L1081" t="s">
        <v>2171</v>
      </c>
      <c r="M1081" t="s">
        <v>609</v>
      </c>
      <c r="N1081" t="s">
        <v>179</v>
      </c>
      <c r="O1081" t="s">
        <v>609</v>
      </c>
      <c r="P1081" t="s">
        <v>805</v>
      </c>
      <c r="Q1081" t="s">
        <v>347</v>
      </c>
      <c r="R1081" t="s">
        <v>4535</v>
      </c>
      <c r="S1081" t="s">
        <v>126</v>
      </c>
      <c r="T1081" t="s">
        <v>529</v>
      </c>
      <c r="U1081" t="s">
        <v>472</v>
      </c>
      <c r="V1081" t="s">
        <v>79</v>
      </c>
    </row>
    <row r="1082" spans="1:22" x14ac:dyDescent="0.3">
      <c r="A1082" t="s">
        <v>4536</v>
      </c>
      <c r="B1082" t="s">
        <v>2563</v>
      </c>
      <c r="C1082" t="s">
        <v>2564</v>
      </c>
      <c r="D1082" t="s">
        <v>3463</v>
      </c>
      <c r="E1082" t="s">
        <v>66</v>
      </c>
      <c r="F1082" t="s">
        <v>66</v>
      </c>
      <c r="G1082" t="s">
        <v>27</v>
      </c>
      <c r="H1082" t="s">
        <v>88</v>
      </c>
      <c r="I1082" t="s">
        <v>69</v>
      </c>
      <c r="J1082" t="s">
        <v>257</v>
      </c>
      <c r="K1082" t="s">
        <v>89</v>
      </c>
      <c r="L1082" t="s">
        <v>983</v>
      </c>
      <c r="M1082" t="s">
        <v>151</v>
      </c>
      <c r="N1082" t="s">
        <v>179</v>
      </c>
      <c r="O1082" t="s">
        <v>151</v>
      </c>
      <c r="P1082" t="s">
        <v>2378</v>
      </c>
      <c r="Q1082" t="s">
        <v>208</v>
      </c>
      <c r="R1082" t="s">
        <v>4537</v>
      </c>
      <c r="S1082" t="s">
        <v>182</v>
      </c>
      <c r="T1082" t="s">
        <v>369</v>
      </c>
      <c r="U1082" t="s">
        <v>362</v>
      </c>
      <c r="V1082" t="s">
        <v>79</v>
      </c>
    </row>
    <row r="1083" spans="1:22" x14ac:dyDescent="0.3">
      <c r="A1083" t="s">
        <v>4538</v>
      </c>
      <c r="B1083" t="s">
        <v>2122</v>
      </c>
      <c r="C1083" t="s">
        <v>2123</v>
      </c>
      <c r="D1083" t="s">
        <v>4029</v>
      </c>
      <c r="E1083" t="s">
        <v>730</v>
      </c>
      <c r="F1083" t="s">
        <v>26</v>
      </c>
      <c r="G1083" t="s">
        <v>147</v>
      </c>
      <c r="H1083" t="s">
        <v>268</v>
      </c>
      <c r="I1083" t="s">
        <v>69</v>
      </c>
      <c r="J1083" t="s">
        <v>30</v>
      </c>
      <c r="K1083" t="s">
        <v>50</v>
      </c>
      <c r="L1083" t="s">
        <v>269</v>
      </c>
      <c r="M1083" t="s">
        <v>91</v>
      </c>
      <c r="N1083" t="s">
        <v>170</v>
      </c>
      <c r="O1083" t="s">
        <v>1527</v>
      </c>
      <c r="P1083" t="s">
        <v>94</v>
      </c>
      <c r="Q1083" t="s">
        <v>1509</v>
      </c>
      <c r="R1083" t="s">
        <v>4539</v>
      </c>
      <c r="S1083" t="s">
        <v>58</v>
      </c>
      <c r="T1083" t="s">
        <v>361</v>
      </c>
      <c r="U1083" t="s">
        <v>867</v>
      </c>
      <c r="V1083" t="s">
        <v>114</v>
      </c>
    </row>
    <row r="1084" spans="1:22" x14ac:dyDescent="0.3">
      <c r="A1084" t="s">
        <v>4540</v>
      </c>
      <c r="B1084" t="s">
        <v>1257</v>
      </c>
      <c r="C1084" t="s">
        <v>1258</v>
      </c>
      <c r="D1084" t="s">
        <v>4010</v>
      </c>
      <c r="E1084" t="s">
        <v>133</v>
      </c>
      <c r="F1084" t="s">
        <v>134</v>
      </c>
      <c r="G1084" t="s">
        <v>580</v>
      </c>
      <c r="H1084" t="s">
        <v>104</v>
      </c>
      <c r="I1084" t="s">
        <v>69</v>
      </c>
      <c r="J1084" t="s">
        <v>30</v>
      </c>
      <c r="K1084" t="s">
        <v>50</v>
      </c>
      <c r="L1084" t="s">
        <v>1562</v>
      </c>
      <c r="M1084" t="s">
        <v>2449</v>
      </c>
      <c r="N1084" t="s">
        <v>308</v>
      </c>
      <c r="O1084" t="s">
        <v>999</v>
      </c>
      <c r="P1084" t="s">
        <v>52</v>
      </c>
      <c r="Q1084" t="s">
        <v>74</v>
      </c>
      <c r="R1084" t="s">
        <v>4541</v>
      </c>
      <c r="S1084" t="s">
        <v>126</v>
      </c>
      <c r="T1084" t="s">
        <v>613</v>
      </c>
      <c r="U1084" t="s">
        <v>128</v>
      </c>
      <c r="V1084" t="s">
        <v>79</v>
      </c>
    </row>
    <row r="1085" spans="1:22" x14ac:dyDescent="0.3">
      <c r="A1085" t="s">
        <v>4542</v>
      </c>
      <c r="B1085" t="s">
        <v>1325</v>
      </c>
      <c r="C1085" t="s">
        <v>1326</v>
      </c>
      <c r="D1085" t="s">
        <v>2769</v>
      </c>
      <c r="E1085" t="s">
        <v>161</v>
      </c>
      <c r="F1085" t="s">
        <v>161</v>
      </c>
      <c r="G1085" t="s">
        <v>103</v>
      </c>
      <c r="H1085" t="s">
        <v>268</v>
      </c>
      <c r="I1085" t="s">
        <v>69</v>
      </c>
      <c r="J1085" t="s">
        <v>30</v>
      </c>
      <c r="K1085" t="s">
        <v>200</v>
      </c>
      <c r="L1085" t="s">
        <v>135</v>
      </c>
      <c r="M1085" t="s">
        <v>4543</v>
      </c>
      <c r="N1085" t="s">
        <v>179</v>
      </c>
      <c r="O1085" t="s">
        <v>4543</v>
      </c>
      <c r="P1085" t="s">
        <v>1069</v>
      </c>
      <c r="Q1085" t="s">
        <v>1888</v>
      </c>
      <c r="R1085" t="s">
        <v>4544</v>
      </c>
      <c r="S1085" t="s">
        <v>126</v>
      </c>
      <c r="T1085" t="s">
        <v>1266</v>
      </c>
      <c r="U1085" t="s">
        <v>472</v>
      </c>
      <c r="V1085" t="s">
        <v>82</v>
      </c>
    </row>
    <row r="1086" spans="1:22" x14ac:dyDescent="0.3">
      <c r="A1086" t="s">
        <v>4545</v>
      </c>
      <c r="B1086" t="s">
        <v>727</v>
      </c>
      <c r="C1086" t="s">
        <v>728</v>
      </c>
      <c r="D1086" t="s">
        <v>4546</v>
      </c>
      <c r="E1086" t="s">
        <v>65</v>
      </c>
      <c r="F1086" t="s">
        <v>66</v>
      </c>
      <c r="G1086" t="s">
        <v>147</v>
      </c>
      <c r="H1086" t="s">
        <v>88</v>
      </c>
      <c r="I1086" t="s">
        <v>69</v>
      </c>
      <c r="J1086" t="s">
        <v>30</v>
      </c>
      <c r="K1086" t="s">
        <v>31</v>
      </c>
      <c r="L1086" t="s">
        <v>1037</v>
      </c>
      <c r="M1086" t="s">
        <v>798</v>
      </c>
      <c r="N1086" t="s">
        <v>1013</v>
      </c>
      <c r="O1086" t="s">
        <v>2932</v>
      </c>
      <c r="P1086" t="s">
        <v>881</v>
      </c>
      <c r="Q1086" t="s">
        <v>593</v>
      </c>
      <c r="R1086" t="s">
        <v>4547</v>
      </c>
      <c r="S1086" t="s">
        <v>39</v>
      </c>
      <c r="T1086" t="s">
        <v>150</v>
      </c>
      <c r="U1086" t="s">
        <v>98</v>
      </c>
      <c r="V1086" t="s">
        <v>114</v>
      </c>
    </row>
    <row r="1087" spans="1:22" x14ac:dyDescent="0.3">
      <c r="A1087" t="s">
        <v>4548</v>
      </c>
      <c r="B1087" t="s">
        <v>2533</v>
      </c>
      <c r="C1087" t="s">
        <v>2534</v>
      </c>
      <c r="D1087" t="s">
        <v>884</v>
      </c>
      <c r="E1087" t="s">
        <v>399</v>
      </c>
      <c r="F1087" t="s">
        <v>188</v>
      </c>
      <c r="G1087" t="s">
        <v>103</v>
      </c>
      <c r="H1087" t="s">
        <v>28</v>
      </c>
      <c r="I1087" t="s">
        <v>69</v>
      </c>
      <c r="J1087" t="s">
        <v>30</v>
      </c>
      <c r="K1087" t="s">
        <v>215</v>
      </c>
      <c r="L1087" t="s">
        <v>894</v>
      </c>
      <c r="M1087" t="s">
        <v>1254</v>
      </c>
      <c r="N1087" t="s">
        <v>179</v>
      </c>
      <c r="O1087" t="s">
        <v>1254</v>
      </c>
      <c r="P1087" t="s">
        <v>792</v>
      </c>
      <c r="Q1087" t="s">
        <v>553</v>
      </c>
      <c r="R1087" t="s">
        <v>4549</v>
      </c>
      <c r="S1087" t="s">
        <v>79</v>
      </c>
      <c r="T1087" t="s">
        <v>170</v>
      </c>
      <c r="U1087" t="s">
        <v>300</v>
      </c>
      <c r="V1087" t="s">
        <v>58</v>
      </c>
    </row>
    <row r="1088" spans="1:22" x14ac:dyDescent="0.3">
      <c r="A1088" t="s">
        <v>4550</v>
      </c>
      <c r="B1088" t="s">
        <v>1359</v>
      </c>
      <c r="C1088" t="s">
        <v>1360</v>
      </c>
      <c r="D1088" t="s">
        <v>2023</v>
      </c>
      <c r="E1088" t="s">
        <v>160</v>
      </c>
      <c r="F1088" t="s">
        <v>161</v>
      </c>
      <c r="G1088" t="s">
        <v>48</v>
      </c>
      <c r="H1088" t="s">
        <v>68</v>
      </c>
      <c r="I1088" t="s">
        <v>29</v>
      </c>
      <c r="J1088" t="s">
        <v>30</v>
      </c>
      <c r="K1088" t="s">
        <v>200</v>
      </c>
      <c r="L1088" t="s">
        <v>189</v>
      </c>
      <c r="M1088" t="s">
        <v>4551</v>
      </c>
      <c r="N1088" t="s">
        <v>2160</v>
      </c>
      <c r="O1088" t="s">
        <v>4552</v>
      </c>
      <c r="P1088" t="s">
        <v>2042</v>
      </c>
      <c r="Q1088" t="s">
        <v>361</v>
      </c>
      <c r="R1088" t="s">
        <v>4553</v>
      </c>
      <c r="S1088" t="s">
        <v>58</v>
      </c>
      <c r="T1088" t="s">
        <v>110</v>
      </c>
      <c r="U1088" t="s">
        <v>362</v>
      </c>
      <c r="V1088" t="s">
        <v>82</v>
      </c>
    </row>
    <row r="1089" spans="1:22" x14ac:dyDescent="0.3">
      <c r="A1089" t="s">
        <v>4554</v>
      </c>
      <c r="B1089" t="s">
        <v>3342</v>
      </c>
      <c r="C1089" t="s">
        <v>3343</v>
      </c>
      <c r="D1089" t="s">
        <v>4555</v>
      </c>
      <c r="E1089" t="s">
        <v>227</v>
      </c>
      <c r="F1089" t="s">
        <v>228</v>
      </c>
      <c r="G1089" t="s">
        <v>27</v>
      </c>
      <c r="H1089" t="s">
        <v>28</v>
      </c>
      <c r="I1089" t="s">
        <v>69</v>
      </c>
      <c r="J1089" t="s">
        <v>70</v>
      </c>
      <c r="K1089" t="s">
        <v>89</v>
      </c>
      <c r="L1089" t="s">
        <v>362</v>
      </c>
      <c r="M1089" t="s">
        <v>4556</v>
      </c>
      <c r="N1089" t="s">
        <v>179</v>
      </c>
      <c r="O1089" t="s">
        <v>4556</v>
      </c>
      <c r="P1089" t="s">
        <v>3632</v>
      </c>
      <c r="Q1089" t="s">
        <v>873</v>
      </c>
      <c r="R1089" t="s">
        <v>4557</v>
      </c>
      <c r="S1089" t="s">
        <v>97</v>
      </c>
      <c r="T1089" t="s">
        <v>655</v>
      </c>
      <c r="U1089" t="s">
        <v>867</v>
      </c>
      <c r="V1089" t="s">
        <v>82</v>
      </c>
    </row>
    <row r="1090" spans="1:22" x14ac:dyDescent="0.3">
      <c r="A1090" t="s">
        <v>4558</v>
      </c>
      <c r="B1090" t="s">
        <v>3638</v>
      </c>
      <c r="C1090" t="s">
        <v>3639</v>
      </c>
      <c r="D1090" t="s">
        <v>1537</v>
      </c>
      <c r="E1090" t="s">
        <v>1321</v>
      </c>
      <c r="F1090" t="s">
        <v>228</v>
      </c>
      <c r="G1090" t="s">
        <v>147</v>
      </c>
      <c r="H1090" t="s">
        <v>68</v>
      </c>
      <c r="I1090" t="s">
        <v>29</v>
      </c>
      <c r="J1090" t="s">
        <v>30</v>
      </c>
      <c r="K1090" t="s">
        <v>89</v>
      </c>
      <c r="L1090" t="s">
        <v>598</v>
      </c>
      <c r="M1090" t="s">
        <v>947</v>
      </c>
      <c r="N1090" t="s">
        <v>179</v>
      </c>
      <c r="O1090" t="s">
        <v>947</v>
      </c>
      <c r="P1090" t="s">
        <v>2537</v>
      </c>
      <c r="Q1090" t="s">
        <v>138</v>
      </c>
      <c r="R1090" t="s">
        <v>4559</v>
      </c>
      <c r="S1090" t="s">
        <v>39</v>
      </c>
      <c r="T1090" t="s">
        <v>637</v>
      </c>
      <c r="U1090" t="s">
        <v>98</v>
      </c>
      <c r="V1090" t="s">
        <v>58</v>
      </c>
    </row>
    <row r="1091" spans="1:22" x14ac:dyDescent="0.3">
      <c r="A1091" t="s">
        <v>4560</v>
      </c>
      <c r="B1091" t="s">
        <v>1881</v>
      </c>
      <c r="C1091" t="s">
        <v>1882</v>
      </c>
      <c r="D1091" t="s">
        <v>3080</v>
      </c>
      <c r="E1091" t="s">
        <v>47</v>
      </c>
      <c r="F1091" t="s">
        <v>26</v>
      </c>
      <c r="G1091" t="s">
        <v>580</v>
      </c>
      <c r="H1091" t="s">
        <v>229</v>
      </c>
      <c r="I1091" t="s">
        <v>69</v>
      </c>
      <c r="J1091" t="s">
        <v>70</v>
      </c>
      <c r="K1091" t="s">
        <v>293</v>
      </c>
      <c r="L1091" t="s">
        <v>871</v>
      </c>
      <c r="M1091" t="s">
        <v>73</v>
      </c>
      <c r="N1091" t="s">
        <v>179</v>
      </c>
      <c r="O1091" t="s">
        <v>73</v>
      </c>
      <c r="P1091" t="s">
        <v>1260</v>
      </c>
      <c r="Q1091" t="s">
        <v>153</v>
      </c>
      <c r="R1091" t="s">
        <v>3265</v>
      </c>
      <c r="S1091" t="s">
        <v>79</v>
      </c>
      <c r="T1091" t="s">
        <v>567</v>
      </c>
      <c r="U1091" t="s">
        <v>423</v>
      </c>
      <c r="V1091" t="s">
        <v>114</v>
      </c>
    </row>
    <row r="1092" spans="1:22" x14ac:dyDescent="0.3">
      <c r="A1092" t="s">
        <v>4561</v>
      </c>
      <c r="B1092" t="s">
        <v>3863</v>
      </c>
      <c r="C1092" t="s">
        <v>3864</v>
      </c>
      <c r="D1092" t="s">
        <v>2593</v>
      </c>
      <c r="E1092" t="s">
        <v>354</v>
      </c>
      <c r="F1092" t="s">
        <v>134</v>
      </c>
      <c r="G1092" t="s">
        <v>67</v>
      </c>
      <c r="H1092" t="s">
        <v>88</v>
      </c>
      <c r="I1092" t="s">
        <v>29</v>
      </c>
      <c r="J1092" t="s">
        <v>162</v>
      </c>
      <c r="K1092" t="s">
        <v>50</v>
      </c>
      <c r="L1092" t="s">
        <v>487</v>
      </c>
      <c r="M1092" t="s">
        <v>3522</v>
      </c>
      <c r="N1092" t="s">
        <v>179</v>
      </c>
      <c r="O1092" t="s">
        <v>3522</v>
      </c>
      <c r="P1092" t="s">
        <v>235</v>
      </c>
      <c r="Q1092" t="s">
        <v>1064</v>
      </c>
      <c r="R1092" t="s">
        <v>4562</v>
      </c>
      <c r="S1092" t="s">
        <v>126</v>
      </c>
      <c r="T1092" t="s">
        <v>751</v>
      </c>
      <c r="U1092" t="s">
        <v>300</v>
      </c>
      <c r="V1092" t="s">
        <v>42</v>
      </c>
    </row>
    <row r="1093" spans="1:22" x14ac:dyDescent="0.3">
      <c r="A1093" t="s">
        <v>4563</v>
      </c>
      <c r="B1093" t="s">
        <v>3448</v>
      </c>
      <c r="C1093" t="s">
        <v>3449</v>
      </c>
      <c r="D1093" t="s">
        <v>3715</v>
      </c>
      <c r="E1093" t="s">
        <v>228</v>
      </c>
      <c r="F1093" t="s">
        <v>228</v>
      </c>
      <c r="G1093" t="s">
        <v>27</v>
      </c>
      <c r="H1093" t="s">
        <v>68</v>
      </c>
      <c r="I1093" t="s">
        <v>69</v>
      </c>
      <c r="J1093" t="s">
        <v>30</v>
      </c>
      <c r="K1093" t="s">
        <v>89</v>
      </c>
      <c r="L1093" t="s">
        <v>333</v>
      </c>
      <c r="M1093" t="s">
        <v>1604</v>
      </c>
      <c r="N1093" t="s">
        <v>1162</v>
      </c>
      <c r="O1093" t="s">
        <v>643</v>
      </c>
      <c r="P1093" t="s">
        <v>1681</v>
      </c>
      <c r="Q1093" t="s">
        <v>489</v>
      </c>
      <c r="R1093" t="s">
        <v>4564</v>
      </c>
      <c r="S1093" t="s">
        <v>126</v>
      </c>
      <c r="T1093" t="s">
        <v>1230</v>
      </c>
      <c r="U1093" t="s">
        <v>508</v>
      </c>
      <c r="V1093" t="s">
        <v>82</v>
      </c>
    </row>
    <row r="1094" spans="1:22" x14ac:dyDescent="0.3">
      <c r="A1094" t="s">
        <v>4565</v>
      </c>
      <c r="B1094" t="s">
        <v>84</v>
      </c>
      <c r="C1094" t="s">
        <v>85</v>
      </c>
      <c r="D1094" t="s">
        <v>4566</v>
      </c>
      <c r="E1094" t="s">
        <v>227</v>
      </c>
      <c r="F1094" t="s">
        <v>228</v>
      </c>
      <c r="G1094" t="s">
        <v>48</v>
      </c>
      <c r="H1094" t="s">
        <v>104</v>
      </c>
      <c r="I1094" t="s">
        <v>29</v>
      </c>
      <c r="J1094" t="s">
        <v>162</v>
      </c>
      <c r="K1094" t="s">
        <v>245</v>
      </c>
      <c r="L1094" t="s">
        <v>561</v>
      </c>
      <c r="M1094" t="s">
        <v>1996</v>
      </c>
      <c r="N1094" t="s">
        <v>448</v>
      </c>
      <c r="O1094" t="s">
        <v>470</v>
      </c>
      <c r="P1094" t="s">
        <v>627</v>
      </c>
      <c r="Q1094" t="s">
        <v>908</v>
      </c>
      <c r="R1094" t="s">
        <v>4567</v>
      </c>
      <c r="S1094" t="s">
        <v>58</v>
      </c>
      <c r="T1094" t="s">
        <v>613</v>
      </c>
      <c r="U1094" t="s">
        <v>98</v>
      </c>
      <c r="V1094" t="s">
        <v>42</v>
      </c>
    </row>
    <row r="1095" spans="1:22" x14ac:dyDescent="0.3">
      <c r="A1095" t="s">
        <v>4568</v>
      </c>
      <c r="B1095" t="s">
        <v>1921</v>
      </c>
      <c r="C1095" t="s">
        <v>1922</v>
      </c>
      <c r="D1095" t="s">
        <v>4569</v>
      </c>
      <c r="E1095" t="s">
        <v>161</v>
      </c>
      <c r="F1095" t="s">
        <v>161</v>
      </c>
      <c r="G1095" t="s">
        <v>48</v>
      </c>
      <c r="H1095" t="s">
        <v>229</v>
      </c>
      <c r="I1095" t="s">
        <v>29</v>
      </c>
      <c r="J1095" t="s">
        <v>30</v>
      </c>
      <c r="K1095" t="s">
        <v>89</v>
      </c>
      <c r="L1095" t="s">
        <v>682</v>
      </c>
      <c r="M1095" t="s">
        <v>2299</v>
      </c>
      <c r="N1095" t="s">
        <v>179</v>
      </c>
      <c r="O1095" t="s">
        <v>2299</v>
      </c>
      <c r="P1095" t="s">
        <v>1827</v>
      </c>
      <c r="Q1095" t="s">
        <v>180</v>
      </c>
      <c r="R1095" t="s">
        <v>903</v>
      </c>
      <c r="S1095" t="s">
        <v>97</v>
      </c>
      <c r="T1095" t="s">
        <v>448</v>
      </c>
      <c r="U1095" t="s">
        <v>385</v>
      </c>
      <c r="V1095" t="s">
        <v>79</v>
      </c>
    </row>
    <row r="1096" spans="1:22" x14ac:dyDescent="0.3">
      <c r="A1096" t="s">
        <v>4570</v>
      </c>
      <c r="B1096" t="s">
        <v>1195</v>
      </c>
      <c r="C1096" t="s">
        <v>1196</v>
      </c>
      <c r="D1096" t="s">
        <v>1619</v>
      </c>
      <c r="E1096" t="s">
        <v>228</v>
      </c>
      <c r="F1096" t="s">
        <v>228</v>
      </c>
      <c r="G1096" t="s">
        <v>27</v>
      </c>
      <c r="H1096" t="s">
        <v>229</v>
      </c>
      <c r="I1096" t="s">
        <v>29</v>
      </c>
      <c r="J1096" t="s">
        <v>162</v>
      </c>
      <c r="K1096" t="s">
        <v>293</v>
      </c>
      <c r="L1096" t="s">
        <v>216</v>
      </c>
      <c r="M1096" t="s">
        <v>4571</v>
      </c>
      <c r="N1096" t="s">
        <v>392</v>
      </c>
      <c r="O1096" t="s">
        <v>939</v>
      </c>
      <c r="P1096" t="s">
        <v>992</v>
      </c>
      <c r="Q1096" t="s">
        <v>421</v>
      </c>
      <c r="R1096" t="s">
        <v>4572</v>
      </c>
      <c r="S1096" t="s">
        <v>126</v>
      </c>
      <c r="T1096" t="s">
        <v>55</v>
      </c>
      <c r="U1096" t="s">
        <v>300</v>
      </c>
      <c r="V1096" t="s">
        <v>79</v>
      </c>
    </row>
    <row r="1097" spans="1:22" x14ac:dyDescent="0.3">
      <c r="A1097" t="s">
        <v>4573</v>
      </c>
      <c r="B1097" t="s">
        <v>2224</v>
      </c>
      <c r="C1097" t="s">
        <v>2225</v>
      </c>
      <c r="D1097" t="s">
        <v>4574</v>
      </c>
      <c r="E1097" t="s">
        <v>342</v>
      </c>
      <c r="F1097" t="s">
        <v>244</v>
      </c>
      <c r="G1097" t="s">
        <v>147</v>
      </c>
      <c r="H1097" t="s">
        <v>88</v>
      </c>
      <c r="I1097" t="s">
        <v>29</v>
      </c>
      <c r="J1097" t="s">
        <v>162</v>
      </c>
      <c r="K1097" t="s">
        <v>230</v>
      </c>
      <c r="L1097" t="s">
        <v>1987</v>
      </c>
      <c r="M1097" t="s">
        <v>804</v>
      </c>
      <c r="N1097" t="s">
        <v>710</v>
      </c>
      <c r="O1097" t="s">
        <v>403</v>
      </c>
      <c r="P1097" t="s">
        <v>152</v>
      </c>
      <c r="Q1097" t="s">
        <v>180</v>
      </c>
      <c r="R1097" t="s">
        <v>4575</v>
      </c>
      <c r="S1097" t="s">
        <v>182</v>
      </c>
      <c r="T1097" t="s">
        <v>1162</v>
      </c>
      <c r="U1097" t="s">
        <v>98</v>
      </c>
      <c r="V1097" t="s">
        <v>58</v>
      </c>
    </row>
    <row r="1098" spans="1:22" x14ac:dyDescent="0.3">
      <c r="A1098" t="s">
        <v>4576</v>
      </c>
      <c r="B1098" t="s">
        <v>2191</v>
      </c>
      <c r="C1098" t="s">
        <v>2192</v>
      </c>
      <c r="D1098" t="s">
        <v>4577</v>
      </c>
      <c r="E1098" t="s">
        <v>228</v>
      </c>
      <c r="F1098" t="s">
        <v>228</v>
      </c>
      <c r="G1098" t="s">
        <v>118</v>
      </c>
      <c r="H1098" t="s">
        <v>68</v>
      </c>
      <c r="I1098" t="s">
        <v>29</v>
      </c>
      <c r="J1098" t="s">
        <v>162</v>
      </c>
      <c r="K1098" t="s">
        <v>89</v>
      </c>
      <c r="L1098" t="s">
        <v>177</v>
      </c>
      <c r="M1098" t="s">
        <v>470</v>
      </c>
      <c r="N1098" t="s">
        <v>299</v>
      </c>
      <c r="O1098" t="s">
        <v>1150</v>
      </c>
      <c r="P1098" t="s">
        <v>565</v>
      </c>
      <c r="Q1098" t="s">
        <v>1430</v>
      </c>
      <c r="R1098" t="s">
        <v>4578</v>
      </c>
      <c r="S1098" t="s">
        <v>79</v>
      </c>
      <c r="T1098" t="s">
        <v>140</v>
      </c>
      <c r="U1098" t="s">
        <v>98</v>
      </c>
      <c r="V1098" t="s">
        <v>42</v>
      </c>
    </row>
    <row r="1099" spans="1:22" x14ac:dyDescent="0.3">
      <c r="A1099" t="s">
        <v>4579</v>
      </c>
      <c r="B1099" t="s">
        <v>157</v>
      </c>
      <c r="C1099" t="s">
        <v>158</v>
      </c>
      <c r="D1099" t="s">
        <v>4580</v>
      </c>
      <c r="E1099" t="s">
        <v>228</v>
      </c>
      <c r="F1099" t="s">
        <v>228</v>
      </c>
      <c r="G1099" t="s">
        <v>118</v>
      </c>
      <c r="H1099" t="s">
        <v>268</v>
      </c>
      <c r="I1099" t="s">
        <v>29</v>
      </c>
      <c r="J1099" t="s">
        <v>30</v>
      </c>
      <c r="K1099" t="s">
        <v>245</v>
      </c>
      <c r="L1099" t="s">
        <v>362</v>
      </c>
      <c r="M1099" t="s">
        <v>562</v>
      </c>
      <c r="N1099" t="s">
        <v>237</v>
      </c>
      <c r="O1099" t="s">
        <v>4581</v>
      </c>
      <c r="P1099" t="s">
        <v>2237</v>
      </c>
      <c r="Q1099" t="s">
        <v>655</v>
      </c>
      <c r="R1099" t="s">
        <v>4582</v>
      </c>
      <c r="S1099" t="s">
        <v>58</v>
      </c>
      <c r="T1099" t="s">
        <v>1116</v>
      </c>
      <c r="U1099" t="s">
        <v>362</v>
      </c>
      <c r="V1099" t="s">
        <v>79</v>
      </c>
    </row>
    <row r="1100" spans="1:22" x14ac:dyDescent="0.3">
      <c r="A1100" t="s">
        <v>4583</v>
      </c>
      <c r="B1100" t="s">
        <v>3775</v>
      </c>
      <c r="C1100" t="s">
        <v>3776</v>
      </c>
      <c r="D1100" t="s">
        <v>4584</v>
      </c>
      <c r="E1100" t="s">
        <v>176</v>
      </c>
      <c r="F1100" t="s">
        <v>161</v>
      </c>
      <c r="G1100" t="s">
        <v>67</v>
      </c>
      <c r="H1100" t="s">
        <v>28</v>
      </c>
      <c r="I1100" t="s">
        <v>69</v>
      </c>
      <c r="J1100" t="s">
        <v>30</v>
      </c>
      <c r="K1100" t="s">
        <v>31</v>
      </c>
      <c r="L1100" t="s">
        <v>598</v>
      </c>
      <c r="M1100" t="s">
        <v>790</v>
      </c>
      <c r="N1100" t="s">
        <v>1116</v>
      </c>
      <c r="O1100" t="s">
        <v>4268</v>
      </c>
      <c r="P1100" t="s">
        <v>1604</v>
      </c>
      <c r="Q1100" t="s">
        <v>368</v>
      </c>
      <c r="R1100" t="s">
        <v>4585</v>
      </c>
      <c r="S1100" t="s">
        <v>39</v>
      </c>
      <c r="T1100" t="s">
        <v>441</v>
      </c>
      <c r="U1100" t="s">
        <v>128</v>
      </c>
      <c r="V1100" t="s">
        <v>58</v>
      </c>
    </row>
    <row r="1101" spans="1:22" x14ac:dyDescent="0.3">
      <c r="A1101" t="s">
        <v>4586</v>
      </c>
      <c r="B1101" t="s">
        <v>4155</v>
      </c>
      <c r="C1101" t="s">
        <v>4156</v>
      </c>
      <c r="D1101" t="s">
        <v>2623</v>
      </c>
      <c r="E1101" t="s">
        <v>65</v>
      </c>
      <c r="F1101" t="s">
        <v>66</v>
      </c>
      <c r="G1101" t="s">
        <v>48</v>
      </c>
      <c r="H1101" t="s">
        <v>268</v>
      </c>
      <c r="I1101" t="s">
        <v>29</v>
      </c>
      <c r="J1101" t="s">
        <v>30</v>
      </c>
      <c r="K1101" t="s">
        <v>245</v>
      </c>
      <c r="L1101" t="s">
        <v>691</v>
      </c>
      <c r="M1101" t="s">
        <v>599</v>
      </c>
      <c r="N1101" t="s">
        <v>468</v>
      </c>
      <c r="O1101" t="s">
        <v>3397</v>
      </c>
      <c r="P1101" t="s">
        <v>535</v>
      </c>
      <c r="Q1101" t="s">
        <v>208</v>
      </c>
      <c r="R1101" t="s">
        <v>4587</v>
      </c>
      <c r="S1101" t="s">
        <v>126</v>
      </c>
      <c r="T1101" t="s">
        <v>276</v>
      </c>
      <c r="U1101" t="s">
        <v>300</v>
      </c>
      <c r="V1101" t="s">
        <v>58</v>
      </c>
    </row>
    <row r="1102" spans="1:22" x14ac:dyDescent="0.3">
      <c r="A1102" t="s">
        <v>4588</v>
      </c>
      <c r="B1102" t="s">
        <v>1034</v>
      </c>
      <c r="C1102" t="s">
        <v>1035</v>
      </c>
      <c r="D1102" t="s">
        <v>2132</v>
      </c>
      <c r="E1102" t="s">
        <v>87</v>
      </c>
      <c r="F1102" t="s">
        <v>26</v>
      </c>
      <c r="G1102" t="s">
        <v>118</v>
      </c>
      <c r="H1102" t="s">
        <v>104</v>
      </c>
      <c r="I1102" t="s">
        <v>69</v>
      </c>
      <c r="J1102" t="s">
        <v>30</v>
      </c>
      <c r="K1102" t="s">
        <v>200</v>
      </c>
      <c r="L1102" t="s">
        <v>105</v>
      </c>
      <c r="M1102" t="s">
        <v>52</v>
      </c>
      <c r="N1102" t="s">
        <v>179</v>
      </c>
      <c r="O1102" t="s">
        <v>52</v>
      </c>
      <c r="P1102" t="s">
        <v>276</v>
      </c>
      <c r="Q1102" t="s">
        <v>326</v>
      </c>
      <c r="R1102" t="s">
        <v>327</v>
      </c>
      <c r="S1102" t="s">
        <v>58</v>
      </c>
      <c r="T1102" t="s">
        <v>613</v>
      </c>
      <c r="U1102" t="s">
        <v>394</v>
      </c>
      <c r="V1102" t="s">
        <v>114</v>
      </c>
    </row>
    <row r="1103" spans="1:22" x14ac:dyDescent="0.3">
      <c r="A1103" t="s">
        <v>4589</v>
      </c>
      <c r="B1103" t="s">
        <v>570</v>
      </c>
      <c r="C1103" t="s">
        <v>571</v>
      </c>
      <c r="D1103" t="s">
        <v>4590</v>
      </c>
      <c r="E1103" t="s">
        <v>243</v>
      </c>
      <c r="F1103" t="s">
        <v>244</v>
      </c>
      <c r="G1103" t="s">
        <v>48</v>
      </c>
      <c r="H1103" t="s">
        <v>88</v>
      </c>
      <c r="I1103" t="s">
        <v>69</v>
      </c>
      <c r="J1103" t="s">
        <v>30</v>
      </c>
      <c r="K1103" t="s">
        <v>200</v>
      </c>
      <c r="L1103" t="s">
        <v>189</v>
      </c>
      <c r="M1103" t="s">
        <v>1716</v>
      </c>
      <c r="N1103" t="s">
        <v>208</v>
      </c>
      <c r="O1103" t="s">
        <v>1647</v>
      </c>
      <c r="P1103" t="s">
        <v>1760</v>
      </c>
      <c r="Q1103" t="s">
        <v>310</v>
      </c>
      <c r="R1103" t="s">
        <v>4591</v>
      </c>
      <c r="S1103" t="s">
        <v>39</v>
      </c>
      <c r="T1103" t="s">
        <v>237</v>
      </c>
      <c r="U1103" t="s">
        <v>423</v>
      </c>
      <c r="V1103" t="s">
        <v>114</v>
      </c>
    </row>
    <row r="1104" spans="1:22" x14ac:dyDescent="0.3">
      <c r="A1104" t="s">
        <v>4592</v>
      </c>
      <c r="B1104" t="s">
        <v>4593</v>
      </c>
      <c r="C1104" t="s">
        <v>4594</v>
      </c>
      <c r="D1104" t="s">
        <v>1668</v>
      </c>
      <c r="E1104" t="s">
        <v>893</v>
      </c>
      <c r="F1104" t="s">
        <v>188</v>
      </c>
      <c r="G1104" t="s">
        <v>118</v>
      </c>
      <c r="H1104" t="s">
        <v>229</v>
      </c>
      <c r="I1104" t="s">
        <v>69</v>
      </c>
      <c r="J1104" t="s">
        <v>30</v>
      </c>
      <c r="K1104" t="s">
        <v>215</v>
      </c>
      <c r="L1104" t="s">
        <v>663</v>
      </c>
      <c r="M1104" t="s">
        <v>673</v>
      </c>
      <c r="N1104" t="s">
        <v>459</v>
      </c>
      <c r="O1104" t="s">
        <v>1364</v>
      </c>
      <c r="P1104" t="s">
        <v>599</v>
      </c>
      <c r="Q1104" t="s">
        <v>3012</v>
      </c>
      <c r="R1104" t="s">
        <v>4595</v>
      </c>
      <c r="S1104" t="s">
        <v>79</v>
      </c>
      <c r="T1104" t="s">
        <v>637</v>
      </c>
      <c r="U1104" t="s">
        <v>300</v>
      </c>
      <c r="V1104" t="s">
        <v>82</v>
      </c>
    </row>
    <row r="1105" spans="1:22" x14ac:dyDescent="0.3">
      <c r="A1105" t="s">
        <v>4596</v>
      </c>
      <c r="B1105" t="s">
        <v>409</v>
      </c>
      <c r="C1105" t="s">
        <v>410</v>
      </c>
      <c r="D1105" t="s">
        <v>2221</v>
      </c>
      <c r="E1105" t="s">
        <v>47</v>
      </c>
      <c r="F1105" t="s">
        <v>26</v>
      </c>
      <c r="G1105" t="s">
        <v>580</v>
      </c>
      <c r="H1105" t="s">
        <v>229</v>
      </c>
      <c r="I1105" t="s">
        <v>29</v>
      </c>
      <c r="J1105" t="s">
        <v>70</v>
      </c>
      <c r="K1105" t="s">
        <v>293</v>
      </c>
      <c r="L1105" t="s">
        <v>731</v>
      </c>
      <c r="M1105" t="s">
        <v>619</v>
      </c>
      <c r="N1105" t="s">
        <v>203</v>
      </c>
      <c r="O1105" t="s">
        <v>94</v>
      </c>
      <c r="P1105" t="s">
        <v>581</v>
      </c>
      <c r="Q1105" t="s">
        <v>448</v>
      </c>
      <c r="R1105" t="s">
        <v>2936</v>
      </c>
      <c r="S1105" t="s">
        <v>79</v>
      </c>
      <c r="T1105" t="s">
        <v>461</v>
      </c>
      <c r="U1105" t="s">
        <v>171</v>
      </c>
      <c r="V1105" t="s">
        <v>58</v>
      </c>
    </row>
    <row r="1106" spans="1:22" x14ac:dyDescent="0.3">
      <c r="A1106" t="s">
        <v>4597</v>
      </c>
      <c r="B1106" t="s">
        <v>1572</v>
      </c>
      <c r="C1106" t="s">
        <v>1573</v>
      </c>
      <c r="D1106" t="s">
        <v>4166</v>
      </c>
      <c r="E1106" t="s">
        <v>26</v>
      </c>
      <c r="F1106" t="s">
        <v>26</v>
      </c>
      <c r="G1106" t="s">
        <v>67</v>
      </c>
      <c r="H1106" t="s">
        <v>104</v>
      </c>
      <c r="I1106" t="s">
        <v>69</v>
      </c>
      <c r="J1106" t="s">
        <v>30</v>
      </c>
      <c r="K1106" t="s">
        <v>31</v>
      </c>
      <c r="L1106" t="s">
        <v>428</v>
      </c>
      <c r="M1106" t="s">
        <v>992</v>
      </c>
      <c r="N1106" t="s">
        <v>121</v>
      </c>
      <c r="O1106" t="s">
        <v>1395</v>
      </c>
      <c r="P1106" t="s">
        <v>1492</v>
      </c>
      <c r="Q1106" t="s">
        <v>724</v>
      </c>
      <c r="R1106" t="s">
        <v>4598</v>
      </c>
      <c r="S1106" t="s">
        <v>182</v>
      </c>
      <c r="T1106" t="s">
        <v>735</v>
      </c>
      <c r="U1106" t="s">
        <v>300</v>
      </c>
      <c r="V1106" t="s">
        <v>79</v>
      </c>
    </row>
    <row r="1107" spans="1:22" x14ac:dyDescent="0.3">
      <c r="A1107" t="s">
        <v>4599</v>
      </c>
      <c r="B1107" t="s">
        <v>2851</v>
      </c>
      <c r="C1107" t="s">
        <v>2852</v>
      </c>
      <c r="D1107" t="s">
        <v>2137</v>
      </c>
      <c r="E1107" t="s">
        <v>161</v>
      </c>
      <c r="F1107" t="s">
        <v>161</v>
      </c>
      <c r="G1107" t="s">
        <v>580</v>
      </c>
      <c r="H1107" t="s">
        <v>88</v>
      </c>
      <c r="I1107" t="s">
        <v>29</v>
      </c>
      <c r="J1107" t="s">
        <v>30</v>
      </c>
      <c r="K1107" t="s">
        <v>31</v>
      </c>
      <c r="L1107" t="s">
        <v>1295</v>
      </c>
      <c r="M1107" t="s">
        <v>1039</v>
      </c>
      <c r="N1107" t="s">
        <v>648</v>
      </c>
      <c r="O1107" t="s">
        <v>1968</v>
      </c>
      <c r="P1107" t="s">
        <v>1672</v>
      </c>
      <c r="Q1107" t="s">
        <v>645</v>
      </c>
      <c r="R1107" t="s">
        <v>4600</v>
      </c>
      <c r="S1107" t="s">
        <v>126</v>
      </c>
      <c r="T1107" t="s">
        <v>74</v>
      </c>
      <c r="U1107" t="s">
        <v>362</v>
      </c>
      <c r="V1107" t="s">
        <v>79</v>
      </c>
    </row>
    <row r="1108" spans="1:22" x14ac:dyDescent="0.3">
      <c r="A1108" t="s">
        <v>4601</v>
      </c>
      <c r="B1108" t="s">
        <v>2453</v>
      </c>
      <c r="C1108" t="s">
        <v>2454</v>
      </c>
      <c r="D1108" t="s">
        <v>2996</v>
      </c>
      <c r="E1108" t="s">
        <v>730</v>
      </c>
      <c r="F1108" t="s">
        <v>26</v>
      </c>
      <c r="H1108" t="s">
        <v>88</v>
      </c>
      <c r="I1108" t="s">
        <v>29</v>
      </c>
      <c r="J1108" t="s">
        <v>30</v>
      </c>
      <c r="K1108" t="s">
        <v>71</v>
      </c>
      <c r="L1108" t="s">
        <v>428</v>
      </c>
      <c r="M1108" t="s">
        <v>2660</v>
      </c>
      <c r="N1108" t="s">
        <v>55</v>
      </c>
      <c r="O1108" t="s">
        <v>542</v>
      </c>
      <c r="P1108" t="s">
        <v>2167</v>
      </c>
      <c r="Q1108" t="s">
        <v>150</v>
      </c>
      <c r="R1108" t="s">
        <v>4602</v>
      </c>
      <c r="S1108" t="s">
        <v>126</v>
      </c>
      <c r="T1108" t="s">
        <v>37</v>
      </c>
      <c r="U1108" t="s">
        <v>98</v>
      </c>
      <c r="V1108" t="s">
        <v>42</v>
      </c>
    </row>
    <row r="1109" spans="1:22" x14ac:dyDescent="0.3">
      <c r="A1109" t="s">
        <v>4603</v>
      </c>
      <c r="B1109" t="s">
        <v>924</v>
      </c>
      <c r="C1109" t="s">
        <v>925</v>
      </c>
      <c r="D1109" t="s">
        <v>416</v>
      </c>
      <c r="E1109" t="s">
        <v>672</v>
      </c>
      <c r="F1109" t="s">
        <v>244</v>
      </c>
      <c r="G1109" t="s">
        <v>147</v>
      </c>
      <c r="H1109" t="s">
        <v>88</v>
      </c>
      <c r="I1109" t="s">
        <v>69</v>
      </c>
      <c r="J1109" t="s">
        <v>162</v>
      </c>
      <c r="K1109" t="s">
        <v>71</v>
      </c>
      <c r="L1109" t="s">
        <v>148</v>
      </c>
      <c r="M1109" t="s">
        <v>469</v>
      </c>
      <c r="N1109" t="s">
        <v>34</v>
      </c>
      <c r="O1109" t="s">
        <v>760</v>
      </c>
      <c r="P1109" t="s">
        <v>2077</v>
      </c>
      <c r="Q1109" t="s">
        <v>356</v>
      </c>
      <c r="R1109" t="s">
        <v>4604</v>
      </c>
      <c r="S1109" t="s">
        <v>126</v>
      </c>
      <c r="T1109" t="s">
        <v>80</v>
      </c>
      <c r="U1109" t="s">
        <v>238</v>
      </c>
      <c r="V1109" t="s">
        <v>42</v>
      </c>
    </row>
    <row r="1110" spans="1:22" x14ac:dyDescent="0.3">
      <c r="A1110" t="s">
        <v>4605</v>
      </c>
      <c r="B1110" t="s">
        <v>688</v>
      </c>
      <c r="C1110" t="s">
        <v>689</v>
      </c>
      <c r="D1110" t="s">
        <v>3981</v>
      </c>
      <c r="E1110" t="s">
        <v>87</v>
      </c>
      <c r="F1110" t="s">
        <v>26</v>
      </c>
      <c r="G1110" t="s">
        <v>118</v>
      </c>
      <c r="H1110" t="s">
        <v>229</v>
      </c>
      <c r="I1110" t="s">
        <v>69</v>
      </c>
      <c r="J1110" t="s">
        <v>70</v>
      </c>
      <c r="K1110" t="s">
        <v>200</v>
      </c>
      <c r="M1110" t="s">
        <v>401</v>
      </c>
      <c r="N1110" t="s">
        <v>567</v>
      </c>
      <c r="O1110" t="s">
        <v>120</v>
      </c>
      <c r="P1110" t="s">
        <v>467</v>
      </c>
      <c r="Q1110" t="s">
        <v>318</v>
      </c>
      <c r="R1110" t="s">
        <v>2895</v>
      </c>
      <c r="S1110" t="s">
        <v>58</v>
      </c>
      <c r="T1110" t="s">
        <v>751</v>
      </c>
      <c r="U1110" t="s">
        <v>171</v>
      </c>
      <c r="V1110" t="s">
        <v>42</v>
      </c>
    </row>
    <row r="1111" spans="1:22" x14ac:dyDescent="0.3">
      <c r="A1111" t="s">
        <v>4606</v>
      </c>
      <c r="B1111" t="s">
        <v>3922</v>
      </c>
      <c r="C1111" t="s">
        <v>3923</v>
      </c>
      <c r="D1111" t="s">
        <v>4224</v>
      </c>
      <c r="E1111" t="s">
        <v>399</v>
      </c>
      <c r="F1111" t="s">
        <v>188</v>
      </c>
      <c r="G1111" t="s">
        <v>580</v>
      </c>
      <c r="H1111" t="s">
        <v>104</v>
      </c>
      <c r="I1111" t="s">
        <v>69</v>
      </c>
      <c r="J1111" t="s">
        <v>30</v>
      </c>
      <c r="K1111" t="s">
        <v>293</v>
      </c>
      <c r="L1111" t="s">
        <v>663</v>
      </c>
      <c r="M1111" t="s">
        <v>52</v>
      </c>
      <c r="N1111" t="s">
        <v>621</v>
      </c>
      <c r="O1111" t="s">
        <v>77</v>
      </c>
      <c r="P1111" t="s">
        <v>1303</v>
      </c>
      <c r="Q1111" t="s">
        <v>735</v>
      </c>
      <c r="R1111" t="s">
        <v>4607</v>
      </c>
      <c r="S1111" t="s">
        <v>126</v>
      </c>
      <c r="T1111" t="s">
        <v>142</v>
      </c>
      <c r="U1111" t="s">
        <v>41</v>
      </c>
      <c r="V1111" t="s">
        <v>58</v>
      </c>
    </row>
    <row r="1112" spans="1:22" x14ac:dyDescent="0.3">
      <c r="A1112" t="s">
        <v>4608</v>
      </c>
      <c r="B1112" t="s">
        <v>918</v>
      </c>
      <c r="C1112" t="s">
        <v>919</v>
      </c>
      <c r="D1112" t="s">
        <v>4609</v>
      </c>
      <c r="E1112" t="s">
        <v>47</v>
      </c>
      <c r="F1112" t="s">
        <v>26</v>
      </c>
      <c r="G1112" t="s">
        <v>27</v>
      </c>
      <c r="H1112" t="s">
        <v>229</v>
      </c>
      <c r="I1112" t="s">
        <v>29</v>
      </c>
      <c r="J1112" t="s">
        <v>70</v>
      </c>
      <c r="K1112" t="s">
        <v>293</v>
      </c>
      <c r="L1112" t="s">
        <v>201</v>
      </c>
      <c r="M1112" t="s">
        <v>2866</v>
      </c>
      <c r="N1112" t="s">
        <v>74</v>
      </c>
      <c r="O1112" t="s">
        <v>1730</v>
      </c>
      <c r="P1112" t="s">
        <v>1604</v>
      </c>
      <c r="Q1112" t="s">
        <v>611</v>
      </c>
      <c r="R1112" t="s">
        <v>4610</v>
      </c>
      <c r="S1112" t="s">
        <v>97</v>
      </c>
      <c r="T1112" t="s">
        <v>600</v>
      </c>
      <c r="U1112" t="s">
        <v>373</v>
      </c>
      <c r="V1112" t="s">
        <v>79</v>
      </c>
    </row>
    <row r="1113" spans="1:22" x14ac:dyDescent="0.3">
      <c r="A1113" t="s">
        <v>4611</v>
      </c>
      <c r="B1113" t="s">
        <v>1520</v>
      </c>
      <c r="C1113" t="s">
        <v>1521</v>
      </c>
      <c r="D1113" t="s">
        <v>4612</v>
      </c>
      <c r="E1113" t="s">
        <v>417</v>
      </c>
      <c r="F1113" t="s">
        <v>134</v>
      </c>
      <c r="G1113" t="s">
        <v>147</v>
      </c>
      <c r="H1113" t="s">
        <v>88</v>
      </c>
      <c r="I1113" t="s">
        <v>29</v>
      </c>
      <c r="J1113" t="s">
        <v>70</v>
      </c>
      <c r="K1113" t="s">
        <v>31</v>
      </c>
      <c r="L1113" t="s">
        <v>362</v>
      </c>
      <c r="M1113" t="s">
        <v>4613</v>
      </c>
      <c r="N1113" t="s">
        <v>792</v>
      </c>
      <c r="O1113" t="s">
        <v>2677</v>
      </c>
      <c r="P1113" t="s">
        <v>1214</v>
      </c>
      <c r="Q1113" t="s">
        <v>2501</v>
      </c>
      <c r="R1113" t="s">
        <v>4614</v>
      </c>
      <c r="S1113" t="s">
        <v>126</v>
      </c>
      <c r="T1113" t="s">
        <v>686</v>
      </c>
      <c r="U1113" t="s">
        <v>362</v>
      </c>
      <c r="V1113" t="s">
        <v>42</v>
      </c>
    </row>
    <row r="1114" spans="1:22" x14ac:dyDescent="0.3">
      <c r="A1114" t="s">
        <v>4615</v>
      </c>
      <c r="B1114" t="s">
        <v>3972</v>
      </c>
      <c r="C1114" t="s">
        <v>3973</v>
      </c>
      <c r="D1114" t="s">
        <v>3475</v>
      </c>
      <c r="E1114" t="s">
        <v>730</v>
      </c>
      <c r="F1114" t="s">
        <v>26</v>
      </c>
      <c r="G1114" t="s">
        <v>67</v>
      </c>
      <c r="H1114" t="s">
        <v>68</v>
      </c>
      <c r="I1114" t="s">
        <v>29</v>
      </c>
      <c r="J1114" t="s">
        <v>30</v>
      </c>
      <c r="K1114" t="s">
        <v>89</v>
      </c>
      <c r="L1114" t="s">
        <v>561</v>
      </c>
      <c r="M1114" t="s">
        <v>1688</v>
      </c>
      <c r="N1114" t="s">
        <v>107</v>
      </c>
      <c r="O1114" t="s">
        <v>149</v>
      </c>
      <c r="P1114" t="s">
        <v>1140</v>
      </c>
      <c r="Q1114" t="s">
        <v>2800</v>
      </c>
      <c r="R1114" t="s">
        <v>4616</v>
      </c>
      <c r="S1114" t="s">
        <v>79</v>
      </c>
      <c r="T1114" t="s">
        <v>573</v>
      </c>
      <c r="U1114" t="s">
        <v>41</v>
      </c>
      <c r="V1114" t="s">
        <v>58</v>
      </c>
    </row>
    <row r="1115" spans="1:22" x14ac:dyDescent="0.3">
      <c r="A1115" t="s">
        <v>4617</v>
      </c>
      <c r="B1115" t="s">
        <v>1226</v>
      </c>
      <c r="C1115" t="s">
        <v>1227</v>
      </c>
      <c r="D1115" t="s">
        <v>964</v>
      </c>
      <c r="E1115" t="s">
        <v>378</v>
      </c>
      <c r="F1115" t="s">
        <v>282</v>
      </c>
      <c r="G1115" t="s">
        <v>48</v>
      </c>
      <c r="H1115" t="s">
        <v>214</v>
      </c>
      <c r="I1115" t="s">
        <v>29</v>
      </c>
      <c r="J1115" t="s">
        <v>162</v>
      </c>
      <c r="K1115" t="s">
        <v>215</v>
      </c>
      <c r="L1115" t="s">
        <v>294</v>
      </c>
      <c r="M1115" t="s">
        <v>732</v>
      </c>
      <c r="N1115" t="s">
        <v>610</v>
      </c>
      <c r="O1115" t="s">
        <v>931</v>
      </c>
      <c r="P1115" t="s">
        <v>1260</v>
      </c>
      <c r="Q1115" t="s">
        <v>3984</v>
      </c>
      <c r="R1115" t="s">
        <v>4618</v>
      </c>
      <c r="S1115" t="s">
        <v>97</v>
      </c>
      <c r="T1115" t="s">
        <v>499</v>
      </c>
      <c r="U1115" t="s">
        <v>373</v>
      </c>
      <c r="V1115" t="s">
        <v>42</v>
      </c>
    </row>
    <row r="1116" spans="1:22" x14ac:dyDescent="0.3">
      <c r="A1116" t="s">
        <v>4619</v>
      </c>
      <c r="B1116" t="s">
        <v>3270</v>
      </c>
      <c r="C1116" t="s">
        <v>3271</v>
      </c>
      <c r="D1116" t="s">
        <v>1687</v>
      </c>
      <c r="E1116" t="s">
        <v>417</v>
      </c>
      <c r="F1116" t="s">
        <v>134</v>
      </c>
      <c r="G1116" t="s">
        <v>580</v>
      </c>
      <c r="H1116" t="s">
        <v>49</v>
      </c>
      <c r="I1116" t="s">
        <v>69</v>
      </c>
      <c r="J1116" t="s">
        <v>257</v>
      </c>
      <c r="K1116" t="s">
        <v>245</v>
      </c>
      <c r="L1116" t="s">
        <v>2637</v>
      </c>
      <c r="M1116" t="s">
        <v>151</v>
      </c>
      <c r="N1116" t="s">
        <v>179</v>
      </c>
      <c r="O1116" t="s">
        <v>151</v>
      </c>
      <c r="P1116" t="s">
        <v>404</v>
      </c>
      <c r="Q1116" t="s">
        <v>52</v>
      </c>
      <c r="R1116" t="s">
        <v>4620</v>
      </c>
      <c r="T1116" t="s">
        <v>440</v>
      </c>
      <c r="U1116" t="s">
        <v>373</v>
      </c>
      <c r="V1116" t="s">
        <v>82</v>
      </c>
    </row>
    <row r="1117" spans="1:22" x14ac:dyDescent="0.3">
      <c r="A1117" t="s">
        <v>4621</v>
      </c>
      <c r="B1117" t="s">
        <v>2756</v>
      </c>
      <c r="C1117" t="s">
        <v>2757</v>
      </c>
      <c r="D1117" t="s">
        <v>2618</v>
      </c>
      <c r="E1117" t="s">
        <v>66</v>
      </c>
      <c r="F1117" t="s">
        <v>66</v>
      </c>
      <c r="G1117" t="s">
        <v>103</v>
      </c>
      <c r="I1117" t="s">
        <v>69</v>
      </c>
      <c r="J1117" t="s">
        <v>30</v>
      </c>
      <c r="K1117" t="s">
        <v>215</v>
      </c>
      <c r="L1117" t="s">
        <v>927</v>
      </c>
      <c r="M1117" t="s">
        <v>1848</v>
      </c>
      <c r="N1117" t="s">
        <v>179</v>
      </c>
      <c r="O1117" t="s">
        <v>1848</v>
      </c>
      <c r="P1117" t="s">
        <v>2112</v>
      </c>
      <c r="Q1117" t="s">
        <v>959</v>
      </c>
      <c r="R1117" t="s">
        <v>2367</v>
      </c>
      <c r="S1117" t="s">
        <v>39</v>
      </c>
      <c r="T1117" t="s">
        <v>461</v>
      </c>
      <c r="U1117" t="s">
        <v>128</v>
      </c>
      <c r="V1117" t="s">
        <v>79</v>
      </c>
    </row>
    <row r="1118" spans="1:22" x14ac:dyDescent="0.3">
      <c r="A1118" t="s">
        <v>4622</v>
      </c>
      <c r="B1118" t="s">
        <v>2645</v>
      </c>
      <c r="C1118" t="s">
        <v>2646</v>
      </c>
      <c r="D1118" t="s">
        <v>4623</v>
      </c>
      <c r="E1118" t="s">
        <v>672</v>
      </c>
      <c r="F1118" t="s">
        <v>244</v>
      </c>
      <c r="G1118" t="s">
        <v>103</v>
      </c>
      <c r="H1118" t="s">
        <v>214</v>
      </c>
      <c r="I1118" t="s">
        <v>29</v>
      </c>
      <c r="J1118" t="s">
        <v>1514</v>
      </c>
      <c r="K1118" t="s">
        <v>31</v>
      </c>
      <c r="L1118" t="s">
        <v>682</v>
      </c>
      <c r="M1118" t="s">
        <v>1634</v>
      </c>
      <c r="N1118" t="s">
        <v>299</v>
      </c>
      <c r="O1118" t="s">
        <v>4624</v>
      </c>
      <c r="P1118" t="s">
        <v>2193</v>
      </c>
      <c r="Q1118" t="s">
        <v>613</v>
      </c>
      <c r="R1118" t="s">
        <v>4625</v>
      </c>
      <c r="S1118" t="s">
        <v>39</v>
      </c>
      <c r="T1118" t="s">
        <v>170</v>
      </c>
      <c r="U1118" t="s">
        <v>867</v>
      </c>
      <c r="V1118" t="s">
        <v>82</v>
      </c>
    </row>
    <row r="1119" spans="1:22" x14ac:dyDescent="0.3">
      <c r="A1119" t="s">
        <v>4626</v>
      </c>
      <c r="B1119" t="s">
        <v>1417</v>
      </c>
      <c r="C1119" t="s">
        <v>1418</v>
      </c>
      <c r="D1119" t="s">
        <v>1966</v>
      </c>
      <c r="E1119" t="s">
        <v>417</v>
      </c>
      <c r="F1119" t="s">
        <v>134</v>
      </c>
      <c r="G1119" t="s">
        <v>67</v>
      </c>
      <c r="H1119" t="s">
        <v>214</v>
      </c>
      <c r="I1119" t="s">
        <v>69</v>
      </c>
      <c r="J1119" t="s">
        <v>30</v>
      </c>
      <c r="K1119" t="s">
        <v>50</v>
      </c>
      <c r="L1119" t="s">
        <v>937</v>
      </c>
      <c r="M1119" t="s">
        <v>1089</v>
      </c>
      <c r="N1119" t="s">
        <v>112</v>
      </c>
      <c r="O1119" t="s">
        <v>2167</v>
      </c>
      <c r="P1119" t="s">
        <v>1909</v>
      </c>
      <c r="Q1119" t="s">
        <v>1642</v>
      </c>
      <c r="R1119" t="s">
        <v>4627</v>
      </c>
      <c r="S1119" t="s">
        <v>97</v>
      </c>
      <c r="T1119" t="s">
        <v>461</v>
      </c>
      <c r="U1119" t="s">
        <v>373</v>
      </c>
      <c r="V1119" t="s">
        <v>114</v>
      </c>
    </row>
    <row r="1120" spans="1:22" x14ac:dyDescent="0.3">
      <c r="A1120" t="s">
        <v>4628</v>
      </c>
      <c r="B1120" t="s">
        <v>2954</v>
      </c>
      <c r="C1120" t="s">
        <v>2955</v>
      </c>
      <c r="D1120" t="s">
        <v>2242</v>
      </c>
      <c r="E1120" t="s">
        <v>730</v>
      </c>
      <c r="F1120" t="s">
        <v>26</v>
      </c>
      <c r="G1120" t="s">
        <v>103</v>
      </c>
      <c r="H1120" t="s">
        <v>28</v>
      </c>
      <c r="I1120" t="s">
        <v>29</v>
      </c>
      <c r="J1120" t="s">
        <v>30</v>
      </c>
      <c r="K1120" t="s">
        <v>215</v>
      </c>
      <c r="L1120" t="s">
        <v>937</v>
      </c>
      <c r="M1120" t="s">
        <v>3051</v>
      </c>
      <c r="N1120" t="s">
        <v>666</v>
      </c>
      <c r="O1120" t="s">
        <v>591</v>
      </c>
      <c r="P1120" t="s">
        <v>752</v>
      </c>
      <c r="Q1120" t="s">
        <v>849</v>
      </c>
      <c r="R1120" t="s">
        <v>4629</v>
      </c>
      <c r="S1120" t="s">
        <v>79</v>
      </c>
      <c r="T1120" t="s">
        <v>986</v>
      </c>
      <c r="U1120" t="s">
        <v>277</v>
      </c>
      <c r="V1120" t="s">
        <v>42</v>
      </c>
    </row>
    <row r="1121" spans="1:22" x14ac:dyDescent="0.3">
      <c r="A1121" t="s">
        <v>4630</v>
      </c>
      <c r="B1121" t="s">
        <v>2057</v>
      </c>
      <c r="C1121" t="s">
        <v>2058</v>
      </c>
      <c r="D1121" t="s">
        <v>1508</v>
      </c>
      <c r="E1121" t="s">
        <v>267</v>
      </c>
      <c r="F1121" t="s">
        <v>66</v>
      </c>
      <c r="G1121" t="s">
        <v>27</v>
      </c>
      <c r="H1121" t="s">
        <v>68</v>
      </c>
      <c r="I1121" t="s">
        <v>69</v>
      </c>
      <c r="J1121" t="s">
        <v>257</v>
      </c>
      <c r="K1121" t="s">
        <v>230</v>
      </c>
      <c r="L1121" t="s">
        <v>1693</v>
      </c>
      <c r="M1121" t="s">
        <v>2641</v>
      </c>
      <c r="N1121" t="s">
        <v>489</v>
      </c>
      <c r="O1121" t="s">
        <v>1016</v>
      </c>
      <c r="P1121" t="s">
        <v>1254</v>
      </c>
      <c r="Q1121" t="s">
        <v>139</v>
      </c>
      <c r="R1121" t="s">
        <v>3924</v>
      </c>
      <c r="S1121" t="s">
        <v>58</v>
      </c>
      <c r="T1121" t="s">
        <v>695</v>
      </c>
      <c r="U1121" t="s">
        <v>128</v>
      </c>
      <c r="V1121" t="s">
        <v>42</v>
      </c>
    </row>
    <row r="1122" spans="1:22" x14ac:dyDescent="0.3">
      <c r="A1122" t="s">
        <v>4631</v>
      </c>
      <c r="B1122" t="s">
        <v>1409</v>
      </c>
      <c r="C1122" t="s">
        <v>1410</v>
      </c>
      <c r="D1122" t="s">
        <v>2721</v>
      </c>
      <c r="E1122" t="s">
        <v>26</v>
      </c>
      <c r="F1122" t="s">
        <v>26</v>
      </c>
      <c r="G1122" t="s">
        <v>580</v>
      </c>
      <c r="H1122" t="s">
        <v>214</v>
      </c>
      <c r="I1122" t="s">
        <v>29</v>
      </c>
      <c r="J1122" t="s">
        <v>30</v>
      </c>
      <c r="K1122" t="s">
        <v>245</v>
      </c>
      <c r="L1122" t="s">
        <v>3347</v>
      </c>
      <c r="M1122" t="s">
        <v>949</v>
      </c>
      <c r="N1122" t="s">
        <v>170</v>
      </c>
      <c r="O1122" t="s">
        <v>792</v>
      </c>
      <c r="P1122" t="s">
        <v>441</v>
      </c>
      <c r="Q1122" t="s">
        <v>553</v>
      </c>
      <c r="R1122" t="s">
        <v>4632</v>
      </c>
      <c r="S1122" t="s">
        <v>126</v>
      </c>
      <c r="T1122" t="s">
        <v>369</v>
      </c>
      <c r="U1122" t="s">
        <v>98</v>
      </c>
      <c r="V1122" t="s">
        <v>82</v>
      </c>
    </row>
    <row r="1123" spans="1:22" x14ac:dyDescent="0.3">
      <c r="A1123" t="s">
        <v>4633</v>
      </c>
      <c r="B1123" t="s">
        <v>1993</v>
      </c>
      <c r="C1123" t="s">
        <v>1994</v>
      </c>
      <c r="D1123" t="s">
        <v>3264</v>
      </c>
      <c r="E1123" t="s">
        <v>47</v>
      </c>
      <c r="F1123" t="s">
        <v>26</v>
      </c>
      <c r="G1123" t="s">
        <v>48</v>
      </c>
      <c r="H1123" t="s">
        <v>28</v>
      </c>
      <c r="I1123" t="s">
        <v>69</v>
      </c>
      <c r="J1123" t="s">
        <v>30</v>
      </c>
      <c r="K1123" t="s">
        <v>215</v>
      </c>
      <c r="L1123" t="s">
        <v>466</v>
      </c>
      <c r="M1123" t="s">
        <v>2507</v>
      </c>
      <c r="N1123" t="s">
        <v>80</v>
      </c>
      <c r="O1123" t="s">
        <v>234</v>
      </c>
      <c r="P1123" t="s">
        <v>694</v>
      </c>
      <c r="Q1123" t="s">
        <v>167</v>
      </c>
      <c r="R1123" t="s">
        <v>2508</v>
      </c>
      <c r="S1123" t="s">
        <v>182</v>
      </c>
      <c r="T1123" t="s">
        <v>583</v>
      </c>
      <c r="U1123" t="s">
        <v>867</v>
      </c>
      <c r="V1123" t="s">
        <v>82</v>
      </c>
    </row>
    <row r="1124" spans="1:22" x14ac:dyDescent="0.3">
      <c r="A1124" t="s">
        <v>4634</v>
      </c>
      <c r="B1124" t="s">
        <v>4635</v>
      </c>
      <c r="C1124" t="s">
        <v>4636</v>
      </c>
      <c r="D1124" t="s">
        <v>1197</v>
      </c>
      <c r="E1124" t="s">
        <v>672</v>
      </c>
      <c r="F1124" t="s">
        <v>244</v>
      </c>
      <c r="G1124" t="s">
        <v>48</v>
      </c>
      <c r="H1124" t="s">
        <v>49</v>
      </c>
      <c r="I1124" t="s">
        <v>69</v>
      </c>
      <c r="J1124" t="s">
        <v>30</v>
      </c>
      <c r="K1124" t="s">
        <v>215</v>
      </c>
      <c r="L1124" t="s">
        <v>1022</v>
      </c>
      <c r="M1124" t="s">
        <v>1352</v>
      </c>
      <c r="N1124" t="s">
        <v>565</v>
      </c>
      <c r="O1124" t="s">
        <v>1335</v>
      </c>
      <c r="P1124" t="s">
        <v>2274</v>
      </c>
      <c r="Q1124" t="s">
        <v>40</v>
      </c>
      <c r="R1124" t="s">
        <v>4637</v>
      </c>
      <c r="S1124" t="s">
        <v>126</v>
      </c>
      <c r="T1124" t="s">
        <v>328</v>
      </c>
      <c r="U1124" t="s">
        <v>60</v>
      </c>
      <c r="V1124" t="s">
        <v>114</v>
      </c>
    </row>
    <row r="1125" spans="1:22" x14ac:dyDescent="0.3">
      <c r="A1125" t="s">
        <v>4638</v>
      </c>
      <c r="B1125" t="s">
        <v>595</v>
      </c>
      <c r="C1125" t="s">
        <v>596</v>
      </c>
      <c r="D1125" t="s">
        <v>847</v>
      </c>
      <c r="E1125" t="s">
        <v>161</v>
      </c>
      <c r="F1125" t="s">
        <v>161</v>
      </c>
      <c r="G1125" t="s">
        <v>48</v>
      </c>
      <c r="H1125" t="s">
        <v>104</v>
      </c>
      <c r="I1125" t="s">
        <v>29</v>
      </c>
      <c r="J1125" t="s">
        <v>30</v>
      </c>
      <c r="K1125" t="s">
        <v>230</v>
      </c>
      <c r="L1125" t="s">
        <v>691</v>
      </c>
      <c r="M1125" t="s">
        <v>52</v>
      </c>
      <c r="N1125" t="s">
        <v>621</v>
      </c>
      <c r="O1125" t="s">
        <v>77</v>
      </c>
      <c r="P1125" t="s">
        <v>1303</v>
      </c>
      <c r="Q1125" t="s">
        <v>735</v>
      </c>
      <c r="R1125" t="s">
        <v>4607</v>
      </c>
      <c r="S1125" t="s">
        <v>97</v>
      </c>
      <c r="T1125" t="s">
        <v>59</v>
      </c>
      <c r="U1125" t="s">
        <v>98</v>
      </c>
      <c r="V1125" t="s">
        <v>42</v>
      </c>
    </row>
    <row r="1126" spans="1:22" x14ac:dyDescent="0.3">
      <c r="A1126" t="s">
        <v>4639</v>
      </c>
      <c r="B1126" t="s">
        <v>1386</v>
      </c>
      <c r="C1126" t="s">
        <v>1387</v>
      </c>
      <c r="D1126" t="s">
        <v>2242</v>
      </c>
      <c r="E1126" t="s">
        <v>134</v>
      </c>
      <c r="F1126" t="s">
        <v>134</v>
      </c>
      <c r="G1126" t="s">
        <v>67</v>
      </c>
      <c r="H1126" t="s">
        <v>49</v>
      </c>
      <c r="I1126" t="s">
        <v>29</v>
      </c>
      <c r="J1126" t="s">
        <v>30</v>
      </c>
      <c r="K1126" t="s">
        <v>89</v>
      </c>
      <c r="L1126" t="s">
        <v>487</v>
      </c>
      <c r="M1126" t="s">
        <v>1745</v>
      </c>
      <c r="N1126" t="s">
        <v>361</v>
      </c>
      <c r="O1126" t="s">
        <v>828</v>
      </c>
      <c r="P1126" t="s">
        <v>1539</v>
      </c>
      <c r="Q1126" t="s">
        <v>518</v>
      </c>
      <c r="R1126" t="s">
        <v>4640</v>
      </c>
      <c r="S1126" t="s">
        <v>39</v>
      </c>
      <c r="T1126" t="s">
        <v>150</v>
      </c>
      <c r="U1126" t="s">
        <v>155</v>
      </c>
      <c r="V1126" t="s">
        <v>58</v>
      </c>
    </row>
    <row r="1127" spans="1:22" x14ac:dyDescent="0.3">
      <c r="A1127" t="s">
        <v>4641</v>
      </c>
      <c r="B1127" t="s">
        <v>1733</v>
      </c>
      <c r="C1127" t="s">
        <v>1734</v>
      </c>
      <c r="D1127" t="s">
        <v>4642</v>
      </c>
      <c r="E1127" t="s">
        <v>26</v>
      </c>
      <c r="F1127" t="s">
        <v>26</v>
      </c>
      <c r="G1127" t="s">
        <v>103</v>
      </c>
      <c r="H1127" t="s">
        <v>268</v>
      </c>
      <c r="I1127" t="s">
        <v>29</v>
      </c>
      <c r="J1127" t="s">
        <v>30</v>
      </c>
      <c r="K1127" t="s">
        <v>200</v>
      </c>
      <c r="L1127" t="s">
        <v>1010</v>
      </c>
      <c r="M1127" t="s">
        <v>806</v>
      </c>
      <c r="N1127" t="s">
        <v>179</v>
      </c>
      <c r="O1127" t="s">
        <v>806</v>
      </c>
      <c r="P1127" t="s">
        <v>347</v>
      </c>
      <c r="Q1127" t="s">
        <v>233</v>
      </c>
      <c r="R1127" t="s">
        <v>4643</v>
      </c>
      <c r="S1127" t="s">
        <v>58</v>
      </c>
      <c r="T1127" t="s">
        <v>80</v>
      </c>
      <c r="U1127" t="s">
        <v>394</v>
      </c>
      <c r="V1127" t="s">
        <v>114</v>
      </c>
    </row>
    <row r="1128" spans="1:22" x14ac:dyDescent="0.3">
      <c r="A1128" t="s">
        <v>4644</v>
      </c>
      <c r="B1128" t="s">
        <v>2330</v>
      </c>
      <c r="C1128" t="s">
        <v>2331</v>
      </c>
      <c r="D1128" t="s">
        <v>1537</v>
      </c>
      <c r="E1128" t="s">
        <v>634</v>
      </c>
      <c r="F1128" t="s">
        <v>228</v>
      </c>
      <c r="G1128" t="s">
        <v>147</v>
      </c>
      <c r="H1128" t="s">
        <v>104</v>
      </c>
      <c r="I1128" t="s">
        <v>69</v>
      </c>
      <c r="J1128" t="s">
        <v>70</v>
      </c>
      <c r="K1128" t="s">
        <v>215</v>
      </c>
      <c r="L1128" t="s">
        <v>148</v>
      </c>
      <c r="M1128" t="s">
        <v>1730</v>
      </c>
      <c r="N1128" t="s">
        <v>2542</v>
      </c>
      <c r="O1128" t="s">
        <v>1169</v>
      </c>
      <c r="P1128" t="s">
        <v>873</v>
      </c>
      <c r="Q1128" t="s">
        <v>319</v>
      </c>
      <c r="R1128" t="s">
        <v>4645</v>
      </c>
      <c r="S1128" t="s">
        <v>79</v>
      </c>
      <c r="T1128" t="s">
        <v>369</v>
      </c>
      <c r="U1128" t="s">
        <v>537</v>
      </c>
      <c r="V1128" t="s">
        <v>58</v>
      </c>
    </row>
    <row r="1129" spans="1:22" x14ac:dyDescent="0.3">
      <c r="A1129" t="s">
        <v>4646</v>
      </c>
      <c r="B1129" t="s">
        <v>3041</v>
      </c>
      <c r="C1129" t="s">
        <v>3042</v>
      </c>
      <c r="D1129" t="s">
        <v>3706</v>
      </c>
      <c r="E1129" t="s">
        <v>378</v>
      </c>
      <c r="F1129" t="s">
        <v>282</v>
      </c>
      <c r="G1129" t="s">
        <v>27</v>
      </c>
      <c r="H1129" t="s">
        <v>68</v>
      </c>
      <c r="I1129" t="s">
        <v>69</v>
      </c>
      <c r="J1129" t="s">
        <v>30</v>
      </c>
      <c r="K1129" t="s">
        <v>31</v>
      </c>
      <c r="L1129" t="s">
        <v>333</v>
      </c>
      <c r="M1129" t="s">
        <v>52</v>
      </c>
      <c r="N1129" t="s">
        <v>179</v>
      </c>
      <c r="O1129" t="s">
        <v>52</v>
      </c>
      <c r="P1129" t="s">
        <v>714</v>
      </c>
      <c r="Q1129" t="s">
        <v>361</v>
      </c>
      <c r="R1129" t="s">
        <v>4647</v>
      </c>
      <c r="T1129" t="s">
        <v>621</v>
      </c>
      <c r="U1129" t="s">
        <v>98</v>
      </c>
      <c r="V1129" t="s">
        <v>82</v>
      </c>
    </row>
    <row r="1130" spans="1:22" x14ac:dyDescent="0.3">
      <c r="A1130" t="s">
        <v>4648</v>
      </c>
      <c r="B1130" t="s">
        <v>2021</v>
      </c>
      <c r="C1130" t="s">
        <v>2022</v>
      </c>
      <c r="D1130" t="s">
        <v>4623</v>
      </c>
      <c r="E1130" t="s">
        <v>282</v>
      </c>
      <c r="F1130" t="s">
        <v>282</v>
      </c>
      <c r="G1130" t="s">
        <v>213</v>
      </c>
      <c r="H1130" t="s">
        <v>268</v>
      </c>
      <c r="I1130" t="s">
        <v>29</v>
      </c>
      <c r="J1130" t="s">
        <v>30</v>
      </c>
      <c r="K1130" t="s">
        <v>245</v>
      </c>
      <c r="L1130" t="s">
        <v>90</v>
      </c>
      <c r="M1130" t="s">
        <v>2108</v>
      </c>
      <c r="N1130" t="s">
        <v>751</v>
      </c>
      <c r="O1130" t="s">
        <v>421</v>
      </c>
      <c r="P1130" t="s">
        <v>565</v>
      </c>
      <c r="Q1130" t="s">
        <v>391</v>
      </c>
      <c r="R1130" t="s">
        <v>4649</v>
      </c>
      <c r="S1130" t="s">
        <v>39</v>
      </c>
      <c r="T1130" t="s">
        <v>770</v>
      </c>
      <c r="U1130" t="s">
        <v>98</v>
      </c>
      <c r="V1130" t="s">
        <v>114</v>
      </c>
    </row>
    <row r="1131" spans="1:22" x14ac:dyDescent="0.3">
      <c r="A1131" t="s">
        <v>4650</v>
      </c>
      <c r="B1131" t="s">
        <v>1318</v>
      </c>
      <c r="C1131" t="s">
        <v>1319</v>
      </c>
      <c r="D1131" t="s">
        <v>4531</v>
      </c>
      <c r="E1131" t="s">
        <v>672</v>
      </c>
      <c r="F1131" t="s">
        <v>244</v>
      </c>
      <c r="G1131" t="s">
        <v>103</v>
      </c>
      <c r="H1131" t="s">
        <v>214</v>
      </c>
      <c r="I1131" t="s">
        <v>69</v>
      </c>
      <c r="J1131" t="s">
        <v>30</v>
      </c>
      <c r="K1131" t="s">
        <v>245</v>
      </c>
      <c r="L1131" t="s">
        <v>653</v>
      </c>
      <c r="M1131" t="s">
        <v>694</v>
      </c>
      <c r="N1131" t="s">
        <v>179</v>
      </c>
      <c r="O1131" t="s">
        <v>694</v>
      </c>
      <c r="P1131" t="s">
        <v>1568</v>
      </c>
      <c r="Q1131" t="s">
        <v>167</v>
      </c>
      <c r="R1131" t="s">
        <v>4651</v>
      </c>
      <c r="S1131" t="s">
        <v>39</v>
      </c>
      <c r="T1131" t="s">
        <v>543</v>
      </c>
      <c r="U1131" t="s">
        <v>300</v>
      </c>
      <c r="V1131" t="s">
        <v>42</v>
      </c>
    </row>
    <row r="1132" spans="1:22" x14ac:dyDescent="0.3">
      <c r="A1132" t="s">
        <v>4652</v>
      </c>
      <c r="B1132" t="s">
        <v>2938</v>
      </c>
      <c r="C1132" t="s">
        <v>2939</v>
      </c>
      <c r="D1132" t="s">
        <v>4250</v>
      </c>
      <c r="E1132" t="s">
        <v>342</v>
      </c>
      <c r="F1132" t="s">
        <v>244</v>
      </c>
      <c r="G1132" t="s">
        <v>213</v>
      </c>
      <c r="H1132" t="s">
        <v>104</v>
      </c>
      <c r="I1132" t="s">
        <v>69</v>
      </c>
      <c r="J1132" t="s">
        <v>70</v>
      </c>
      <c r="K1132" t="s">
        <v>230</v>
      </c>
      <c r="L1132" t="s">
        <v>72</v>
      </c>
      <c r="M1132" t="s">
        <v>108</v>
      </c>
      <c r="N1132" t="s">
        <v>310</v>
      </c>
      <c r="O1132" t="s">
        <v>1237</v>
      </c>
      <c r="P1132" t="s">
        <v>1745</v>
      </c>
      <c r="Q1132" t="s">
        <v>3398</v>
      </c>
      <c r="R1132" t="s">
        <v>4653</v>
      </c>
      <c r="S1132" t="s">
        <v>39</v>
      </c>
      <c r="T1132" t="s">
        <v>150</v>
      </c>
      <c r="U1132" t="s">
        <v>300</v>
      </c>
      <c r="V1132" t="s">
        <v>82</v>
      </c>
    </row>
    <row r="1133" spans="1:22" x14ac:dyDescent="0.3">
      <c r="A1133" t="s">
        <v>4654</v>
      </c>
      <c r="B1133" t="s">
        <v>2187</v>
      </c>
      <c r="C1133" t="s">
        <v>2188</v>
      </c>
      <c r="D1133" t="s">
        <v>3528</v>
      </c>
      <c r="E1133" t="s">
        <v>438</v>
      </c>
      <c r="F1133" t="s">
        <v>188</v>
      </c>
      <c r="G1133" t="s">
        <v>580</v>
      </c>
      <c r="H1133" t="s">
        <v>268</v>
      </c>
      <c r="I1133" t="s">
        <v>69</v>
      </c>
      <c r="J1133" t="s">
        <v>257</v>
      </c>
      <c r="K1133" t="s">
        <v>215</v>
      </c>
      <c r="L1133" t="s">
        <v>551</v>
      </c>
      <c r="M1133" t="s">
        <v>151</v>
      </c>
      <c r="N1133" t="s">
        <v>567</v>
      </c>
      <c r="O1133" t="s">
        <v>953</v>
      </c>
      <c r="P1133" t="s">
        <v>480</v>
      </c>
      <c r="Q1133" t="s">
        <v>602</v>
      </c>
      <c r="R1133" t="s">
        <v>3319</v>
      </c>
      <c r="S1133" t="s">
        <v>126</v>
      </c>
      <c r="T1133" t="s">
        <v>137</v>
      </c>
      <c r="U1133" t="s">
        <v>394</v>
      </c>
      <c r="V1133" t="s">
        <v>79</v>
      </c>
    </row>
    <row r="1134" spans="1:22" x14ac:dyDescent="0.3">
      <c r="A1134" t="s">
        <v>4655</v>
      </c>
      <c r="B1134" t="s">
        <v>3949</v>
      </c>
      <c r="C1134" t="s">
        <v>3950</v>
      </c>
      <c r="D1134" t="s">
        <v>4656</v>
      </c>
      <c r="E1134" t="s">
        <v>672</v>
      </c>
      <c r="F1134" t="s">
        <v>244</v>
      </c>
      <c r="G1134" t="s">
        <v>27</v>
      </c>
      <c r="H1134" t="s">
        <v>268</v>
      </c>
      <c r="I1134" t="s">
        <v>69</v>
      </c>
      <c r="J1134" t="s">
        <v>162</v>
      </c>
      <c r="K1134" t="s">
        <v>215</v>
      </c>
      <c r="L1134" t="s">
        <v>201</v>
      </c>
      <c r="M1134" t="s">
        <v>842</v>
      </c>
      <c r="N1134" t="s">
        <v>37</v>
      </c>
      <c r="O1134" t="s">
        <v>806</v>
      </c>
      <c r="P1134" t="s">
        <v>347</v>
      </c>
      <c r="Q1134" t="s">
        <v>233</v>
      </c>
      <c r="R1134" t="s">
        <v>4643</v>
      </c>
      <c r="S1134" t="s">
        <v>97</v>
      </c>
      <c r="T1134" t="s">
        <v>369</v>
      </c>
      <c r="U1134" t="s">
        <v>349</v>
      </c>
      <c r="V1134" t="s">
        <v>58</v>
      </c>
    </row>
    <row r="1135" spans="1:22" x14ac:dyDescent="0.3">
      <c r="A1135" t="s">
        <v>4657</v>
      </c>
      <c r="B1135" t="s">
        <v>3871</v>
      </c>
      <c r="C1135" t="s">
        <v>3872</v>
      </c>
      <c r="D1135" t="s">
        <v>958</v>
      </c>
      <c r="E1135" t="s">
        <v>342</v>
      </c>
      <c r="F1135" t="s">
        <v>244</v>
      </c>
      <c r="G1135" t="s">
        <v>118</v>
      </c>
      <c r="I1135" t="s">
        <v>29</v>
      </c>
      <c r="J1135" t="s">
        <v>70</v>
      </c>
      <c r="K1135" t="s">
        <v>31</v>
      </c>
      <c r="L1135" t="s">
        <v>766</v>
      </c>
      <c r="M1135" t="s">
        <v>4658</v>
      </c>
      <c r="O1135" t="s">
        <v>4658</v>
      </c>
      <c r="P1135" t="s">
        <v>2460</v>
      </c>
      <c r="Q1135" t="s">
        <v>1979</v>
      </c>
      <c r="R1135" t="s">
        <v>4659</v>
      </c>
      <c r="S1135" t="s">
        <v>39</v>
      </c>
      <c r="T1135" t="s">
        <v>714</v>
      </c>
      <c r="U1135" t="s">
        <v>373</v>
      </c>
      <c r="V1135" t="s">
        <v>114</v>
      </c>
    </row>
    <row r="1136" spans="1:22" x14ac:dyDescent="0.3">
      <c r="A1136" t="s">
        <v>4660</v>
      </c>
      <c r="B1136" t="s">
        <v>2837</v>
      </c>
      <c r="C1136" t="s">
        <v>2838</v>
      </c>
      <c r="D1136" t="s">
        <v>2012</v>
      </c>
      <c r="E1136" t="s">
        <v>161</v>
      </c>
      <c r="F1136" t="s">
        <v>161</v>
      </c>
      <c r="G1136" t="s">
        <v>27</v>
      </c>
      <c r="H1136" t="s">
        <v>268</v>
      </c>
      <c r="I1136" t="s">
        <v>69</v>
      </c>
      <c r="J1136" t="s">
        <v>30</v>
      </c>
      <c r="K1136" t="s">
        <v>89</v>
      </c>
      <c r="L1136" t="s">
        <v>937</v>
      </c>
      <c r="M1136" t="s">
        <v>1456</v>
      </c>
      <c r="N1136" t="s">
        <v>2673</v>
      </c>
      <c r="O1136" t="s">
        <v>318</v>
      </c>
      <c r="P1136" t="s">
        <v>742</v>
      </c>
      <c r="Q1136" t="s">
        <v>573</v>
      </c>
      <c r="R1136" t="s">
        <v>2948</v>
      </c>
      <c r="S1136" t="s">
        <v>97</v>
      </c>
      <c r="T1136" t="s">
        <v>770</v>
      </c>
      <c r="U1136" t="s">
        <v>362</v>
      </c>
      <c r="V1136" t="s">
        <v>58</v>
      </c>
    </row>
    <row r="1137" spans="1:22" x14ac:dyDescent="0.3">
      <c r="A1137" t="s">
        <v>4661</v>
      </c>
      <c r="B1137" t="s">
        <v>4027</v>
      </c>
      <c r="C1137" t="s">
        <v>4028</v>
      </c>
      <c r="D1137" t="s">
        <v>3481</v>
      </c>
      <c r="E1137" t="s">
        <v>780</v>
      </c>
      <c r="F1137" t="s">
        <v>282</v>
      </c>
      <c r="G1137" t="s">
        <v>118</v>
      </c>
      <c r="H1137" t="s">
        <v>28</v>
      </c>
      <c r="I1137" t="s">
        <v>69</v>
      </c>
      <c r="J1137" t="s">
        <v>162</v>
      </c>
      <c r="K1137" t="s">
        <v>230</v>
      </c>
      <c r="L1137" t="s">
        <v>135</v>
      </c>
      <c r="M1137" t="s">
        <v>693</v>
      </c>
      <c r="N1137" t="s">
        <v>179</v>
      </c>
      <c r="O1137" t="s">
        <v>693</v>
      </c>
      <c r="P1137" t="s">
        <v>2819</v>
      </c>
      <c r="Q1137" t="s">
        <v>600</v>
      </c>
      <c r="R1137" t="s">
        <v>2155</v>
      </c>
      <c r="S1137" t="s">
        <v>182</v>
      </c>
      <c r="T1137" t="s">
        <v>170</v>
      </c>
      <c r="U1137" t="s">
        <v>394</v>
      </c>
      <c r="V1137" t="s">
        <v>79</v>
      </c>
    </row>
    <row r="1138" spans="1:22" x14ac:dyDescent="0.3">
      <c r="A1138" t="s">
        <v>4662</v>
      </c>
      <c r="B1138" t="s">
        <v>2104</v>
      </c>
      <c r="C1138" t="s">
        <v>2105</v>
      </c>
      <c r="D1138" t="s">
        <v>772</v>
      </c>
      <c r="E1138" t="s">
        <v>267</v>
      </c>
      <c r="F1138" t="s">
        <v>66</v>
      </c>
      <c r="G1138" t="s">
        <v>118</v>
      </c>
      <c r="H1138" t="s">
        <v>104</v>
      </c>
      <c r="I1138" t="s">
        <v>29</v>
      </c>
      <c r="J1138" t="s">
        <v>30</v>
      </c>
      <c r="K1138" t="s">
        <v>293</v>
      </c>
      <c r="L1138" t="s">
        <v>269</v>
      </c>
      <c r="M1138" t="s">
        <v>2740</v>
      </c>
      <c r="N1138" t="s">
        <v>179</v>
      </c>
      <c r="O1138" t="s">
        <v>2740</v>
      </c>
      <c r="P1138" t="s">
        <v>260</v>
      </c>
      <c r="Q1138" t="s">
        <v>489</v>
      </c>
      <c r="R1138" t="s">
        <v>4663</v>
      </c>
      <c r="S1138" t="s">
        <v>58</v>
      </c>
      <c r="T1138" t="s">
        <v>321</v>
      </c>
      <c r="U1138" t="s">
        <v>98</v>
      </c>
      <c r="V1138" t="s">
        <v>79</v>
      </c>
    </row>
    <row r="1139" spans="1:22" x14ac:dyDescent="0.3">
      <c r="A1139" t="s">
        <v>4664</v>
      </c>
      <c r="B1139" t="s">
        <v>1186</v>
      </c>
      <c r="C1139" t="s">
        <v>1187</v>
      </c>
      <c r="D1139" t="s">
        <v>1594</v>
      </c>
      <c r="E1139" t="s">
        <v>893</v>
      </c>
      <c r="F1139" t="s">
        <v>188</v>
      </c>
      <c r="G1139" t="s">
        <v>580</v>
      </c>
      <c r="H1139" t="s">
        <v>68</v>
      </c>
      <c r="I1139" t="s">
        <v>29</v>
      </c>
      <c r="J1139" t="s">
        <v>30</v>
      </c>
      <c r="K1139" t="s">
        <v>293</v>
      </c>
      <c r="L1139" t="s">
        <v>362</v>
      </c>
      <c r="M1139" t="s">
        <v>1106</v>
      </c>
      <c r="N1139" t="s">
        <v>179</v>
      </c>
      <c r="O1139" t="s">
        <v>1106</v>
      </c>
      <c r="P1139" t="s">
        <v>792</v>
      </c>
      <c r="Q1139" t="s">
        <v>896</v>
      </c>
      <c r="R1139" t="s">
        <v>2102</v>
      </c>
      <c r="S1139" t="s">
        <v>182</v>
      </c>
      <c r="T1139" t="s">
        <v>770</v>
      </c>
      <c r="U1139" t="s">
        <v>288</v>
      </c>
      <c r="V1139" t="s">
        <v>82</v>
      </c>
    </row>
    <row r="1140" spans="1:22" x14ac:dyDescent="0.3">
      <c r="A1140" t="s">
        <v>4665</v>
      </c>
      <c r="B1140" t="s">
        <v>1506</v>
      </c>
      <c r="C1140" t="s">
        <v>1507</v>
      </c>
      <c r="D1140" t="s">
        <v>4569</v>
      </c>
      <c r="E1140" t="s">
        <v>634</v>
      </c>
      <c r="F1140" t="s">
        <v>228</v>
      </c>
      <c r="G1140" t="s">
        <v>147</v>
      </c>
      <c r="H1140" t="s">
        <v>214</v>
      </c>
      <c r="I1140" t="s">
        <v>29</v>
      </c>
      <c r="J1140" t="s">
        <v>30</v>
      </c>
      <c r="K1140" t="s">
        <v>230</v>
      </c>
      <c r="L1140" t="s">
        <v>1022</v>
      </c>
      <c r="M1140" t="s">
        <v>1266</v>
      </c>
      <c r="N1140" t="s">
        <v>179</v>
      </c>
      <c r="O1140" t="s">
        <v>1266</v>
      </c>
      <c r="P1140" t="s">
        <v>489</v>
      </c>
      <c r="Q1140" t="s">
        <v>310</v>
      </c>
      <c r="R1140" t="s">
        <v>4610</v>
      </c>
      <c r="S1140" t="s">
        <v>39</v>
      </c>
      <c r="T1140" t="s">
        <v>59</v>
      </c>
      <c r="U1140" t="s">
        <v>81</v>
      </c>
      <c r="V1140" t="s">
        <v>114</v>
      </c>
    </row>
    <row r="1141" spans="1:22" x14ac:dyDescent="0.3">
      <c r="A1141" t="s">
        <v>4666</v>
      </c>
      <c r="B1141" t="s">
        <v>2173</v>
      </c>
      <c r="C1141" t="s">
        <v>2174</v>
      </c>
      <c r="D1141" t="s">
        <v>2369</v>
      </c>
      <c r="E1141" t="s">
        <v>66</v>
      </c>
      <c r="F1141" t="s">
        <v>66</v>
      </c>
      <c r="G1141" t="s">
        <v>48</v>
      </c>
      <c r="H1141" t="s">
        <v>229</v>
      </c>
      <c r="I1141" t="s">
        <v>69</v>
      </c>
      <c r="J1141" t="s">
        <v>30</v>
      </c>
      <c r="K1141" t="s">
        <v>293</v>
      </c>
      <c r="L1141" t="s">
        <v>201</v>
      </c>
      <c r="M1141" t="s">
        <v>850</v>
      </c>
      <c r="N1141" t="s">
        <v>299</v>
      </c>
      <c r="O1141" t="s">
        <v>1681</v>
      </c>
      <c r="P1141" t="s">
        <v>977</v>
      </c>
      <c r="Q1141" t="s">
        <v>140</v>
      </c>
      <c r="R1141" t="s">
        <v>4667</v>
      </c>
      <c r="S1141" t="s">
        <v>97</v>
      </c>
      <c r="T1141" t="s">
        <v>150</v>
      </c>
      <c r="U1141" t="s">
        <v>171</v>
      </c>
      <c r="V1141" t="s">
        <v>42</v>
      </c>
    </row>
    <row r="1142" spans="1:22" x14ac:dyDescent="0.3">
      <c r="A1142" t="s">
        <v>4668</v>
      </c>
      <c r="B1142" t="s">
        <v>4669</v>
      </c>
      <c r="C1142" t="s">
        <v>4670</v>
      </c>
      <c r="D1142" t="s">
        <v>187</v>
      </c>
      <c r="E1142" t="s">
        <v>342</v>
      </c>
      <c r="F1142" t="s">
        <v>244</v>
      </c>
      <c r="G1142" t="s">
        <v>27</v>
      </c>
      <c r="H1142" t="s">
        <v>268</v>
      </c>
      <c r="I1142" t="s">
        <v>29</v>
      </c>
      <c r="J1142" t="s">
        <v>162</v>
      </c>
      <c r="K1142" t="s">
        <v>215</v>
      </c>
      <c r="L1142" t="s">
        <v>1503</v>
      </c>
      <c r="M1142" t="s">
        <v>2881</v>
      </c>
      <c r="N1142" t="s">
        <v>179</v>
      </c>
      <c r="O1142" t="s">
        <v>2881</v>
      </c>
      <c r="P1142" t="s">
        <v>992</v>
      </c>
      <c r="Q1142" t="s">
        <v>828</v>
      </c>
      <c r="R1142" t="s">
        <v>4671</v>
      </c>
      <c r="S1142" t="s">
        <v>79</v>
      </c>
      <c r="T1142" t="s">
        <v>1141</v>
      </c>
      <c r="U1142" t="s">
        <v>373</v>
      </c>
      <c r="V1142" t="s">
        <v>114</v>
      </c>
    </row>
    <row r="1143" spans="1:22" x14ac:dyDescent="0.3">
      <c r="A1143" t="s">
        <v>4672</v>
      </c>
      <c r="B1143" t="s">
        <v>2384</v>
      </c>
      <c r="C1143" t="s">
        <v>2385</v>
      </c>
      <c r="D1143" t="s">
        <v>982</v>
      </c>
      <c r="E1143" t="s">
        <v>161</v>
      </c>
      <c r="F1143" t="s">
        <v>161</v>
      </c>
      <c r="G1143" t="s">
        <v>118</v>
      </c>
      <c r="H1143" t="s">
        <v>49</v>
      </c>
      <c r="I1143" t="s">
        <v>69</v>
      </c>
      <c r="J1143" t="s">
        <v>30</v>
      </c>
      <c r="K1143" t="s">
        <v>230</v>
      </c>
      <c r="L1143" t="s">
        <v>258</v>
      </c>
      <c r="M1143" t="s">
        <v>297</v>
      </c>
      <c r="N1143" t="s">
        <v>107</v>
      </c>
      <c r="O1143" t="s">
        <v>1402</v>
      </c>
      <c r="P1143" t="s">
        <v>734</v>
      </c>
      <c r="Q1143" t="s">
        <v>1509</v>
      </c>
      <c r="R1143" t="s">
        <v>3150</v>
      </c>
      <c r="S1143" t="s">
        <v>97</v>
      </c>
      <c r="T1143" t="s">
        <v>74</v>
      </c>
      <c r="U1143" t="s">
        <v>171</v>
      </c>
      <c r="V1143" t="s">
        <v>79</v>
      </c>
    </row>
    <row r="1144" spans="1:22" x14ac:dyDescent="0.3">
      <c r="A1144" t="s">
        <v>4673</v>
      </c>
      <c r="B1144" t="s">
        <v>4222</v>
      </c>
      <c r="C1144" t="s">
        <v>4223</v>
      </c>
      <c r="D1144" t="s">
        <v>4674</v>
      </c>
      <c r="E1144" t="s">
        <v>160</v>
      </c>
      <c r="F1144" t="s">
        <v>161</v>
      </c>
      <c r="G1144" t="s">
        <v>67</v>
      </c>
      <c r="H1144" t="s">
        <v>68</v>
      </c>
      <c r="I1144" t="s">
        <v>69</v>
      </c>
      <c r="J1144" t="s">
        <v>162</v>
      </c>
      <c r="K1144" t="s">
        <v>230</v>
      </c>
      <c r="L1144" t="s">
        <v>428</v>
      </c>
      <c r="M1144" t="s">
        <v>1558</v>
      </c>
      <c r="N1144" t="s">
        <v>384</v>
      </c>
      <c r="O1144" t="s">
        <v>1680</v>
      </c>
      <c r="P1144" t="s">
        <v>805</v>
      </c>
      <c r="Q1144" t="s">
        <v>1539</v>
      </c>
      <c r="R1144" t="s">
        <v>4675</v>
      </c>
      <c r="S1144" t="s">
        <v>182</v>
      </c>
      <c r="T1144" t="s">
        <v>1162</v>
      </c>
      <c r="U1144" t="s">
        <v>128</v>
      </c>
      <c r="V1144" t="s">
        <v>79</v>
      </c>
    </row>
    <row r="1145" spans="1:22" x14ac:dyDescent="0.3">
      <c r="A1145" t="s">
        <v>4676</v>
      </c>
      <c r="B1145" t="s">
        <v>3517</v>
      </c>
      <c r="C1145" t="s">
        <v>3518</v>
      </c>
      <c r="D1145" t="s">
        <v>4677</v>
      </c>
      <c r="E1145" t="s">
        <v>893</v>
      </c>
      <c r="F1145" t="s">
        <v>188</v>
      </c>
      <c r="G1145" t="s">
        <v>67</v>
      </c>
      <c r="H1145" t="s">
        <v>68</v>
      </c>
      <c r="I1145" t="s">
        <v>69</v>
      </c>
      <c r="J1145" t="s">
        <v>70</v>
      </c>
      <c r="K1145" t="s">
        <v>71</v>
      </c>
      <c r="L1145" t="s">
        <v>902</v>
      </c>
      <c r="M1145" t="s">
        <v>822</v>
      </c>
      <c r="N1145" t="s">
        <v>655</v>
      </c>
      <c r="O1145" t="s">
        <v>1260</v>
      </c>
      <c r="P1145" t="s">
        <v>439</v>
      </c>
      <c r="Q1145" t="s">
        <v>361</v>
      </c>
      <c r="R1145" t="s">
        <v>4598</v>
      </c>
      <c r="S1145" t="s">
        <v>58</v>
      </c>
      <c r="T1145" t="s">
        <v>695</v>
      </c>
      <c r="U1145" t="s">
        <v>288</v>
      </c>
      <c r="V1145" t="s">
        <v>58</v>
      </c>
    </row>
    <row r="1146" spans="1:22" x14ac:dyDescent="0.3">
      <c r="A1146" t="s">
        <v>4678</v>
      </c>
      <c r="B1146" t="s">
        <v>809</v>
      </c>
      <c r="C1146" t="s">
        <v>810</v>
      </c>
      <c r="D1146" t="s">
        <v>3706</v>
      </c>
      <c r="E1146" t="s">
        <v>354</v>
      </c>
      <c r="F1146" t="s">
        <v>134</v>
      </c>
      <c r="G1146" t="s">
        <v>213</v>
      </c>
      <c r="H1146" t="s">
        <v>28</v>
      </c>
      <c r="I1146" t="s">
        <v>29</v>
      </c>
      <c r="J1146" t="s">
        <v>30</v>
      </c>
      <c r="K1146" t="s">
        <v>89</v>
      </c>
      <c r="L1146" t="s">
        <v>513</v>
      </c>
      <c r="M1146" t="s">
        <v>480</v>
      </c>
      <c r="N1146" t="s">
        <v>179</v>
      </c>
      <c r="O1146" t="s">
        <v>480</v>
      </c>
      <c r="P1146" t="s">
        <v>124</v>
      </c>
      <c r="Q1146" t="s">
        <v>648</v>
      </c>
      <c r="R1146" t="s">
        <v>4679</v>
      </c>
      <c r="S1146" t="s">
        <v>58</v>
      </c>
      <c r="T1146" t="s">
        <v>1230</v>
      </c>
      <c r="U1146" t="s">
        <v>385</v>
      </c>
      <c r="V1146" t="s">
        <v>42</v>
      </c>
    </row>
    <row r="1147" spans="1:22" x14ac:dyDescent="0.3">
      <c r="A1147" t="s">
        <v>4680</v>
      </c>
      <c r="B1147" t="s">
        <v>4027</v>
      </c>
      <c r="C1147" t="s">
        <v>4028</v>
      </c>
      <c r="D1147" t="s">
        <v>3562</v>
      </c>
      <c r="E1147" t="s">
        <v>634</v>
      </c>
      <c r="F1147" t="s">
        <v>228</v>
      </c>
      <c r="G1147" t="s">
        <v>580</v>
      </c>
      <c r="H1147" t="s">
        <v>229</v>
      </c>
      <c r="I1147" t="s">
        <v>69</v>
      </c>
      <c r="J1147" t="s">
        <v>30</v>
      </c>
      <c r="K1147" t="s">
        <v>215</v>
      </c>
      <c r="L1147" t="s">
        <v>362</v>
      </c>
      <c r="M1147" t="s">
        <v>4681</v>
      </c>
      <c r="N1147" t="s">
        <v>179</v>
      </c>
      <c r="O1147" t="s">
        <v>4681</v>
      </c>
      <c r="P1147" t="s">
        <v>542</v>
      </c>
      <c r="Q1147" t="s">
        <v>1773</v>
      </c>
      <c r="R1147" t="s">
        <v>4682</v>
      </c>
      <c r="S1147" t="s">
        <v>58</v>
      </c>
      <c r="T1147" t="s">
        <v>742</v>
      </c>
      <c r="U1147" t="s">
        <v>407</v>
      </c>
      <c r="V1147" t="s">
        <v>79</v>
      </c>
    </row>
    <row r="1148" spans="1:22" x14ac:dyDescent="0.3">
      <c r="A1148" t="s">
        <v>4683</v>
      </c>
      <c r="B1148" t="s">
        <v>2504</v>
      </c>
      <c r="C1148" t="s">
        <v>2505</v>
      </c>
      <c r="D1148" t="s">
        <v>4064</v>
      </c>
      <c r="E1148" t="s">
        <v>176</v>
      </c>
      <c r="F1148" t="s">
        <v>161</v>
      </c>
      <c r="G1148" t="s">
        <v>48</v>
      </c>
      <c r="H1148" t="s">
        <v>104</v>
      </c>
      <c r="I1148" t="s">
        <v>69</v>
      </c>
      <c r="J1148" t="s">
        <v>162</v>
      </c>
      <c r="K1148" t="s">
        <v>293</v>
      </c>
      <c r="L1148" t="s">
        <v>246</v>
      </c>
      <c r="M1148" t="s">
        <v>317</v>
      </c>
      <c r="N1148" t="s">
        <v>896</v>
      </c>
      <c r="O1148" t="s">
        <v>2378</v>
      </c>
      <c r="P1148" t="s">
        <v>2902</v>
      </c>
      <c r="Q1148" t="s">
        <v>1694</v>
      </c>
      <c r="R1148" t="s">
        <v>4684</v>
      </c>
      <c r="S1148" t="s">
        <v>79</v>
      </c>
      <c r="T1148" t="s">
        <v>695</v>
      </c>
      <c r="U1148" t="s">
        <v>41</v>
      </c>
      <c r="V1148" t="s">
        <v>58</v>
      </c>
    </row>
    <row r="1149" spans="1:22" x14ac:dyDescent="0.3">
      <c r="A1149" t="s">
        <v>4685</v>
      </c>
      <c r="B1149" t="s">
        <v>2330</v>
      </c>
      <c r="C1149" t="s">
        <v>2331</v>
      </c>
      <c r="D1149" t="s">
        <v>4686</v>
      </c>
      <c r="E1149" t="s">
        <v>267</v>
      </c>
      <c r="F1149" t="s">
        <v>66</v>
      </c>
      <c r="G1149" t="s">
        <v>67</v>
      </c>
      <c r="H1149" t="s">
        <v>88</v>
      </c>
      <c r="I1149" t="s">
        <v>69</v>
      </c>
      <c r="J1149" t="s">
        <v>30</v>
      </c>
      <c r="K1149" t="s">
        <v>50</v>
      </c>
      <c r="L1149" t="s">
        <v>177</v>
      </c>
      <c r="M1149" t="s">
        <v>3163</v>
      </c>
      <c r="N1149" t="s">
        <v>179</v>
      </c>
      <c r="O1149" t="s">
        <v>3163</v>
      </c>
      <c r="P1149" t="s">
        <v>122</v>
      </c>
      <c r="Q1149" t="s">
        <v>1396</v>
      </c>
      <c r="R1149" t="s">
        <v>4687</v>
      </c>
      <c r="S1149" t="s">
        <v>58</v>
      </c>
      <c r="T1149" t="s">
        <v>2037</v>
      </c>
      <c r="U1149" t="s">
        <v>362</v>
      </c>
      <c r="V1149" t="s">
        <v>114</v>
      </c>
    </row>
    <row r="1150" spans="1:22" x14ac:dyDescent="0.3">
      <c r="A1150" t="s">
        <v>4688</v>
      </c>
      <c r="B1150" t="s">
        <v>130</v>
      </c>
      <c r="C1150" t="s">
        <v>131</v>
      </c>
      <c r="D1150" t="s">
        <v>64</v>
      </c>
      <c r="E1150" t="s">
        <v>160</v>
      </c>
      <c r="F1150" t="s">
        <v>161</v>
      </c>
      <c r="G1150" t="s">
        <v>580</v>
      </c>
      <c r="H1150" t="s">
        <v>88</v>
      </c>
      <c r="I1150" t="s">
        <v>69</v>
      </c>
      <c r="J1150" t="s">
        <v>70</v>
      </c>
      <c r="K1150" t="s">
        <v>245</v>
      </c>
      <c r="L1150" t="s">
        <v>1515</v>
      </c>
      <c r="M1150" t="s">
        <v>4689</v>
      </c>
      <c r="N1150" t="s">
        <v>593</v>
      </c>
      <c r="O1150" t="s">
        <v>4690</v>
      </c>
      <c r="P1150" t="s">
        <v>2526</v>
      </c>
      <c r="Q1150" t="s">
        <v>1064</v>
      </c>
      <c r="R1150" t="s">
        <v>3043</v>
      </c>
      <c r="S1150" t="s">
        <v>39</v>
      </c>
      <c r="T1150" t="s">
        <v>710</v>
      </c>
      <c r="U1150" t="s">
        <v>288</v>
      </c>
      <c r="V1150" t="s">
        <v>42</v>
      </c>
    </row>
    <row r="1151" spans="1:22" x14ac:dyDescent="0.3">
      <c r="A1151" t="s">
        <v>4691</v>
      </c>
      <c r="B1151" t="s">
        <v>980</v>
      </c>
      <c r="C1151" t="s">
        <v>981</v>
      </c>
      <c r="D1151" t="s">
        <v>4692</v>
      </c>
      <c r="E1151" t="s">
        <v>65</v>
      </c>
      <c r="F1151" t="s">
        <v>66</v>
      </c>
      <c r="G1151" t="s">
        <v>580</v>
      </c>
      <c r="H1151" t="s">
        <v>229</v>
      </c>
      <c r="I1151" t="s">
        <v>69</v>
      </c>
      <c r="J1151" t="s">
        <v>30</v>
      </c>
      <c r="K1151" t="s">
        <v>215</v>
      </c>
      <c r="L1151" t="s">
        <v>466</v>
      </c>
      <c r="M1151" t="s">
        <v>3747</v>
      </c>
      <c r="N1151" t="s">
        <v>326</v>
      </c>
      <c r="O1151" t="s">
        <v>1213</v>
      </c>
      <c r="P1151" t="s">
        <v>1517</v>
      </c>
      <c r="Q1151" t="s">
        <v>3456</v>
      </c>
      <c r="R1151" t="s">
        <v>4693</v>
      </c>
      <c r="S1151" t="s">
        <v>39</v>
      </c>
      <c r="T1151" t="s">
        <v>40</v>
      </c>
      <c r="U1151" t="s">
        <v>373</v>
      </c>
      <c r="V1151" t="s">
        <v>42</v>
      </c>
    </row>
    <row r="1152" spans="1:22" x14ac:dyDescent="0.3">
      <c r="A1152" t="s">
        <v>4694</v>
      </c>
      <c r="B1152" t="s">
        <v>2563</v>
      </c>
      <c r="C1152" t="s">
        <v>2564</v>
      </c>
      <c r="D1152" t="s">
        <v>398</v>
      </c>
      <c r="E1152" t="s">
        <v>672</v>
      </c>
      <c r="F1152" t="s">
        <v>244</v>
      </c>
      <c r="G1152" t="s">
        <v>213</v>
      </c>
      <c r="H1152" t="s">
        <v>49</v>
      </c>
      <c r="I1152" t="s">
        <v>69</v>
      </c>
      <c r="J1152" t="s">
        <v>30</v>
      </c>
      <c r="K1152" t="s">
        <v>50</v>
      </c>
      <c r="L1152" t="s">
        <v>1022</v>
      </c>
      <c r="M1152" t="s">
        <v>4695</v>
      </c>
      <c r="N1152" t="s">
        <v>770</v>
      </c>
      <c r="O1152" t="s">
        <v>1716</v>
      </c>
      <c r="P1152" t="s">
        <v>527</v>
      </c>
      <c r="Q1152" t="s">
        <v>505</v>
      </c>
      <c r="R1152" t="s">
        <v>4696</v>
      </c>
      <c r="S1152" t="s">
        <v>97</v>
      </c>
      <c r="T1152" t="s">
        <v>1303</v>
      </c>
      <c r="U1152" t="s">
        <v>867</v>
      </c>
      <c r="V1152" t="s">
        <v>114</v>
      </c>
    </row>
    <row r="1153" spans="1:22" x14ac:dyDescent="0.3">
      <c r="A1153" t="s">
        <v>4697</v>
      </c>
      <c r="B1153" t="s">
        <v>3448</v>
      </c>
      <c r="C1153" t="s">
        <v>3449</v>
      </c>
      <c r="D1153" t="s">
        <v>3197</v>
      </c>
      <c r="E1153" t="s">
        <v>267</v>
      </c>
      <c r="F1153" t="s">
        <v>66</v>
      </c>
      <c r="G1153" t="s">
        <v>103</v>
      </c>
      <c r="H1153" t="s">
        <v>104</v>
      </c>
      <c r="I1153" t="s">
        <v>69</v>
      </c>
      <c r="J1153" t="s">
        <v>70</v>
      </c>
      <c r="K1153" t="s">
        <v>293</v>
      </c>
      <c r="L1153" t="s">
        <v>32</v>
      </c>
      <c r="M1153" t="s">
        <v>554</v>
      </c>
      <c r="N1153" t="s">
        <v>183</v>
      </c>
      <c r="O1153" t="s">
        <v>2932</v>
      </c>
      <c r="P1153" t="s">
        <v>271</v>
      </c>
      <c r="Q1153" t="s">
        <v>1230</v>
      </c>
      <c r="R1153" t="s">
        <v>4698</v>
      </c>
      <c r="S1153" t="s">
        <v>39</v>
      </c>
      <c r="T1153" t="s">
        <v>782</v>
      </c>
      <c r="U1153" t="s">
        <v>394</v>
      </c>
      <c r="V1153" t="s">
        <v>42</v>
      </c>
    </row>
    <row r="1154" spans="1:22" x14ac:dyDescent="0.3">
      <c r="A1154" t="s">
        <v>4699</v>
      </c>
      <c r="B1154" t="s">
        <v>1292</v>
      </c>
      <c r="C1154" t="s">
        <v>1293</v>
      </c>
      <c r="D1154" t="s">
        <v>797</v>
      </c>
      <c r="E1154" t="s">
        <v>227</v>
      </c>
      <c r="F1154" t="s">
        <v>228</v>
      </c>
      <c r="G1154" t="s">
        <v>27</v>
      </c>
      <c r="H1154" t="s">
        <v>214</v>
      </c>
      <c r="I1154" t="s">
        <v>69</v>
      </c>
      <c r="J1154" t="s">
        <v>30</v>
      </c>
      <c r="K1154" t="s">
        <v>50</v>
      </c>
      <c r="L1154" t="s">
        <v>1010</v>
      </c>
      <c r="M1154" t="s">
        <v>2982</v>
      </c>
      <c r="N1154" t="s">
        <v>529</v>
      </c>
      <c r="O1154" t="s">
        <v>36</v>
      </c>
      <c r="P1154" t="s">
        <v>1090</v>
      </c>
      <c r="Q1154" t="s">
        <v>406</v>
      </c>
      <c r="R1154" t="s">
        <v>4700</v>
      </c>
      <c r="S1154" t="s">
        <v>39</v>
      </c>
      <c r="T1154" t="s">
        <v>735</v>
      </c>
      <c r="U1154" t="s">
        <v>385</v>
      </c>
      <c r="V1154" t="s">
        <v>58</v>
      </c>
    </row>
    <row r="1155" spans="1:22" x14ac:dyDescent="0.3">
      <c r="A1155" t="s">
        <v>4701</v>
      </c>
      <c r="B1155" t="s">
        <v>2675</v>
      </c>
      <c r="C1155" t="s">
        <v>2676</v>
      </c>
      <c r="D1155" t="s">
        <v>3766</v>
      </c>
      <c r="E1155" t="s">
        <v>780</v>
      </c>
      <c r="F1155" t="s">
        <v>282</v>
      </c>
      <c r="G1155" t="s">
        <v>213</v>
      </c>
      <c r="H1155" t="s">
        <v>49</v>
      </c>
      <c r="I1155" t="s">
        <v>69</v>
      </c>
      <c r="J1155" t="s">
        <v>30</v>
      </c>
      <c r="K1155" t="s">
        <v>89</v>
      </c>
      <c r="L1155" t="s">
        <v>906</v>
      </c>
      <c r="M1155" t="s">
        <v>1485</v>
      </c>
      <c r="N1155" t="s">
        <v>573</v>
      </c>
      <c r="O1155" t="s">
        <v>505</v>
      </c>
      <c r="P1155" t="s">
        <v>1222</v>
      </c>
      <c r="Q1155" t="s">
        <v>37</v>
      </c>
      <c r="R1155" t="s">
        <v>4702</v>
      </c>
      <c r="S1155" t="s">
        <v>182</v>
      </c>
      <c r="T1155" t="s">
        <v>1230</v>
      </c>
      <c r="U1155" t="s">
        <v>277</v>
      </c>
      <c r="V1155" t="s">
        <v>82</v>
      </c>
    </row>
    <row r="1156" spans="1:22" x14ac:dyDescent="0.3">
      <c r="A1156" t="s">
        <v>4703</v>
      </c>
      <c r="B1156" t="s">
        <v>2959</v>
      </c>
      <c r="C1156" t="s">
        <v>2960</v>
      </c>
      <c r="D1156" t="s">
        <v>4704</v>
      </c>
      <c r="E1156" t="s">
        <v>378</v>
      </c>
      <c r="F1156" t="s">
        <v>282</v>
      </c>
      <c r="G1156" t="s">
        <v>147</v>
      </c>
      <c r="H1156" t="s">
        <v>68</v>
      </c>
      <c r="I1156" t="s">
        <v>69</v>
      </c>
      <c r="J1156" t="s">
        <v>30</v>
      </c>
      <c r="K1156" t="s">
        <v>89</v>
      </c>
      <c r="L1156" t="s">
        <v>902</v>
      </c>
      <c r="M1156" t="s">
        <v>1699</v>
      </c>
      <c r="N1156" t="s">
        <v>321</v>
      </c>
      <c r="O1156" t="s">
        <v>1039</v>
      </c>
      <c r="P1156" t="s">
        <v>703</v>
      </c>
      <c r="Q1156" t="s">
        <v>335</v>
      </c>
      <c r="R1156" t="s">
        <v>4705</v>
      </c>
      <c r="S1156" t="s">
        <v>79</v>
      </c>
      <c r="T1156" t="s">
        <v>140</v>
      </c>
      <c r="U1156" t="s">
        <v>238</v>
      </c>
      <c r="V1156" t="s">
        <v>114</v>
      </c>
    </row>
    <row r="1157" spans="1:22" x14ac:dyDescent="0.3">
      <c r="A1157" t="s">
        <v>4706</v>
      </c>
      <c r="B1157" t="s">
        <v>570</v>
      </c>
      <c r="C1157" t="s">
        <v>571</v>
      </c>
      <c r="D1157" t="s">
        <v>708</v>
      </c>
      <c r="E1157" t="s">
        <v>1321</v>
      </c>
      <c r="F1157" t="s">
        <v>228</v>
      </c>
      <c r="G1157" t="s">
        <v>67</v>
      </c>
      <c r="H1157" t="s">
        <v>268</v>
      </c>
      <c r="I1157" t="s">
        <v>69</v>
      </c>
      <c r="J1157" t="s">
        <v>30</v>
      </c>
      <c r="K1157" t="s">
        <v>50</v>
      </c>
      <c r="L1157" t="s">
        <v>105</v>
      </c>
      <c r="M1157" t="s">
        <v>52</v>
      </c>
      <c r="N1157" t="s">
        <v>179</v>
      </c>
      <c r="O1157" t="s">
        <v>52</v>
      </c>
      <c r="P1157" t="s">
        <v>489</v>
      </c>
      <c r="Q1157" t="s">
        <v>299</v>
      </c>
      <c r="R1157" t="s">
        <v>682</v>
      </c>
      <c r="S1157" t="s">
        <v>97</v>
      </c>
      <c r="T1157" t="s">
        <v>59</v>
      </c>
      <c r="V1157" t="s">
        <v>42</v>
      </c>
    </row>
    <row r="1158" spans="1:22" x14ac:dyDescent="0.3">
      <c r="A1158" t="s">
        <v>4707</v>
      </c>
      <c r="B1158" t="s">
        <v>2971</v>
      </c>
      <c r="C1158" t="s">
        <v>2972</v>
      </c>
      <c r="D1158" t="s">
        <v>4708</v>
      </c>
      <c r="E1158" t="s">
        <v>378</v>
      </c>
      <c r="F1158" t="s">
        <v>282</v>
      </c>
      <c r="G1158" t="s">
        <v>27</v>
      </c>
      <c r="H1158" t="s">
        <v>214</v>
      </c>
      <c r="I1158" t="s">
        <v>69</v>
      </c>
      <c r="J1158" t="s">
        <v>30</v>
      </c>
      <c r="K1158" t="s">
        <v>230</v>
      </c>
      <c r="L1158" t="s">
        <v>598</v>
      </c>
      <c r="M1158" t="s">
        <v>2537</v>
      </c>
      <c r="N1158" t="s">
        <v>137</v>
      </c>
      <c r="O1158" t="s">
        <v>149</v>
      </c>
      <c r="P1158" t="s">
        <v>1063</v>
      </c>
      <c r="Q1158" t="s">
        <v>3471</v>
      </c>
      <c r="R1158" t="s">
        <v>4709</v>
      </c>
      <c r="S1158" t="s">
        <v>58</v>
      </c>
      <c r="T1158" t="s">
        <v>321</v>
      </c>
      <c r="U1158" t="s">
        <v>98</v>
      </c>
      <c r="V1158" t="s">
        <v>79</v>
      </c>
    </row>
    <row r="1159" spans="1:22" x14ac:dyDescent="0.3">
      <c r="A1159" t="s">
        <v>4710</v>
      </c>
      <c r="B1159" t="s">
        <v>918</v>
      </c>
      <c r="C1159" t="s">
        <v>919</v>
      </c>
      <c r="D1159" t="s">
        <v>4166</v>
      </c>
      <c r="E1159" t="s">
        <v>1321</v>
      </c>
      <c r="F1159" t="s">
        <v>228</v>
      </c>
      <c r="G1159" t="s">
        <v>147</v>
      </c>
      <c r="H1159" t="s">
        <v>268</v>
      </c>
      <c r="I1159" t="s">
        <v>29</v>
      </c>
      <c r="J1159" t="s">
        <v>30</v>
      </c>
      <c r="K1159" t="s">
        <v>245</v>
      </c>
      <c r="L1159" t="s">
        <v>362</v>
      </c>
      <c r="M1159" t="s">
        <v>4711</v>
      </c>
      <c r="N1159" t="s">
        <v>886</v>
      </c>
      <c r="O1159" t="s">
        <v>2785</v>
      </c>
      <c r="P1159" t="s">
        <v>3703</v>
      </c>
      <c r="Q1159" t="s">
        <v>2440</v>
      </c>
      <c r="R1159" t="s">
        <v>4712</v>
      </c>
      <c r="S1159" t="s">
        <v>39</v>
      </c>
      <c r="T1159" t="s">
        <v>318</v>
      </c>
      <c r="U1159" t="s">
        <v>41</v>
      </c>
      <c r="V1159" t="s">
        <v>58</v>
      </c>
    </row>
    <row r="1160" spans="1:22" x14ac:dyDescent="0.3">
      <c r="A1160" t="s">
        <v>4713</v>
      </c>
      <c r="B1160" t="s">
        <v>2687</v>
      </c>
      <c r="C1160" t="s">
        <v>2688</v>
      </c>
      <c r="D1160" t="s">
        <v>4714</v>
      </c>
      <c r="E1160" t="s">
        <v>378</v>
      </c>
      <c r="F1160" t="s">
        <v>282</v>
      </c>
      <c r="G1160" t="s">
        <v>580</v>
      </c>
      <c r="H1160" t="s">
        <v>268</v>
      </c>
      <c r="I1160" t="s">
        <v>29</v>
      </c>
      <c r="J1160" t="s">
        <v>30</v>
      </c>
      <c r="K1160" t="s">
        <v>71</v>
      </c>
      <c r="L1160" t="s">
        <v>177</v>
      </c>
      <c r="M1160" t="s">
        <v>913</v>
      </c>
      <c r="N1160" t="s">
        <v>966</v>
      </c>
      <c r="O1160" t="s">
        <v>4127</v>
      </c>
      <c r="P1160" t="s">
        <v>2143</v>
      </c>
      <c r="Q1160" t="s">
        <v>850</v>
      </c>
      <c r="R1160" t="s">
        <v>3198</v>
      </c>
      <c r="S1160" t="s">
        <v>39</v>
      </c>
      <c r="T1160" t="s">
        <v>686</v>
      </c>
      <c r="U1160" t="s">
        <v>60</v>
      </c>
      <c r="V1160" t="s">
        <v>114</v>
      </c>
    </row>
    <row r="1161" spans="1:22" x14ac:dyDescent="0.3">
      <c r="A1161" t="s">
        <v>4715</v>
      </c>
      <c r="B1161" t="s">
        <v>4184</v>
      </c>
      <c r="C1161" t="s">
        <v>4185</v>
      </c>
      <c r="D1161" t="s">
        <v>4375</v>
      </c>
      <c r="E1161" t="s">
        <v>399</v>
      </c>
      <c r="F1161" t="s">
        <v>188</v>
      </c>
      <c r="G1161" t="s">
        <v>27</v>
      </c>
      <c r="H1161" t="s">
        <v>68</v>
      </c>
      <c r="I1161" t="s">
        <v>69</v>
      </c>
      <c r="J1161" t="s">
        <v>30</v>
      </c>
      <c r="K1161" t="s">
        <v>31</v>
      </c>
      <c r="L1161" t="s">
        <v>32</v>
      </c>
      <c r="M1161" t="s">
        <v>204</v>
      </c>
      <c r="N1161" t="s">
        <v>179</v>
      </c>
      <c r="O1161" t="s">
        <v>204</v>
      </c>
      <c r="P1161" t="s">
        <v>948</v>
      </c>
      <c r="Q1161" t="s">
        <v>1568</v>
      </c>
      <c r="R1161" t="s">
        <v>4716</v>
      </c>
      <c r="S1161" t="s">
        <v>97</v>
      </c>
      <c r="T1161" t="s">
        <v>648</v>
      </c>
      <c r="U1161" t="s">
        <v>362</v>
      </c>
      <c r="V1161" t="s">
        <v>114</v>
      </c>
    </row>
    <row r="1162" spans="1:22" x14ac:dyDescent="0.3">
      <c r="A1162" t="s">
        <v>4717</v>
      </c>
      <c r="B1162" t="s">
        <v>2017</v>
      </c>
      <c r="C1162" t="s">
        <v>2018</v>
      </c>
      <c r="D1162" t="s">
        <v>2338</v>
      </c>
      <c r="E1162" t="s">
        <v>893</v>
      </c>
      <c r="F1162" t="s">
        <v>188</v>
      </c>
      <c r="G1162" t="s">
        <v>67</v>
      </c>
      <c r="H1162" t="s">
        <v>268</v>
      </c>
      <c r="I1162" t="s">
        <v>69</v>
      </c>
      <c r="J1162" t="s">
        <v>30</v>
      </c>
      <c r="K1162" t="s">
        <v>215</v>
      </c>
      <c r="L1162" t="s">
        <v>1022</v>
      </c>
      <c r="M1162" t="s">
        <v>898</v>
      </c>
      <c r="N1162" t="s">
        <v>1028</v>
      </c>
      <c r="O1162" t="s">
        <v>1029</v>
      </c>
      <c r="P1162" t="s">
        <v>411</v>
      </c>
      <c r="Q1162" t="s">
        <v>56</v>
      </c>
      <c r="R1162" t="s">
        <v>4718</v>
      </c>
      <c r="S1162" t="s">
        <v>58</v>
      </c>
      <c r="T1162" t="s">
        <v>233</v>
      </c>
      <c r="U1162" t="s">
        <v>349</v>
      </c>
      <c r="V1162" t="s">
        <v>42</v>
      </c>
    </row>
    <row r="1163" spans="1:22" x14ac:dyDescent="0.3">
      <c r="A1163" t="s">
        <v>4719</v>
      </c>
      <c r="B1163" t="s">
        <v>4206</v>
      </c>
      <c r="C1163" t="s">
        <v>4207</v>
      </c>
      <c r="D1163" t="s">
        <v>4720</v>
      </c>
      <c r="E1163" t="s">
        <v>378</v>
      </c>
      <c r="F1163" t="s">
        <v>282</v>
      </c>
      <c r="G1163" t="s">
        <v>67</v>
      </c>
      <c r="H1163" t="s">
        <v>68</v>
      </c>
      <c r="I1163" t="s">
        <v>69</v>
      </c>
      <c r="J1163" t="s">
        <v>30</v>
      </c>
      <c r="K1163" t="s">
        <v>71</v>
      </c>
      <c r="L1163" t="s">
        <v>766</v>
      </c>
      <c r="M1163" t="s">
        <v>2237</v>
      </c>
      <c r="N1163" t="s">
        <v>179</v>
      </c>
      <c r="O1163" t="s">
        <v>2237</v>
      </c>
      <c r="P1163" t="s">
        <v>1517</v>
      </c>
      <c r="Q1163" t="s">
        <v>233</v>
      </c>
      <c r="R1163" t="s">
        <v>4721</v>
      </c>
      <c r="S1163" t="s">
        <v>97</v>
      </c>
      <c r="T1163" t="s">
        <v>604</v>
      </c>
      <c r="U1163" t="s">
        <v>385</v>
      </c>
      <c r="V1163" t="s">
        <v>82</v>
      </c>
    </row>
    <row r="1164" spans="1:22" x14ac:dyDescent="0.3">
      <c r="A1164" t="s">
        <v>4722</v>
      </c>
      <c r="B1164" t="s">
        <v>2384</v>
      </c>
      <c r="C1164" t="s">
        <v>2385</v>
      </c>
      <c r="D1164" t="s">
        <v>4326</v>
      </c>
      <c r="E1164" t="s">
        <v>188</v>
      </c>
      <c r="F1164" t="s">
        <v>188</v>
      </c>
      <c r="G1164" t="s">
        <v>213</v>
      </c>
      <c r="H1164" t="s">
        <v>1967</v>
      </c>
      <c r="I1164" t="s">
        <v>69</v>
      </c>
      <c r="J1164" t="s">
        <v>30</v>
      </c>
      <c r="K1164" t="s">
        <v>200</v>
      </c>
      <c r="L1164" t="s">
        <v>72</v>
      </c>
      <c r="M1164" t="s">
        <v>3051</v>
      </c>
      <c r="N1164" t="s">
        <v>179</v>
      </c>
      <c r="O1164" t="s">
        <v>3051</v>
      </c>
      <c r="P1164" t="s">
        <v>1705</v>
      </c>
      <c r="Q1164" t="s">
        <v>526</v>
      </c>
      <c r="R1164" t="s">
        <v>4723</v>
      </c>
      <c r="S1164" t="s">
        <v>39</v>
      </c>
      <c r="T1164" t="s">
        <v>742</v>
      </c>
      <c r="U1164" t="s">
        <v>155</v>
      </c>
      <c r="V1164" t="s">
        <v>42</v>
      </c>
    </row>
    <row r="1165" spans="1:22" x14ac:dyDescent="0.3">
      <c r="A1165" t="s">
        <v>4724</v>
      </c>
      <c r="B1165" t="s">
        <v>510</v>
      </c>
      <c r="C1165" t="s">
        <v>511</v>
      </c>
      <c r="D1165" t="s">
        <v>1294</v>
      </c>
      <c r="E1165" t="s">
        <v>378</v>
      </c>
      <c r="F1165" t="s">
        <v>282</v>
      </c>
      <c r="G1165" t="s">
        <v>103</v>
      </c>
      <c r="H1165" t="s">
        <v>104</v>
      </c>
      <c r="I1165" t="s">
        <v>69</v>
      </c>
      <c r="J1165" t="s">
        <v>70</v>
      </c>
      <c r="K1165" t="s">
        <v>215</v>
      </c>
      <c r="L1165" t="s">
        <v>246</v>
      </c>
      <c r="M1165" t="s">
        <v>3881</v>
      </c>
      <c r="N1165" t="s">
        <v>310</v>
      </c>
      <c r="O1165" t="s">
        <v>1170</v>
      </c>
      <c r="P1165" t="s">
        <v>3545</v>
      </c>
      <c r="Q1165" t="s">
        <v>1230</v>
      </c>
      <c r="R1165" t="s">
        <v>4725</v>
      </c>
      <c r="S1165" t="s">
        <v>79</v>
      </c>
      <c r="T1165" t="s">
        <v>299</v>
      </c>
      <c r="U1165" t="s">
        <v>171</v>
      </c>
      <c r="V1165" t="s">
        <v>79</v>
      </c>
    </row>
    <row r="1166" spans="1:22" x14ac:dyDescent="0.3">
      <c r="A1166" t="s">
        <v>4726</v>
      </c>
      <c r="B1166" t="s">
        <v>1391</v>
      </c>
      <c r="C1166" t="s">
        <v>1392</v>
      </c>
      <c r="D1166" t="s">
        <v>1606</v>
      </c>
      <c r="E1166" t="s">
        <v>160</v>
      </c>
      <c r="F1166" t="s">
        <v>161</v>
      </c>
      <c r="G1166" t="s">
        <v>27</v>
      </c>
      <c r="H1166" t="s">
        <v>214</v>
      </c>
      <c r="I1166" t="s">
        <v>29</v>
      </c>
      <c r="J1166" t="s">
        <v>30</v>
      </c>
      <c r="K1166" t="s">
        <v>230</v>
      </c>
      <c r="L1166" t="s">
        <v>1394</v>
      </c>
      <c r="M1166" t="s">
        <v>4727</v>
      </c>
      <c r="N1166" t="s">
        <v>136</v>
      </c>
      <c r="O1166" t="s">
        <v>4728</v>
      </c>
      <c r="P1166" t="s">
        <v>4729</v>
      </c>
      <c r="Q1166" t="s">
        <v>178</v>
      </c>
      <c r="R1166" t="s">
        <v>4730</v>
      </c>
      <c r="S1166" t="s">
        <v>126</v>
      </c>
      <c r="T1166" t="s">
        <v>252</v>
      </c>
      <c r="U1166" t="s">
        <v>373</v>
      </c>
      <c r="V1166" t="s">
        <v>58</v>
      </c>
    </row>
    <row r="1167" spans="1:22" x14ac:dyDescent="0.3">
      <c r="A1167" t="s">
        <v>4731</v>
      </c>
      <c r="B1167" t="s">
        <v>2252</v>
      </c>
      <c r="C1167" t="s">
        <v>2253</v>
      </c>
      <c r="D1167" t="s">
        <v>1901</v>
      </c>
      <c r="E1167" t="s">
        <v>672</v>
      </c>
      <c r="F1167" t="s">
        <v>244</v>
      </c>
      <c r="G1167" t="s">
        <v>213</v>
      </c>
      <c r="H1167" t="s">
        <v>49</v>
      </c>
      <c r="I1167" t="s">
        <v>29</v>
      </c>
      <c r="J1167" t="s">
        <v>70</v>
      </c>
      <c r="K1167" t="s">
        <v>89</v>
      </c>
      <c r="L1167" t="s">
        <v>216</v>
      </c>
      <c r="M1167" t="s">
        <v>683</v>
      </c>
      <c r="N1167" t="s">
        <v>140</v>
      </c>
      <c r="O1167" t="s">
        <v>1715</v>
      </c>
      <c r="P1167" t="s">
        <v>2061</v>
      </c>
      <c r="Q1167" t="s">
        <v>335</v>
      </c>
      <c r="R1167" t="s">
        <v>4732</v>
      </c>
      <c r="S1167" t="s">
        <v>79</v>
      </c>
      <c r="T1167" t="s">
        <v>1303</v>
      </c>
      <c r="U1167" t="s">
        <v>472</v>
      </c>
      <c r="V1167" t="s">
        <v>82</v>
      </c>
    </row>
    <row r="1168" spans="1:22" x14ac:dyDescent="0.3">
      <c r="A1168" t="s">
        <v>4733</v>
      </c>
      <c r="B1168" t="s">
        <v>4067</v>
      </c>
      <c r="C1168" t="s">
        <v>4068</v>
      </c>
      <c r="D1168" t="s">
        <v>1756</v>
      </c>
      <c r="E1168" t="s">
        <v>378</v>
      </c>
      <c r="F1168" t="s">
        <v>282</v>
      </c>
      <c r="G1168" t="s">
        <v>213</v>
      </c>
      <c r="H1168" t="s">
        <v>28</v>
      </c>
      <c r="I1168" t="s">
        <v>69</v>
      </c>
      <c r="J1168" t="s">
        <v>30</v>
      </c>
      <c r="K1168" t="s">
        <v>230</v>
      </c>
      <c r="L1168" t="s">
        <v>105</v>
      </c>
      <c r="M1168" t="s">
        <v>1236</v>
      </c>
      <c r="N1168" t="s">
        <v>261</v>
      </c>
      <c r="O1168" t="s">
        <v>295</v>
      </c>
      <c r="P1168" t="s">
        <v>3966</v>
      </c>
      <c r="Q1168" t="s">
        <v>260</v>
      </c>
      <c r="R1168" t="s">
        <v>4734</v>
      </c>
      <c r="S1168" t="s">
        <v>182</v>
      </c>
      <c r="T1168" t="s">
        <v>1303</v>
      </c>
      <c r="U1168" t="s">
        <v>472</v>
      </c>
      <c r="V1168" t="s">
        <v>114</v>
      </c>
    </row>
    <row r="1169" spans="1:22" x14ac:dyDescent="0.3">
      <c r="A1169" t="s">
        <v>4735</v>
      </c>
      <c r="B1169" t="s">
        <v>2201</v>
      </c>
      <c r="C1169" t="s">
        <v>2202</v>
      </c>
      <c r="D1169" t="s">
        <v>4736</v>
      </c>
      <c r="E1169" t="s">
        <v>47</v>
      </c>
      <c r="F1169" t="s">
        <v>26</v>
      </c>
      <c r="G1169" t="s">
        <v>147</v>
      </c>
      <c r="H1169" t="s">
        <v>229</v>
      </c>
      <c r="I1169" t="s">
        <v>69</v>
      </c>
      <c r="J1169" t="s">
        <v>30</v>
      </c>
      <c r="K1169" t="s">
        <v>89</v>
      </c>
      <c r="L1169" t="s">
        <v>105</v>
      </c>
      <c r="M1169" t="s">
        <v>848</v>
      </c>
      <c r="N1169" t="s">
        <v>610</v>
      </c>
      <c r="O1169" t="s">
        <v>2258</v>
      </c>
      <c r="P1169" t="s">
        <v>1760</v>
      </c>
      <c r="Q1169" t="s">
        <v>218</v>
      </c>
      <c r="R1169" t="s">
        <v>4737</v>
      </c>
      <c r="S1169" t="s">
        <v>58</v>
      </c>
      <c r="T1169" t="s">
        <v>252</v>
      </c>
      <c r="U1169" t="s">
        <v>171</v>
      </c>
      <c r="V1169" t="s">
        <v>58</v>
      </c>
    </row>
    <row r="1170" spans="1:22" x14ac:dyDescent="0.3">
      <c r="A1170" t="s">
        <v>4738</v>
      </c>
      <c r="B1170" t="s">
        <v>1857</v>
      </c>
      <c r="C1170" t="s">
        <v>1858</v>
      </c>
      <c r="D1170" t="s">
        <v>4739</v>
      </c>
      <c r="E1170" t="s">
        <v>47</v>
      </c>
      <c r="F1170" t="s">
        <v>26</v>
      </c>
      <c r="G1170" t="s">
        <v>580</v>
      </c>
      <c r="H1170" t="s">
        <v>229</v>
      </c>
      <c r="I1170" t="s">
        <v>69</v>
      </c>
      <c r="J1170" t="s">
        <v>30</v>
      </c>
      <c r="K1170" t="s">
        <v>50</v>
      </c>
      <c r="L1170" t="s">
        <v>1328</v>
      </c>
      <c r="M1170" t="s">
        <v>4740</v>
      </c>
      <c r="N1170" t="s">
        <v>770</v>
      </c>
      <c r="O1170" t="s">
        <v>1664</v>
      </c>
      <c r="P1170" t="s">
        <v>2112</v>
      </c>
      <c r="Q1170" t="s">
        <v>1028</v>
      </c>
      <c r="R1170" t="s">
        <v>4741</v>
      </c>
      <c r="S1170" t="s">
        <v>126</v>
      </c>
      <c r="T1170" t="s">
        <v>735</v>
      </c>
      <c r="U1170" t="s">
        <v>362</v>
      </c>
      <c r="V1170" t="s">
        <v>58</v>
      </c>
    </row>
    <row r="1171" spans="1:22" x14ac:dyDescent="0.3">
      <c r="A1171" t="s">
        <v>4742</v>
      </c>
      <c r="B1171" t="s">
        <v>2246</v>
      </c>
      <c r="C1171" t="s">
        <v>2247</v>
      </c>
      <c r="D1171" t="s">
        <v>1940</v>
      </c>
      <c r="E1171" t="s">
        <v>1321</v>
      </c>
      <c r="F1171" t="s">
        <v>228</v>
      </c>
      <c r="G1171" t="s">
        <v>27</v>
      </c>
      <c r="H1171" t="s">
        <v>104</v>
      </c>
      <c r="I1171" t="s">
        <v>69</v>
      </c>
      <c r="J1171" t="s">
        <v>30</v>
      </c>
      <c r="K1171" t="s">
        <v>245</v>
      </c>
      <c r="L1171" t="s">
        <v>561</v>
      </c>
      <c r="M1171" t="s">
        <v>4011</v>
      </c>
      <c r="N1171" t="s">
        <v>179</v>
      </c>
      <c r="O1171" t="s">
        <v>4011</v>
      </c>
      <c r="P1171" t="s">
        <v>857</v>
      </c>
      <c r="Q1171" t="s">
        <v>2507</v>
      </c>
      <c r="R1171" t="s">
        <v>4743</v>
      </c>
      <c r="S1171" t="s">
        <v>79</v>
      </c>
      <c r="T1171" t="s">
        <v>299</v>
      </c>
      <c r="U1171" t="s">
        <v>155</v>
      </c>
      <c r="V1171" t="s">
        <v>58</v>
      </c>
    </row>
    <row r="1172" spans="1:22" x14ac:dyDescent="0.3">
      <c r="A1172" t="s">
        <v>4744</v>
      </c>
      <c r="B1172" t="s">
        <v>1644</v>
      </c>
      <c r="C1172" t="s">
        <v>1645</v>
      </c>
      <c r="D1172" t="s">
        <v>926</v>
      </c>
      <c r="E1172" t="s">
        <v>267</v>
      </c>
      <c r="F1172" t="s">
        <v>66</v>
      </c>
      <c r="G1172" t="s">
        <v>118</v>
      </c>
      <c r="H1172" t="s">
        <v>88</v>
      </c>
      <c r="I1172" t="s">
        <v>29</v>
      </c>
      <c r="J1172" t="s">
        <v>30</v>
      </c>
      <c r="K1172" t="s">
        <v>245</v>
      </c>
      <c r="L1172" t="s">
        <v>1211</v>
      </c>
      <c r="M1172" t="s">
        <v>1909</v>
      </c>
      <c r="N1172" t="s">
        <v>179</v>
      </c>
      <c r="O1172" t="s">
        <v>1909</v>
      </c>
      <c r="P1172" t="s">
        <v>138</v>
      </c>
      <c r="Q1172" t="s">
        <v>168</v>
      </c>
      <c r="R1172" t="s">
        <v>4745</v>
      </c>
      <c r="S1172" t="s">
        <v>79</v>
      </c>
      <c r="T1172" t="s">
        <v>751</v>
      </c>
      <c r="U1172" t="s">
        <v>98</v>
      </c>
      <c r="V1172" t="s">
        <v>82</v>
      </c>
    </row>
    <row r="1173" spans="1:22" x14ac:dyDescent="0.3">
      <c r="A1173" t="s">
        <v>4746</v>
      </c>
      <c r="B1173" t="s">
        <v>640</v>
      </c>
      <c r="C1173" t="s">
        <v>641</v>
      </c>
      <c r="D1173" t="s">
        <v>2769</v>
      </c>
      <c r="E1173" t="s">
        <v>66</v>
      </c>
      <c r="F1173" t="s">
        <v>66</v>
      </c>
      <c r="G1173" t="s">
        <v>67</v>
      </c>
      <c r="H1173" t="s">
        <v>104</v>
      </c>
      <c r="I1173" t="s">
        <v>69</v>
      </c>
      <c r="J1173" t="s">
        <v>30</v>
      </c>
      <c r="K1173" t="s">
        <v>215</v>
      </c>
      <c r="L1173" t="s">
        <v>294</v>
      </c>
      <c r="M1173" t="s">
        <v>271</v>
      </c>
      <c r="N1173" t="s">
        <v>183</v>
      </c>
      <c r="O1173" t="s">
        <v>2319</v>
      </c>
      <c r="P1173" t="s">
        <v>977</v>
      </c>
      <c r="Q1173" t="s">
        <v>170</v>
      </c>
      <c r="R1173" t="s">
        <v>4747</v>
      </c>
      <c r="S1173" t="s">
        <v>182</v>
      </c>
      <c r="T1173" t="s">
        <v>142</v>
      </c>
      <c r="U1173" t="s">
        <v>171</v>
      </c>
      <c r="V1173" t="s">
        <v>58</v>
      </c>
    </row>
    <row r="1174" spans="1:22" x14ac:dyDescent="0.3">
      <c r="A1174" t="s">
        <v>4748</v>
      </c>
      <c r="B1174" t="s">
        <v>2976</v>
      </c>
      <c r="C1174" t="s">
        <v>2977</v>
      </c>
      <c r="D1174" t="s">
        <v>2500</v>
      </c>
      <c r="E1174" t="s">
        <v>134</v>
      </c>
      <c r="F1174" t="s">
        <v>134</v>
      </c>
      <c r="G1174" t="s">
        <v>27</v>
      </c>
      <c r="H1174" t="s">
        <v>214</v>
      </c>
      <c r="I1174" t="s">
        <v>69</v>
      </c>
      <c r="J1174" t="s">
        <v>30</v>
      </c>
      <c r="K1174" t="s">
        <v>50</v>
      </c>
      <c r="L1174" t="s">
        <v>333</v>
      </c>
      <c r="M1174" t="s">
        <v>674</v>
      </c>
      <c r="N1174" t="s">
        <v>179</v>
      </c>
      <c r="O1174" t="s">
        <v>674</v>
      </c>
      <c r="P1174" t="s">
        <v>656</v>
      </c>
      <c r="Q1174" t="s">
        <v>1079</v>
      </c>
      <c r="R1174" t="s">
        <v>4749</v>
      </c>
      <c r="S1174" t="s">
        <v>126</v>
      </c>
      <c r="T1174" t="s">
        <v>1043</v>
      </c>
      <c r="U1174" t="s">
        <v>171</v>
      </c>
      <c r="V1174" t="s">
        <v>42</v>
      </c>
    </row>
    <row r="1175" spans="1:22" x14ac:dyDescent="0.3">
      <c r="A1175" t="s">
        <v>4750</v>
      </c>
      <c r="B1175" t="s">
        <v>1166</v>
      </c>
      <c r="C1175" t="s">
        <v>1167</v>
      </c>
      <c r="D1175" t="s">
        <v>3995</v>
      </c>
      <c r="E1175" t="s">
        <v>244</v>
      </c>
      <c r="F1175" t="s">
        <v>244</v>
      </c>
      <c r="G1175" t="s">
        <v>213</v>
      </c>
      <c r="H1175" t="s">
        <v>49</v>
      </c>
      <c r="I1175" t="s">
        <v>69</v>
      </c>
      <c r="J1175" t="s">
        <v>30</v>
      </c>
      <c r="K1175" t="s">
        <v>230</v>
      </c>
      <c r="L1175" t="s">
        <v>163</v>
      </c>
      <c r="M1175" t="s">
        <v>1004</v>
      </c>
      <c r="N1175" t="s">
        <v>1013</v>
      </c>
      <c r="O1175" t="s">
        <v>1114</v>
      </c>
      <c r="P1175" t="s">
        <v>767</v>
      </c>
      <c r="Q1175" t="s">
        <v>276</v>
      </c>
      <c r="R1175" t="s">
        <v>3221</v>
      </c>
      <c r="S1175" t="s">
        <v>182</v>
      </c>
      <c r="T1175" t="s">
        <v>74</v>
      </c>
      <c r="U1175" t="s">
        <v>362</v>
      </c>
      <c r="V1175" t="s">
        <v>82</v>
      </c>
    </row>
    <row r="1176" spans="1:22" x14ac:dyDescent="0.3">
      <c r="A1176" t="s">
        <v>4751</v>
      </c>
      <c r="B1176" t="s">
        <v>4752</v>
      </c>
      <c r="C1176" t="s">
        <v>4753</v>
      </c>
      <c r="D1176" t="s">
        <v>4754</v>
      </c>
      <c r="E1176" t="s">
        <v>244</v>
      </c>
      <c r="F1176" t="s">
        <v>244</v>
      </c>
      <c r="G1176" t="s">
        <v>118</v>
      </c>
      <c r="H1176" t="s">
        <v>104</v>
      </c>
      <c r="I1176" t="s">
        <v>29</v>
      </c>
      <c r="J1176" t="s">
        <v>70</v>
      </c>
      <c r="K1176" t="s">
        <v>89</v>
      </c>
      <c r="L1176" t="s">
        <v>513</v>
      </c>
      <c r="M1176" t="s">
        <v>2230</v>
      </c>
      <c r="N1176" t="s">
        <v>179</v>
      </c>
      <c r="O1176" t="s">
        <v>4755</v>
      </c>
      <c r="P1176" t="s">
        <v>164</v>
      </c>
      <c r="Q1176" t="s">
        <v>1864</v>
      </c>
      <c r="R1176" t="s">
        <v>4756</v>
      </c>
      <c r="S1176" t="s">
        <v>58</v>
      </c>
      <c r="T1176" t="s">
        <v>721</v>
      </c>
      <c r="U1176" t="s">
        <v>171</v>
      </c>
      <c r="V1176" t="s">
        <v>58</v>
      </c>
    </row>
    <row r="1177" spans="1:22" x14ac:dyDescent="0.3">
      <c r="A1177" t="s">
        <v>4757</v>
      </c>
      <c r="B1177" t="s">
        <v>2585</v>
      </c>
      <c r="C1177" t="s">
        <v>2586</v>
      </c>
      <c r="D1177" t="s">
        <v>4758</v>
      </c>
      <c r="E1177" t="s">
        <v>26</v>
      </c>
      <c r="F1177" t="s">
        <v>26</v>
      </c>
      <c r="G1177" t="s">
        <v>27</v>
      </c>
      <c r="H1177" t="s">
        <v>88</v>
      </c>
      <c r="I1177" t="s">
        <v>69</v>
      </c>
      <c r="J1177" t="s">
        <v>30</v>
      </c>
      <c r="K1177" t="s">
        <v>71</v>
      </c>
      <c r="L1177" t="s">
        <v>561</v>
      </c>
      <c r="M1177" t="s">
        <v>581</v>
      </c>
      <c r="N1177" t="s">
        <v>1224</v>
      </c>
      <c r="O1177" t="s">
        <v>1063</v>
      </c>
      <c r="P1177" t="s">
        <v>2800</v>
      </c>
      <c r="Q1177" t="s">
        <v>610</v>
      </c>
      <c r="R1177" t="s">
        <v>4759</v>
      </c>
      <c r="S1177" t="s">
        <v>58</v>
      </c>
      <c r="T1177" t="s">
        <v>142</v>
      </c>
      <c r="U1177" t="s">
        <v>407</v>
      </c>
      <c r="V1177" t="s">
        <v>58</v>
      </c>
    </row>
    <row r="1178" spans="1:22" x14ac:dyDescent="0.3">
      <c r="A1178" t="s">
        <v>4760</v>
      </c>
      <c r="B1178" t="s">
        <v>980</v>
      </c>
      <c r="C1178" t="s">
        <v>981</v>
      </c>
      <c r="D1178" t="s">
        <v>4329</v>
      </c>
      <c r="E1178" t="s">
        <v>133</v>
      </c>
      <c r="F1178" t="s">
        <v>134</v>
      </c>
      <c r="G1178" t="s">
        <v>147</v>
      </c>
      <c r="H1178" t="s">
        <v>88</v>
      </c>
      <c r="I1178" t="s">
        <v>69</v>
      </c>
      <c r="J1178" t="s">
        <v>30</v>
      </c>
      <c r="K1178" t="s">
        <v>200</v>
      </c>
      <c r="L1178" t="s">
        <v>269</v>
      </c>
      <c r="M1178" t="s">
        <v>832</v>
      </c>
      <c r="N1178" t="s">
        <v>179</v>
      </c>
      <c r="O1178" t="s">
        <v>832</v>
      </c>
      <c r="P1178" t="s">
        <v>1114</v>
      </c>
      <c r="Q1178" t="s">
        <v>2740</v>
      </c>
      <c r="R1178" t="s">
        <v>2264</v>
      </c>
      <c r="S1178" t="s">
        <v>39</v>
      </c>
      <c r="T1178" t="s">
        <v>600</v>
      </c>
      <c r="U1178" t="s">
        <v>394</v>
      </c>
      <c r="V1178" t="s">
        <v>114</v>
      </c>
    </row>
    <row r="1179" spans="1:22" x14ac:dyDescent="0.3">
      <c r="A1179" t="s">
        <v>4761</v>
      </c>
      <c r="B1179" t="s">
        <v>1912</v>
      </c>
      <c r="C1179" t="s">
        <v>1913</v>
      </c>
      <c r="D1179" t="s">
        <v>3379</v>
      </c>
      <c r="E1179" t="s">
        <v>176</v>
      </c>
      <c r="F1179" t="s">
        <v>161</v>
      </c>
      <c r="G1179" t="s">
        <v>48</v>
      </c>
      <c r="H1179" t="s">
        <v>28</v>
      </c>
      <c r="I1179" t="s">
        <v>69</v>
      </c>
      <c r="J1179" t="s">
        <v>30</v>
      </c>
      <c r="K1179" t="s">
        <v>293</v>
      </c>
      <c r="L1179" t="s">
        <v>663</v>
      </c>
      <c r="M1179" t="s">
        <v>1596</v>
      </c>
      <c r="N1179" t="s">
        <v>179</v>
      </c>
      <c r="O1179" t="s">
        <v>1596</v>
      </c>
      <c r="P1179" t="s">
        <v>998</v>
      </c>
      <c r="Q1179" t="s">
        <v>94</v>
      </c>
      <c r="R1179" t="s">
        <v>4762</v>
      </c>
      <c r="S1179" t="s">
        <v>97</v>
      </c>
      <c r="T1179" t="s">
        <v>110</v>
      </c>
      <c r="U1179" t="s">
        <v>155</v>
      </c>
      <c r="V1179" t="s">
        <v>114</v>
      </c>
    </row>
    <row r="1180" spans="1:22" x14ac:dyDescent="0.3">
      <c r="A1180" t="s">
        <v>4763</v>
      </c>
      <c r="B1180" t="s">
        <v>2563</v>
      </c>
      <c r="C1180" t="s">
        <v>2564</v>
      </c>
      <c r="D1180" t="s">
        <v>4764</v>
      </c>
      <c r="E1180" t="s">
        <v>161</v>
      </c>
      <c r="F1180" t="s">
        <v>161</v>
      </c>
      <c r="G1180" t="s">
        <v>27</v>
      </c>
      <c r="H1180" t="s">
        <v>229</v>
      </c>
      <c r="I1180" t="s">
        <v>69</v>
      </c>
      <c r="J1180" t="s">
        <v>30</v>
      </c>
      <c r="K1180" t="s">
        <v>50</v>
      </c>
      <c r="L1180" t="s">
        <v>72</v>
      </c>
      <c r="M1180" t="s">
        <v>2120</v>
      </c>
      <c r="N1180" t="s">
        <v>782</v>
      </c>
      <c r="O1180" t="s">
        <v>2263</v>
      </c>
      <c r="P1180" t="s">
        <v>1790</v>
      </c>
      <c r="Q1180" t="s">
        <v>167</v>
      </c>
      <c r="R1180" t="s">
        <v>189</v>
      </c>
      <c r="S1180" t="s">
        <v>126</v>
      </c>
      <c r="T1180" t="s">
        <v>299</v>
      </c>
      <c r="U1180" t="s">
        <v>373</v>
      </c>
      <c r="V1180" t="s">
        <v>114</v>
      </c>
    </row>
    <row r="1181" spans="1:22" x14ac:dyDescent="0.3">
      <c r="A1181" t="s">
        <v>4765</v>
      </c>
      <c r="B1181" t="s">
        <v>3342</v>
      </c>
      <c r="C1181" t="s">
        <v>3343</v>
      </c>
      <c r="D1181" t="s">
        <v>3152</v>
      </c>
      <c r="E1181" t="s">
        <v>188</v>
      </c>
      <c r="F1181" t="s">
        <v>188</v>
      </c>
      <c r="G1181" t="s">
        <v>103</v>
      </c>
      <c r="H1181" t="s">
        <v>28</v>
      </c>
      <c r="I1181" t="s">
        <v>69</v>
      </c>
      <c r="J1181" t="s">
        <v>30</v>
      </c>
      <c r="K1181" t="s">
        <v>31</v>
      </c>
      <c r="L1181" t="s">
        <v>32</v>
      </c>
      <c r="M1181" t="s">
        <v>2166</v>
      </c>
      <c r="N1181" t="s">
        <v>770</v>
      </c>
      <c r="O1181" t="s">
        <v>1563</v>
      </c>
      <c r="P1181" t="s">
        <v>2527</v>
      </c>
      <c r="Q1181" t="s">
        <v>1492</v>
      </c>
      <c r="R1181" t="s">
        <v>4766</v>
      </c>
      <c r="S1181" t="s">
        <v>97</v>
      </c>
      <c r="T1181" t="s">
        <v>448</v>
      </c>
      <c r="U1181" t="s">
        <v>238</v>
      </c>
      <c r="V1181" t="s">
        <v>58</v>
      </c>
    </row>
    <row r="1182" spans="1:22" x14ac:dyDescent="0.3">
      <c r="A1182" t="s">
        <v>4767</v>
      </c>
      <c r="B1182" t="s">
        <v>2246</v>
      </c>
      <c r="C1182" t="s">
        <v>2247</v>
      </c>
      <c r="D1182" t="s">
        <v>4768</v>
      </c>
      <c r="E1182" t="s">
        <v>244</v>
      </c>
      <c r="F1182" t="s">
        <v>244</v>
      </c>
      <c r="G1182" t="s">
        <v>147</v>
      </c>
      <c r="H1182" t="s">
        <v>68</v>
      </c>
      <c r="I1182" t="s">
        <v>69</v>
      </c>
      <c r="J1182" t="s">
        <v>70</v>
      </c>
      <c r="K1182" t="s">
        <v>31</v>
      </c>
      <c r="L1182" t="s">
        <v>163</v>
      </c>
      <c r="M1182" t="s">
        <v>4769</v>
      </c>
      <c r="N1182" t="s">
        <v>179</v>
      </c>
      <c r="O1182" t="s">
        <v>4769</v>
      </c>
      <c r="P1182" t="s">
        <v>420</v>
      </c>
      <c r="Q1182" t="s">
        <v>1214</v>
      </c>
      <c r="R1182" t="s">
        <v>4770</v>
      </c>
      <c r="S1182" t="s">
        <v>58</v>
      </c>
      <c r="T1182" t="s">
        <v>646</v>
      </c>
      <c r="U1182" t="s">
        <v>373</v>
      </c>
      <c r="V1182" t="s">
        <v>114</v>
      </c>
    </row>
    <row r="1183" spans="1:22" x14ac:dyDescent="0.3">
      <c r="A1183" t="s">
        <v>4771</v>
      </c>
      <c r="B1183" t="s">
        <v>444</v>
      </c>
      <c r="C1183" t="s">
        <v>445</v>
      </c>
      <c r="D1183" t="s">
        <v>1470</v>
      </c>
      <c r="E1183" t="s">
        <v>66</v>
      </c>
      <c r="F1183" t="s">
        <v>66</v>
      </c>
      <c r="G1183" t="s">
        <v>67</v>
      </c>
      <c r="H1183" t="s">
        <v>68</v>
      </c>
      <c r="I1183" t="s">
        <v>29</v>
      </c>
      <c r="J1183" t="s">
        <v>30</v>
      </c>
      <c r="K1183" t="s">
        <v>215</v>
      </c>
      <c r="L1183" t="s">
        <v>974</v>
      </c>
      <c r="M1183" t="s">
        <v>506</v>
      </c>
      <c r="N1183" t="s">
        <v>567</v>
      </c>
      <c r="O1183" t="s">
        <v>524</v>
      </c>
      <c r="P1183" t="s">
        <v>3165</v>
      </c>
      <c r="Q1183" t="s">
        <v>2629</v>
      </c>
      <c r="R1183" t="s">
        <v>4772</v>
      </c>
      <c r="T1183" t="s">
        <v>321</v>
      </c>
      <c r="U1183" t="s">
        <v>423</v>
      </c>
      <c r="V1183" t="s">
        <v>79</v>
      </c>
    </row>
    <row r="1184" spans="1:22" x14ac:dyDescent="0.3">
      <c r="A1184" t="s">
        <v>4773</v>
      </c>
      <c r="B1184" t="s">
        <v>2959</v>
      </c>
      <c r="C1184" t="s">
        <v>2960</v>
      </c>
      <c r="D1184" t="s">
        <v>1481</v>
      </c>
      <c r="E1184" t="s">
        <v>378</v>
      </c>
      <c r="F1184" t="s">
        <v>282</v>
      </c>
      <c r="G1184" t="s">
        <v>103</v>
      </c>
      <c r="H1184" t="s">
        <v>214</v>
      </c>
      <c r="I1184" t="s">
        <v>69</v>
      </c>
      <c r="J1184" t="s">
        <v>30</v>
      </c>
      <c r="K1184" t="s">
        <v>89</v>
      </c>
      <c r="L1184" t="s">
        <v>561</v>
      </c>
      <c r="M1184" t="s">
        <v>1254</v>
      </c>
      <c r="N1184" t="s">
        <v>751</v>
      </c>
      <c r="O1184" t="s">
        <v>2716</v>
      </c>
      <c r="P1184" t="s">
        <v>1539</v>
      </c>
      <c r="Q1184" t="s">
        <v>695</v>
      </c>
      <c r="R1184" t="s">
        <v>4774</v>
      </c>
      <c r="S1184" t="s">
        <v>97</v>
      </c>
      <c r="T1184" t="s">
        <v>695</v>
      </c>
      <c r="U1184" t="s">
        <v>508</v>
      </c>
      <c r="V1184" t="s">
        <v>82</v>
      </c>
    </row>
    <row r="1185" spans="1:22" x14ac:dyDescent="0.3">
      <c r="A1185" t="s">
        <v>4775</v>
      </c>
      <c r="B1185" t="s">
        <v>995</v>
      </c>
      <c r="C1185" t="s">
        <v>996</v>
      </c>
      <c r="D1185" t="s">
        <v>1748</v>
      </c>
      <c r="E1185" t="s">
        <v>417</v>
      </c>
      <c r="F1185" t="s">
        <v>134</v>
      </c>
      <c r="G1185" t="s">
        <v>103</v>
      </c>
      <c r="H1185" t="s">
        <v>268</v>
      </c>
      <c r="I1185" t="s">
        <v>69</v>
      </c>
      <c r="J1185" t="s">
        <v>70</v>
      </c>
      <c r="K1185" t="s">
        <v>215</v>
      </c>
      <c r="L1185" t="s">
        <v>719</v>
      </c>
      <c r="M1185" t="s">
        <v>1476</v>
      </c>
      <c r="N1185" t="s">
        <v>140</v>
      </c>
      <c r="O1185" t="s">
        <v>3708</v>
      </c>
      <c r="P1185" t="s">
        <v>703</v>
      </c>
      <c r="Q1185" t="s">
        <v>565</v>
      </c>
      <c r="R1185" t="s">
        <v>4776</v>
      </c>
      <c r="S1185" t="s">
        <v>126</v>
      </c>
      <c r="T1185" t="s">
        <v>299</v>
      </c>
      <c r="U1185" t="s">
        <v>41</v>
      </c>
      <c r="V1185" t="s">
        <v>58</v>
      </c>
    </row>
    <row r="1186" spans="1:22" x14ac:dyDescent="0.3">
      <c r="A1186" t="s">
        <v>4777</v>
      </c>
      <c r="B1186" t="s">
        <v>2808</v>
      </c>
      <c r="C1186" t="s">
        <v>2809</v>
      </c>
      <c r="D1186" t="s">
        <v>2159</v>
      </c>
      <c r="E1186" t="s">
        <v>730</v>
      </c>
      <c r="F1186" t="s">
        <v>26</v>
      </c>
      <c r="G1186" t="s">
        <v>67</v>
      </c>
      <c r="H1186" t="s">
        <v>104</v>
      </c>
      <c r="I1186" t="s">
        <v>29</v>
      </c>
      <c r="J1186" t="s">
        <v>70</v>
      </c>
      <c r="K1186" t="s">
        <v>200</v>
      </c>
      <c r="L1186" t="s">
        <v>1382</v>
      </c>
      <c r="M1186" t="s">
        <v>1719</v>
      </c>
      <c r="N1186" t="s">
        <v>74</v>
      </c>
      <c r="O1186" t="s">
        <v>488</v>
      </c>
      <c r="P1186" t="s">
        <v>1672</v>
      </c>
      <c r="Q1186" t="s">
        <v>609</v>
      </c>
      <c r="R1186" t="s">
        <v>4778</v>
      </c>
      <c r="S1186" t="s">
        <v>79</v>
      </c>
      <c r="T1186" t="s">
        <v>191</v>
      </c>
      <c r="U1186" t="s">
        <v>867</v>
      </c>
      <c r="V1186" t="s">
        <v>114</v>
      </c>
    </row>
    <row r="1187" spans="1:22" x14ac:dyDescent="0.3">
      <c r="A1187" t="s">
        <v>4779</v>
      </c>
      <c r="B1187" t="s">
        <v>3020</v>
      </c>
      <c r="C1187" t="s">
        <v>3021</v>
      </c>
      <c r="D1187" t="s">
        <v>789</v>
      </c>
      <c r="E1187" t="s">
        <v>133</v>
      </c>
      <c r="F1187" t="s">
        <v>134</v>
      </c>
      <c r="G1187" t="s">
        <v>147</v>
      </c>
      <c r="H1187" t="s">
        <v>49</v>
      </c>
      <c r="I1187" t="s">
        <v>29</v>
      </c>
      <c r="J1187" t="s">
        <v>30</v>
      </c>
      <c r="K1187" t="s">
        <v>31</v>
      </c>
      <c r="L1187" t="s">
        <v>1037</v>
      </c>
      <c r="M1187" t="s">
        <v>4379</v>
      </c>
      <c r="N1187" t="s">
        <v>452</v>
      </c>
      <c r="O1187" t="s">
        <v>1888</v>
      </c>
      <c r="P1187" t="s">
        <v>457</v>
      </c>
      <c r="Q1187" t="s">
        <v>593</v>
      </c>
      <c r="R1187" t="s">
        <v>3742</v>
      </c>
      <c r="S1187" t="s">
        <v>97</v>
      </c>
      <c r="T1187" t="s">
        <v>751</v>
      </c>
      <c r="U1187" t="s">
        <v>423</v>
      </c>
      <c r="V1187" t="s">
        <v>79</v>
      </c>
    </row>
    <row r="1188" spans="1:22" x14ac:dyDescent="0.3">
      <c r="A1188" t="s">
        <v>4780</v>
      </c>
      <c r="B1188" t="s">
        <v>825</v>
      </c>
      <c r="C1188" t="s">
        <v>826</v>
      </c>
      <c r="D1188" t="s">
        <v>4136</v>
      </c>
      <c r="E1188" t="s">
        <v>780</v>
      </c>
      <c r="F1188" t="s">
        <v>282</v>
      </c>
      <c r="G1188" t="s">
        <v>67</v>
      </c>
      <c r="H1188" t="s">
        <v>28</v>
      </c>
      <c r="I1188" t="s">
        <v>29</v>
      </c>
      <c r="J1188" t="s">
        <v>70</v>
      </c>
      <c r="K1188" t="s">
        <v>245</v>
      </c>
      <c r="L1188" t="s">
        <v>32</v>
      </c>
      <c r="M1188" t="s">
        <v>2866</v>
      </c>
      <c r="N1188" t="s">
        <v>686</v>
      </c>
      <c r="O1188" t="s">
        <v>1596</v>
      </c>
      <c r="P1188" t="s">
        <v>4740</v>
      </c>
      <c r="Q1188" t="s">
        <v>583</v>
      </c>
      <c r="R1188" t="s">
        <v>4781</v>
      </c>
      <c r="S1188" t="s">
        <v>126</v>
      </c>
      <c r="T1188" t="s">
        <v>34</v>
      </c>
      <c r="U1188" t="s">
        <v>349</v>
      </c>
      <c r="V1188" t="s">
        <v>42</v>
      </c>
    </row>
    <row r="1189" spans="1:22" x14ac:dyDescent="0.3">
      <c r="A1189" t="s">
        <v>4782</v>
      </c>
      <c r="B1189" t="s">
        <v>2099</v>
      </c>
      <c r="C1189" t="s">
        <v>2100</v>
      </c>
      <c r="D1189" t="s">
        <v>4783</v>
      </c>
      <c r="E1189" t="s">
        <v>672</v>
      </c>
      <c r="F1189" t="s">
        <v>244</v>
      </c>
      <c r="G1189" t="s">
        <v>48</v>
      </c>
      <c r="H1189" t="s">
        <v>214</v>
      </c>
      <c r="I1189" t="s">
        <v>29</v>
      </c>
      <c r="J1189" t="s">
        <v>30</v>
      </c>
      <c r="K1189" t="s">
        <v>200</v>
      </c>
      <c r="L1189" t="s">
        <v>111</v>
      </c>
      <c r="M1189" t="s">
        <v>4452</v>
      </c>
      <c r="N1189" t="s">
        <v>54</v>
      </c>
      <c r="O1189" t="s">
        <v>1352</v>
      </c>
      <c r="P1189" t="s">
        <v>4784</v>
      </c>
      <c r="Q1189" t="s">
        <v>600</v>
      </c>
      <c r="R1189" t="s">
        <v>4785</v>
      </c>
      <c r="S1189" t="s">
        <v>39</v>
      </c>
      <c r="T1189" t="s">
        <v>921</v>
      </c>
      <c r="U1189" t="s">
        <v>238</v>
      </c>
      <c r="V1189" t="s">
        <v>114</v>
      </c>
    </row>
    <row r="1190" spans="1:22" x14ac:dyDescent="0.3">
      <c r="A1190" t="s">
        <v>4786</v>
      </c>
      <c r="B1190" t="s">
        <v>679</v>
      </c>
      <c r="C1190" t="s">
        <v>680</v>
      </c>
      <c r="D1190" t="s">
        <v>4462</v>
      </c>
      <c r="E1190" t="s">
        <v>417</v>
      </c>
      <c r="F1190" t="s">
        <v>134</v>
      </c>
      <c r="G1190" t="s">
        <v>147</v>
      </c>
      <c r="H1190" t="s">
        <v>229</v>
      </c>
      <c r="I1190" t="s">
        <v>69</v>
      </c>
      <c r="J1190" t="s">
        <v>30</v>
      </c>
      <c r="K1190" t="s">
        <v>200</v>
      </c>
      <c r="L1190" t="s">
        <v>983</v>
      </c>
      <c r="M1190" t="s">
        <v>2325</v>
      </c>
      <c r="N1190" t="s">
        <v>896</v>
      </c>
      <c r="O1190" t="s">
        <v>2120</v>
      </c>
      <c r="P1190" t="s">
        <v>1395</v>
      </c>
      <c r="Q1190" t="s">
        <v>344</v>
      </c>
      <c r="R1190" t="s">
        <v>4787</v>
      </c>
      <c r="S1190" t="s">
        <v>39</v>
      </c>
      <c r="T1190" t="s">
        <v>735</v>
      </c>
      <c r="U1190" t="s">
        <v>373</v>
      </c>
      <c r="V1190" t="s">
        <v>58</v>
      </c>
    </row>
    <row r="1191" spans="1:22" x14ac:dyDescent="0.3">
      <c r="A1191" t="s">
        <v>4788</v>
      </c>
      <c r="B1191" t="s">
        <v>3307</v>
      </c>
      <c r="C1191" t="s">
        <v>3308</v>
      </c>
      <c r="D1191" t="s">
        <v>3432</v>
      </c>
      <c r="E1191" t="s">
        <v>438</v>
      </c>
      <c r="F1191" t="s">
        <v>188</v>
      </c>
      <c r="G1191" t="s">
        <v>48</v>
      </c>
      <c r="H1191" t="s">
        <v>28</v>
      </c>
      <c r="I1191" t="s">
        <v>29</v>
      </c>
      <c r="J1191" t="s">
        <v>70</v>
      </c>
      <c r="K1191" t="s">
        <v>31</v>
      </c>
      <c r="L1191" t="s">
        <v>1037</v>
      </c>
      <c r="M1191" t="s">
        <v>151</v>
      </c>
      <c r="N1191" t="s">
        <v>179</v>
      </c>
      <c r="O1191" t="s">
        <v>151</v>
      </c>
      <c r="P1191" t="s">
        <v>646</v>
      </c>
      <c r="Q1191" t="s">
        <v>382</v>
      </c>
      <c r="R1191" t="s">
        <v>4789</v>
      </c>
      <c r="S1191" t="s">
        <v>97</v>
      </c>
      <c r="T1191" t="s">
        <v>529</v>
      </c>
      <c r="V1191" t="s">
        <v>42</v>
      </c>
    </row>
    <row r="1192" spans="1:22" x14ac:dyDescent="0.3">
      <c r="A1192" t="s">
        <v>4790</v>
      </c>
      <c r="B1192" t="s">
        <v>2146</v>
      </c>
      <c r="C1192" t="s">
        <v>2147</v>
      </c>
      <c r="D1192" t="s">
        <v>1963</v>
      </c>
      <c r="E1192" t="s">
        <v>730</v>
      </c>
      <c r="F1192" t="s">
        <v>26</v>
      </c>
      <c r="G1192" t="s">
        <v>48</v>
      </c>
      <c r="H1192" t="s">
        <v>268</v>
      </c>
      <c r="I1192" t="s">
        <v>69</v>
      </c>
      <c r="J1192" t="s">
        <v>162</v>
      </c>
      <c r="K1192" t="s">
        <v>230</v>
      </c>
      <c r="L1192" t="s">
        <v>658</v>
      </c>
      <c r="M1192" t="s">
        <v>694</v>
      </c>
      <c r="O1192" t="s">
        <v>694</v>
      </c>
      <c r="P1192" t="s">
        <v>999</v>
      </c>
      <c r="Q1192" t="s">
        <v>168</v>
      </c>
      <c r="R1192" t="s">
        <v>4791</v>
      </c>
      <c r="S1192" t="s">
        <v>79</v>
      </c>
      <c r="T1192" t="s">
        <v>261</v>
      </c>
      <c r="U1192" t="s">
        <v>128</v>
      </c>
      <c r="V1192" t="s">
        <v>79</v>
      </c>
    </row>
    <row r="1193" spans="1:22" x14ac:dyDescent="0.3">
      <c r="A1193" t="s">
        <v>4792</v>
      </c>
      <c r="B1193" t="s">
        <v>1131</v>
      </c>
      <c r="C1193" t="s">
        <v>1132</v>
      </c>
      <c r="D1193" t="s">
        <v>304</v>
      </c>
      <c r="E1193" t="s">
        <v>780</v>
      </c>
      <c r="F1193" t="s">
        <v>282</v>
      </c>
      <c r="G1193" t="s">
        <v>67</v>
      </c>
      <c r="H1193" t="s">
        <v>104</v>
      </c>
      <c r="I1193" t="s">
        <v>69</v>
      </c>
      <c r="J1193" t="s">
        <v>162</v>
      </c>
      <c r="K1193" t="s">
        <v>71</v>
      </c>
      <c r="L1193" t="s">
        <v>766</v>
      </c>
      <c r="M1193" t="s">
        <v>4793</v>
      </c>
      <c r="N1193" t="s">
        <v>179</v>
      </c>
      <c r="O1193" t="s">
        <v>4793</v>
      </c>
      <c r="P1193" t="s">
        <v>887</v>
      </c>
      <c r="Q1193" t="s">
        <v>2279</v>
      </c>
      <c r="R1193" t="s">
        <v>4794</v>
      </c>
      <c r="S1193" t="s">
        <v>79</v>
      </c>
      <c r="T1193" t="s">
        <v>1116</v>
      </c>
      <c r="U1193" t="s">
        <v>98</v>
      </c>
      <c r="V1193" t="s">
        <v>58</v>
      </c>
    </row>
    <row r="1194" spans="1:22" x14ac:dyDescent="0.3">
      <c r="A1194" t="s">
        <v>4795</v>
      </c>
      <c r="B1194" t="s">
        <v>4210</v>
      </c>
      <c r="C1194" t="s">
        <v>4211</v>
      </c>
      <c r="D1194" t="s">
        <v>4796</v>
      </c>
      <c r="E1194" t="s">
        <v>65</v>
      </c>
      <c r="F1194" t="s">
        <v>66</v>
      </c>
      <c r="G1194" t="s">
        <v>118</v>
      </c>
      <c r="H1194" t="s">
        <v>268</v>
      </c>
      <c r="I1194" t="s">
        <v>69</v>
      </c>
      <c r="J1194" t="s">
        <v>30</v>
      </c>
      <c r="K1194" t="s">
        <v>200</v>
      </c>
      <c r="L1194" t="s">
        <v>2171</v>
      </c>
      <c r="M1194" t="s">
        <v>4797</v>
      </c>
      <c r="N1194" t="s">
        <v>441</v>
      </c>
      <c r="O1194" t="s">
        <v>4093</v>
      </c>
      <c r="P1194" t="s">
        <v>2107</v>
      </c>
      <c r="Q1194" t="s">
        <v>232</v>
      </c>
      <c r="R1194" t="s">
        <v>4798</v>
      </c>
      <c r="S1194" t="s">
        <v>97</v>
      </c>
      <c r="T1194" t="s">
        <v>252</v>
      </c>
      <c r="U1194" t="s">
        <v>373</v>
      </c>
      <c r="V1194" t="s">
        <v>82</v>
      </c>
    </row>
    <row r="1195" spans="1:22" x14ac:dyDescent="0.3">
      <c r="A1195" t="s">
        <v>4799</v>
      </c>
      <c r="B1195" t="s">
        <v>2453</v>
      </c>
      <c r="C1195" t="s">
        <v>2454</v>
      </c>
      <c r="D1195" t="s">
        <v>2399</v>
      </c>
      <c r="E1195" t="s">
        <v>342</v>
      </c>
      <c r="F1195" t="s">
        <v>244</v>
      </c>
      <c r="G1195" t="s">
        <v>580</v>
      </c>
      <c r="H1195" t="s">
        <v>214</v>
      </c>
      <c r="I1195" t="s">
        <v>29</v>
      </c>
      <c r="J1195" t="s">
        <v>70</v>
      </c>
      <c r="K1195" t="s">
        <v>215</v>
      </c>
      <c r="L1195" t="s">
        <v>598</v>
      </c>
      <c r="M1195" t="s">
        <v>1395</v>
      </c>
      <c r="N1195" t="s">
        <v>179</v>
      </c>
      <c r="O1195" t="s">
        <v>1395</v>
      </c>
      <c r="P1195" t="s">
        <v>218</v>
      </c>
      <c r="Q1195" t="s">
        <v>206</v>
      </c>
      <c r="R1195" t="s">
        <v>4800</v>
      </c>
      <c r="S1195" t="s">
        <v>39</v>
      </c>
      <c r="T1195" t="s">
        <v>621</v>
      </c>
      <c r="U1195" t="s">
        <v>568</v>
      </c>
      <c r="V1195" t="s">
        <v>79</v>
      </c>
    </row>
    <row r="1196" spans="1:22" x14ac:dyDescent="0.3">
      <c r="A1196" t="s">
        <v>4801</v>
      </c>
      <c r="B1196" t="s">
        <v>706</v>
      </c>
      <c r="C1196" t="s">
        <v>707</v>
      </c>
      <c r="D1196" t="s">
        <v>3664</v>
      </c>
      <c r="E1196" t="s">
        <v>342</v>
      </c>
      <c r="F1196" t="s">
        <v>244</v>
      </c>
      <c r="G1196" t="s">
        <v>48</v>
      </c>
      <c r="H1196" t="s">
        <v>88</v>
      </c>
      <c r="I1196" t="s">
        <v>69</v>
      </c>
      <c r="J1196" t="s">
        <v>30</v>
      </c>
      <c r="K1196" t="s">
        <v>215</v>
      </c>
      <c r="L1196" t="s">
        <v>51</v>
      </c>
      <c r="M1196" t="s">
        <v>1067</v>
      </c>
      <c r="N1196" t="s">
        <v>179</v>
      </c>
      <c r="O1196" t="s">
        <v>1067</v>
      </c>
      <c r="P1196" t="s">
        <v>4802</v>
      </c>
      <c r="Q1196" t="s">
        <v>2262</v>
      </c>
      <c r="R1196" t="s">
        <v>4803</v>
      </c>
      <c r="S1196" t="s">
        <v>182</v>
      </c>
      <c r="T1196" t="s">
        <v>677</v>
      </c>
      <c r="U1196" t="s">
        <v>472</v>
      </c>
      <c r="V1196" t="s">
        <v>42</v>
      </c>
    </row>
    <row r="1197" spans="1:22" x14ac:dyDescent="0.3">
      <c r="A1197" t="s">
        <v>4804</v>
      </c>
      <c r="B1197" t="s">
        <v>2064</v>
      </c>
      <c r="C1197" t="s">
        <v>2065</v>
      </c>
      <c r="D1197" t="s">
        <v>936</v>
      </c>
      <c r="E1197" t="s">
        <v>65</v>
      </c>
      <c r="F1197" t="s">
        <v>66</v>
      </c>
      <c r="G1197" t="s">
        <v>213</v>
      </c>
      <c r="H1197" t="s">
        <v>268</v>
      </c>
      <c r="I1197" t="s">
        <v>69</v>
      </c>
      <c r="J1197" t="s">
        <v>257</v>
      </c>
      <c r="K1197" t="s">
        <v>215</v>
      </c>
      <c r="L1197" t="s">
        <v>561</v>
      </c>
      <c r="M1197" t="s">
        <v>504</v>
      </c>
      <c r="N1197" t="s">
        <v>384</v>
      </c>
      <c r="O1197" t="s">
        <v>3456</v>
      </c>
      <c r="P1197" t="s">
        <v>36</v>
      </c>
      <c r="Q1197" t="s">
        <v>468</v>
      </c>
      <c r="R1197" t="s">
        <v>4805</v>
      </c>
      <c r="S1197" t="s">
        <v>126</v>
      </c>
      <c r="T1197" t="s">
        <v>648</v>
      </c>
      <c r="U1197" t="s">
        <v>407</v>
      </c>
      <c r="V1197" t="s">
        <v>82</v>
      </c>
    </row>
    <row r="1198" spans="1:22" x14ac:dyDescent="0.3">
      <c r="A1198" t="s">
        <v>4806</v>
      </c>
      <c r="B1198" t="s">
        <v>1501</v>
      </c>
      <c r="C1198" t="s">
        <v>1502</v>
      </c>
      <c r="D1198" t="s">
        <v>4807</v>
      </c>
      <c r="E1198" t="s">
        <v>378</v>
      </c>
      <c r="F1198" t="s">
        <v>282</v>
      </c>
      <c r="G1198" t="s">
        <v>147</v>
      </c>
      <c r="I1198" t="s">
        <v>29</v>
      </c>
      <c r="J1198" t="s">
        <v>30</v>
      </c>
      <c r="K1198" t="s">
        <v>71</v>
      </c>
      <c r="L1198" t="s">
        <v>658</v>
      </c>
      <c r="M1198" t="s">
        <v>2641</v>
      </c>
      <c r="N1198" t="s">
        <v>179</v>
      </c>
      <c r="O1198" t="s">
        <v>2641</v>
      </c>
      <c r="P1198" t="s">
        <v>124</v>
      </c>
      <c r="Q1198" t="s">
        <v>880</v>
      </c>
      <c r="R1198" t="s">
        <v>4808</v>
      </c>
      <c r="S1198" t="s">
        <v>39</v>
      </c>
      <c r="T1198" t="s">
        <v>112</v>
      </c>
      <c r="U1198" t="s">
        <v>171</v>
      </c>
      <c r="V1198" t="s">
        <v>42</v>
      </c>
    </row>
    <row r="1199" spans="1:22" x14ac:dyDescent="0.3">
      <c r="A1199" t="s">
        <v>4809</v>
      </c>
      <c r="B1199" t="s">
        <v>4810</v>
      </c>
      <c r="C1199" t="s">
        <v>4811</v>
      </c>
      <c r="D1199" t="s">
        <v>4812</v>
      </c>
      <c r="E1199" t="s">
        <v>228</v>
      </c>
      <c r="F1199" t="s">
        <v>228</v>
      </c>
      <c r="G1199" t="s">
        <v>103</v>
      </c>
      <c r="H1199" t="s">
        <v>88</v>
      </c>
      <c r="I1199" t="s">
        <v>69</v>
      </c>
      <c r="J1199" t="s">
        <v>30</v>
      </c>
      <c r="K1199" t="s">
        <v>245</v>
      </c>
      <c r="L1199" t="s">
        <v>1382</v>
      </c>
      <c r="M1199" t="s">
        <v>4813</v>
      </c>
      <c r="N1199" t="s">
        <v>286</v>
      </c>
      <c r="O1199" t="s">
        <v>4814</v>
      </c>
      <c r="P1199" t="s">
        <v>4376</v>
      </c>
      <c r="Q1199" t="s">
        <v>250</v>
      </c>
      <c r="R1199" t="s">
        <v>4815</v>
      </c>
      <c r="S1199" t="s">
        <v>97</v>
      </c>
      <c r="T1199" t="s">
        <v>276</v>
      </c>
      <c r="U1199" t="s">
        <v>171</v>
      </c>
      <c r="V1199" t="s">
        <v>82</v>
      </c>
    </row>
    <row r="1200" spans="1:22" x14ac:dyDescent="0.3">
      <c r="A1200" t="s">
        <v>4816</v>
      </c>
      <c r="B1200" t="s">
        <v>4817</v>
      </c>
      <c r="C1200" t="s">
        <v>4818</v>
      </c>
      <c r="D1200" t="s">
        <v>2726</v>
      </c>
      <c r="E1200" t="s">
        <v>66</v>
      </c>
      <c r="F1200" t="s">
        <v>66</v>
      </c>
      <c r="G1200" t="s">
        <v>103</v>
      </c>
      <c r="H1200" t="s">
        <v>229</v>
      </c>
      <c r="I1200" t="s">
        <v>29</v>
      </c>
      <c r="J1200" t="s">
        <v>30</v>
      </c>
      <c r="K1200" t="s">
        <v>215</v>
      </c>
      <c r="L1200" t="s">
        <v>246</v>
      </c>
      <c r="M1200" t="s">
        <v>1288</v>
      </c>
      <c r="N1200" t="s">
        <v>179</v>
      </c>
      <c r="O1200" t="s">
        <v>1288</v>
      </c>
      <c r="P1200" t="s">
        <v>1465</v>
      </c>
      <c r="Q1200" t="s">
        <v>296</v>
      </c>
      <c r="R1200" t="s">
        <v>4819</v>
      </c>
      <c r="S1200" t="s">
        <v>39</v>
      </c>
      <c r="T1200" t="s">
        <v>336</v>
      </c>
      <c r="U1200" t="s">
        <v>362</v>
      </c>
      <c r="V1200" t="s">
        <v>42</v>
      </c>
    </row>
    <row r="1201" spans="1:22" x14ac:dyDescent="0.3">
      <c r="A1201" t="s">
        <v>4820</v>
      </c>
      <c r="B1201" t="s">
        <v>4821</v>
      </c>
      <c r="C1201" t="s">
        <v>4822</v>
      </c>
      <c r="D1201" t="s">
        <v>1995</v>
      </c>
      <c r="E1201" t="s">
        <v>780</v>
      </c>
      <c r="F1201" t="s">
        <v>282</v>
      </c>
      <c r="G1201" t="s">
        <v>118</v>
      </c>
      <c r="H1201" t="s">
        <v>28</v>
      </c>
      <c r="I1201" t="s">
        <v>29</v>
      </c>
      <c r="J1201" t="s">
        <v>30</v>
      </c>
      <c r="K1201" t="s">
        <v>89</v>
      </c>
      <c r="L1201" t="s">
        <v>428</v>
      </c>
      <c r="M1201" t="s">
        <v>4338</v>
      </c>
      <c r="N1201" t="s">
        <v>986</v>
      </c>
      <c r="O1201" t="s">
        <v>2167</v>
      </c>
      <c r="P1201" t="s">
        <v>1273</v>
      </c>
      <c r="Q1201" t="s">
        <v>56</v>
      </c>
      <c r="R1201" t="s">
        <v>3367</v>
      </c>
      <c r="S1201" t="s">
        <v>39</v>
      </c>
      <c r="T1201" t="s">
        <v>165</v>
      </c>
      <c r="U1201" t="s">
        <v>423</v>
      </c>
      <c r="V1201" t="s">
        <v>79</v>
      </c>
    </row>
    <row r="1202" spans="1:22" x14ac:dyDescent="0.3">
      <c r="A1202" t="s">
        <v>4823</v>
      </c>
      <c r="B1202" t="s">
        <v>1459</v>
      </c>
      <c r="C1202" t="s">
        <v>1460</v>
      </c>
      <c r="D1202" t="s">
        <v>1933</v>
      </c>
      <c r="E1202" t="s">
        <v>65</v>
      </c>
      <c r="F1202" t="s">
        <v>66</v>
      </c>
      <c r="G1202" t="s">
        <v>118</v>
      </c>
      <c r="H1202" t="s">
        <v>28</v>
      </c>
      <c r="I1202" t="s">
        <v>29</v>
      </c>
      <c r="J1202" t="s">
        <v>30</v>
      </c>
      <c r="K1202" t="s">
        <v>215</v>
      </c>
      <c r="L1202" t="s">
        <v>32</v>
      </c>
      <c r="M1202" t="s">
        <v>1322</v>
      </c>
      <c r="N1202" t="s">
        <v>1224</v>
      </c>
      <c r="O1202" t="s">
        <v>1090</v>
      </c>
      <c r="P1202" t="s">
        <v>1141</v>
      </c>
      <c r="Q1202" t="s">
        <v>459</v>
      </c>
      <c r="R1202" t="s">
        <v>4824</v>
      </c>
      <c r="S1202" t="s">
        <v>97</v>
      </c>
      <c r="T1202" t="s">
        <v>1230</v>
      </c>
      <c r="U1202" t="s">
        <v>155</v>
      </c>
      <c r="V1202" t="s">
        <v>82</v>
      </c>
    </row>
    <row r="1203" spans="1:22" x14ac:dyDescent="0.3">
      <c r="A1203" t="s">
        <v>4825</v>
      </c>
      <c r="B1203" t="s">
        <v>2302</v>
      </c>
      <c r="C1203" t="s">
        <v>2303</v>
      </c>
      <c r="D1203" t="s">
        <v>4826</v>
      </c>
      <c r="E1203" t="s">
        <v>282</v>
      </c>
      <c r="F1203" t="s">
        <v>282</v>
      </c>
      <c r="G1203" t="s">
        <v>67</v>
      </c>
      <c r="H1203" t="s">
        <v>68</v>
      </c>
      <c r="I1203" t="s">
        <v>29</v>
      </c>
      <c r="J1203" t="s">
        <v>30</v>
      </c>
      <c r="K1203" t="s">
        <v>293</v>
      </c>
      <c r="L1203" t="s">
        <v>1156</v>
      </c>
      <c r="M1203" t="s">
        <v>850</v>
      </c>
      <c r="N1203" t="s">
        <v>299</v>
      </c>
      <c r="O1203" t="s">
        <v>1681</v>
      </c>
      <c r="P1203" t="s">
        <v>344</v>
      </c>
      <c r="Q1203" t="s">
        <v>637</v>
      </c>
      <c r="R1203" t="s">
        <v>4827</v>
      </c>
      <c r="S1203" t="s">
        <v>182</v>
      </c>
      <c r="T1203" t="s">
        <v>321</v>
      </c>
      <c r="U1203" t="s">
        <v>349</v>
      </c>
      <c r="V1203" t="s">
        <v>42</v>
      </c>
    </row>
    <row r="1204" spans="1:22" x14ac:dyDescent="0.3">
      <c r="A1204" t="s">
        <v>4828</v>
      </c>
      <c r="B1204" t="s">
        <v>3502</v>
      </c>
      <c r="C1204" t="s">
        <v>3503</v>
      </c>
      <c r="D1204" t="s">
        <v>1776</v>
      </c>
      <c r="E1204" t="s">
        <v>87</v>
      </c>
      <c r="F1204" t="s">
        <v>26</v>
      </c>
      <c r="G1204" t="s">
        <v>103</v>
      </c>
      <c r="H1204" t="s">
        <v>28</v>
      </c>
      <c r="I1204" t="s">
        <v>69</v>
      </c>
      <c r="J1204" t="s">
        <v>30</v>
      </c>
      <c r="K1204" t="s">
        <v>215</v>
      </c>
      <c r="L1204" t="s">
        <v>719</v>
      </c>
      <c r="M1204" t="s">
        <v>2677</v>
      </c>
      <c r="N1204" t="s">
        <v>121</v>
      </c>
      <c r="O1204" t="s">
        <v>709</v>
      </c>
      <c r="P1204" t="s">
        <v>1704</v>
      </c>
      <c r="Q1204" t="s">
        <v>1509</v>
      </c>
      <c r="R1204" t="s">
        <v>4829</v>
      </c>
      <c r="S1204" t="s">
        <v>182</v>
      </c>
      <c r="T1204" t="s">
        <v>165</v>
      </c>
      <c r="U1204" t="s">
        <v>238</v>
      </c>
      <c r="V1204" t="s">
        <v>42</v>
      </c>
    </row>
    <row r="1205" spans="1:22" x14ac:dyDescent="0.3">
      <c r="A1205" t="s">
        <v>4830</v>
      </c>
      <c r="B1205" t="s">
        <v>2213</v>
      </c>
      <c r="C1205" t="s">
        <v>2214</v>
      </c>
      <c r="D1205" t="s">
        <v>2049</v>
      </c>
      <c r="E1205" t="s">
        <v>227</v>
      </c>
      <c r="F1205" t="s">
        <v>228</v>
      </c>
      <c r="G1205" t="s">
        <v>48</v>
      </c>
      <c r="H1205" t="s">
        <v>1692</v>
      </c>
      <c r="I1205" t="s">
        <v>69</v>
      </c>
      <c r="J1205" t="s">
        <v>257</v>
      </c>
      <c r="K1205" t="s">
        <v>89</v>
      </c>
      <c r="L1205" t="s">
        <v>72</v>
      </c>
      <c r="M1205" t="s">
        <v>2526</v>
      </c>
      <c r="N1205" t="s">
        <v>137</v>
      </c>
      <c r="O1205" t="s">
        <v>1336</v>
      </c>
      <c r="P1205" t="s">
        <v>368</v>
      </c>
      <c r="Q1205" t="s">
        <v>836</v>
      </c>
      <c r="R1205" t="s">
        <v>4831</v>
      </c>
      <c r="S1205" t="s">
        <v>182</v>
      </c>
      <c r="T1205" t="s">
        <v>276</v>
      </c>
      <c r="U1205" t="s">
        <v>423</v>
      </c>
      <c r="V1205" t="s">
        <v>42</v>
      </c>
    </row>
    <row r="1206" spans="1:22" x14ac:dyDescent="0.3">
      <c r="A1206" t="s">
        <v>4832</v>
      </c>
      <c r="B1206" t="s">
        <v>501</v>
      </c>
      <c r="C1206" t="s">
        <v>502</v>
      </c>
      <c r="D1206" t="s">
        <v>3188</v>
      </c>
      <c r="E1206" t="s">
        <v>780</v>
      </c>
      <c r="F1206" t="s">
        <v>282</v>
      </c>
      <c r="G1206" t="s">
        <v>103</v>
      </c>
      <c r="H1206" t="s">
        <v>268</v>
      </c>
      <c r="I1206" t="s">
        <v>69</v>
      </c>
      <c r="J1206" t="s">
        <v>30</v>
      </c>
      <c r="K1206" t="s">
        <v>50</v>
      </c>
      <c r="L1206" t="s">
        <v>362</v>
      </c>
      <c r="M1206" t="s">
        <v>1336</v>
      </c>
      <c r="N1206" t="s">
        <v>583</v>
      </c>
      <c r="O1206" t="s">
        <v>873</v>
      </c>
      <c r="P1206" t="s">
        <v>619</v>
      </c>
      <c r="Q1206" t="s">
        <v>770</v>
      </c>
      <c r="R1206" t="s">
        <v>4833</v>
      </c>
      <c r="S1206" t="s">
        <v>79</v>
      </c>
      <c r="T1206" t="s">
        <v>183</v>
      </c>
      <c r="U1206" t="s">
        <v>385</v>
      </c>
      <c r="V1206" t="s">
        <v>82</v>
      </c>
    </row>
    <row r="1207" spans="1:22" x14ac:dyDescent="0.3">
      <c r="A1207" t="s">
        <v>4834</v>
      </c>
      <c r="B1207" t="s">
        <v>1960</v>
      </c>
      <c r="C1207" t="s">
        <v>1961</v>
      </c>
      <c r="D1207" t="s">
        <v>1247</v>
      </c>
      <c r="E1207" t="s">
        <v>134</v>
      </c>
      <c r="F1207" t="s">
        <v>134</v>
      </c>
      <c r="G1207" t="s">
        <v>103</v>
      </c>
      <c r="H1207" t="s">
        <v>214</v>
      </c>
      <c r="I1207" t="s">
        <v>69</v>
      </c>
      <c r="J1207" t="s">
        <v>30</v>
      </c>
      <c r="K1207" t="s">
        <v>31</v>
      </c>
      <c r="L1207" t="s">
        <v>189</v>
      </c>
      <c r="M1207" t="s">
        <v>1664</v>
      </c>
      <c r="N1207" t="s">
        <v>179</v>
      </c>
      <c r="O1207" t="s">
        <v>1664</v>
      </c>
      <c r="P1207" t="s">
        <v>1202</v>
      </c>
      <c r="Q1207" t="s">
        <v>167</v>
      </c>
      <c r="R1207" t="s">
        <v>4835</v>
      </c>
      <c r="S1207" t="s">
        <v>97</v>
      </c>
      <c r="T1207" t="s">
        <v>170</v>
      </c>
      <c r="U1207" t="s">
        <v>394</v>
      </c>
      <c r="V1207" t="s">
        <v>79</v>
      </c>
    </row>
    <row r="1208" spans="1:22" x14ac:dyDescent="0.3">
      <c r="A1208" t="s">
        <v>4836</v>
      </c>
      <c r="B1208" t="s">
        <v>116</v>
      </c>
      <c r="C1208" t="s">
        <v>117</v>
      </c>
      <c r="D1208" t="s">
        <v>4531</v>
      </c>
      <c r="E1208" t="s">
        <v>438</v>
      </c>
      <c r="F1208" t="s">
        <v>188</v>
      </c>
      <c r="G1208" t="s">
        <v>580</v>
      </c>
      <c r="H1208" t="s">
        <v>49</v>
      </c>
      <c r="I1208" t="s">
        <v>29</v>
      </c>
      <c r="J1208" t="s">
        <v>30</v>
      </c>
      <c r="K1208" t="s">
        <v>50</v>
      </c>
      <c r="L1208" t="s">
        <v>551</v>
      </c>
      <c r="M1208" t="s">
        <v>3486</v>
      </c>
      <c r="N1208" t="s">
        <v>112</v>
      </c>
      <c r="O1208" t="s">
        <v>271</v>
      </c>
      <c r="P1208" t="s">
        <v>2037</v>
      </c>
      <c r="Q1208" t="s">
        <v>1097</v>
      </c>
      <c r="R1208" t="s">
        <v>4837</v>
      </c>
      <c r="S1208" t="s">
        <v>58</v>
      </c>
      <c r="T1208" t="s">
        <v>448</v>
      </c>
      <c r="U1208" t="s">
        <v>277</v>
      </c>
      <c r="V1208" t="s">
        <v>79</v>
      </c>
    </row>
    <row r="1209" spans="1:22" x14ac:dyDescent="0.3">
      <c r="A1209" t="s">
        <v>4838</v>
      </c>
      <c r="B1209" t="s">
        <v>2410</v>
      </c>
      <c r="C1209" t="s">
        <v>2411</v>
      </c>
      <c r="D1209" t="s">
        <v>3259</v>
      </c>
      <c r="E1209" t="s">
        <v>354</v>
      </c>
      <c r="F1209" t="s">
        <v>134</v>
      </c>
      <c r="G1209" t="s">
        <v>213</v>
      </c>
      <c r="H1209" t="s">
        <v>268</v>
      </c>
      <c r="I1209" t="s">
        <v>69</v>
      </c>
      <c r="J1209" t="s">
        <v>30</v>
      </c>
      <c r="K1209" t="s">
        <v>50</v>
      </c>
      <c r="L1209" t="s">
        <v>294</v>
      </c>
      <c r="M1209" t="s">
        <v>3682</v>
      </c>
      <c r="N1209" t="s">
        <v>735</v>
      </c>
      <c r="O1209" t="s">
        <v>1346</v>
      </c>
      <c r="P1209" t="s">
        <v>1248</v>
      </c>
      <c r="Q1209" t="s">
        <v>252</v>
      </c>
      <c r="R1209" t="s">
        <v>4839</v>
      </c>
      <c r="S1209" t="s">
        <v>126</v>
      </c>
      <c r="T1209" t="s">
        <v>392</v>
      </c>
      <c r="U1209" t="s">
        <v>407</v>
      </c>
      <c r="V1209" t="s">
        <v>82</v>
      </c>
    </row>
    <row r="1210" spans="1:22" x14ac:dyDescent="0.3">
      <c r="A1210" t="s">
        <v>4840</v>
      </c>
      <c r="B1210" t="s">
        <v>2005</v>
      </c>
      <c r="C1210" t="s">
        <v>2006</v>
      </c>
      <c r="D1210" t="s">
        <v>841</v>
      </c>
      <c r="E1210" t="s">
        <v>893</v>
      </c>
      <c r="F1210" t="s">
        <v>188</v>
      </c>
      <c r="G1210" t="s">
        <v>580</v>
      </c>
      <c r="I1210" t="s">
        <v>29</v>
      </c>
      <c r="J1210" t="s">
        <v>30</v>
      </c>
      <c r="K1210" t="s">
        <v>200</v>
      </c>
      <c r="L1210" t="s">
        <v>1139</v>
      </c>
      <c r="M1210" t="s">
        <v>382</v>
      </c>
      <c r="N1210" t="s">
        <v>179</v>
      </c>
      <c r="O1210" t="s">
        <v>382</v>
      </c>
      <c r="P1210" t="s">
        <v>344</v>
      </c>
      <c r="Q1210" t="s">
        <v>677</v>
      </c>
      <c r="R1210" t="s">
        <v>4841</v>
      </c>
      <c r="S1210" t="s">
        <v>79</v>
      </c>
      <c r="T1210" t="s">
        <v>543</v>
      </c>
      <c r="U1210" t="s">
        <v>171</v>
      </c>
      <c r="V1210" t="s">
        <v>79</v>
      </c>
    </row>
    <row r="1211" spans="1:22" x14ac:dyDescent="0.3">
      <c r="A1211" t="s">
        <v>4842</v>
      </c>
      <c r="B1211" t="s">
        <v>2277</v>
      </c>
      <c r="C1211" t="s">
        <v>2278</v>
      </c>
      <c r="D1211" t="s">
        <v>797</v>
      </c>
      <c r="E1211" t="s">
        <v>672</v>
      </c>
      <c r="F1211" t="s">
        <v>244</v>
      </c>
      <c r="G1211" t="s">
        <v>27</v>
      </c>
      <c r="H1211" t="s">
        <v>68</v>
      </c>
      <c r="I1211" t="s">
        <v>29</v>
      </c>
      <c r="J1211" t="s">
        <v>30</v>
      </c>
      <c r="K1211" t="s">
        <v>200</v>
      </c>
      <c r="L1211" t="s">
        <v>1562</v>
      </c>
      <c r="M1211" t="s">
        <v>2424</v>
      </c>
      <c r="N1211" t="s">
        <v>179</v>
      </c>
      <c r="O1211" t="s">
        <v>2424</v>
      </c>
      <c r="P1211" t="s">
        <v>880</v>
      </c>
      <c r="Q1211" t="s">
        <v>685</v>
      </c>
      <c r="R1211" t="s">
        <v>4178</v>
      </c>
      <c r="S1211" t="s">
        <v>39</v>
      </c>
      <c r="T1211" t="s">
        <v>37</v>
      </c>
      <c r="U1211" t="s">
        <v>423</v>
      </c>
      <c r="V1211" t="s">
        <v>79</v>
      </c>
    </row>
    <row r="1212" spans="1:22" x14ac:dyDescent="0.3">
      <c r="A1212" t="s">
        <v>4843</v>
      </c>
      <c r="B1212" t="s">
        <v>1245</v>
      </c>
      <c r="C1212" t="s">
        <v>1246</v>
      </c>
      <c r="D1212" t="s">
        <v>997</v>
      </c>
      <c r="E1212" t="s">
        <v>672</v>
      </c>
      <c r="F1212" t="s">
        <v>244</v>
      </c>
      <c r="G1212" t="s">
        <v>48</v>
      </c>
      <c r="H1212" t="s">
        <v>229</v>
      </c>
      <c r="I1212" t="s">
        <v>69</v>
      </c>
      <c r="J1212" t="s">
        <v>30</v>
      </c>
      <c r="K1212" t="s">
        <v>89</v>
      </c>
      <c r="L1212" t="s">
        <v>32</v>
      </c>
      <c r="M1212" t="s">
        <v>4844</v>
      </c>
      <c r="N1212" t="s">
        <v>1218</v>
      </c>
      <c r="O1212" t="s">
        <v>3402</v>
      </c>
      <c r="P1212" t="s">
        <v>1640</v>
      </c>
      <c r="Q1212" t="s">
        <v>1096</v>
      </c>
      <c r="R1212" t="s">
        <v>4845</v>
      </c>
      <c r="S1212" t="s">
        <v>79</v>
      </c>
      <c r="T1212" t="s">
        <v>306</v>
      </c>
      <c r="U1212" t="s">
        <v>472</v>
      </c>
      <c r="V1212" t="s">
        <v>79</v>
      </c>
    </row>
    <row r="1213" spans="1:22" x14ac:dyDescent="0.3">
      <c r="A1213" t="s">
        <v>4846</v>
      </c>
      <c r="B1213" t="s">
        <v>2756</v>
      </c>
      <c r="C1213" t="s">
        <v>2757</v>
      </c>
      <c r="D1213" t="s">
        <v>1423</v>
      </c>
      <c r="E1213" t="s">
        <v>417</v>
      </c>
      <c r="F1213" t="s">
        <v>134</v>
      </c>
      <c r="G1213" t="s">
        <v>27</v>
      </c>
      <c r="H1213" t="s">
        <v>88</v>
      </c>
      <c r="I1213" t="s">
        <v>69</v>
      </c>
      <c r="J1213" t="s">
        <v>30</v>
      </c>
      <c r="K1213" t="s">
        <v>89</v>
      </c>
      <c r="L1213" t="s">
        <v>362</v>
      </c>
      <c r="M1213" t="s">
        <v>1725</v>
      </c>
      <c r="N1213" t="s">
        <v>179</v>
      </c>
      <c r="O1213" t="s">
        <v>1725</v>
      </c>
      <c r="P1213" t="s">
        <v>1430</v>
      </c>
      <c r="Q1213" t="s">
        <v>361</v>
      </c>
      <c r="R1213" t="s">
        <v>4847</v>
      </c>
      <c r="S1213" t="s">
        <v>39</v>
      </c>
      <c r="T1213" t="s">
        <v>621</v>
      </c>
      <c r="U1213" t="s">
        <v>60</v>
      </c>
      <c r="V1213" t="s">
        <v>82</v>
      </c>
    </row>
    <row r="1214" spans="1:22" x14ac:dyDescent="0.3">
      <c r="A1214" t="s">
        <v>4848</v>
      </c>
      <c r="B1214" t="s">
        <v>890</v>
      </c>
      <c r="C1214" t="s">
        <v>891</v>
      </c>
      <c r="D1214" t="s">
        <v>920</v>
      </c>
      <c r="E1214" t="s">
        <v>780</v>
      </c>
      <c r="F1214" t="s">
        <v>282</v>
      </c>
      <c r="G1214" t="s">
        <v>67</v>
      </c>
      <c r="H1214" t="s">
        <v>214</v>
      </c>
      <c r="I1214" t="s">
        <v>69</v>
      </c>
      <c r="J1214" t="s">
        <v>70</v>
      </c>
      <c r="K1214" t="s">
        <v>245</v>
      </c>
      <c r="L1214" t="s">
        <v>362</v>
      </c>
      <c r="M1214" t="s">
        <v>1402</v>
      </c>
      <c r="N1214" t="s">
        <v>40</v>
      </c>
      <c r="O1214" t="s">
        <v>1909</v>
      </c>
      <c r="P1214" t="s">
        <v>2528</v>
      </c>
      <c r="Q1214" t="s">
        <v>637</v>
      </c>
      <c r="R1214" t="s">
        <v>4607</v>
      </c>
      <c r="S1214" t="s">
        <v>97</v>
      </c>
      <c r="T1214" t="s">
        <v>1099</v>
      </c>
      <c r="U1214" t="s">
        <v>362</v>
      </c>
      <c r="V1214" t="s">
        <v>114</v>
      </c>
    </row>
    <row r="1215" spans="1:22" x14ac:dyDescent="0.3">
      <c r="A1215" t="s">
        <v>4849</v>
      </c>
      <c r="B1215" t="s">
        <v>801</v>
      </c>
      <c r="C1215" t="s">
        <v>802</v>
      </c>
      <c r="D1215" t="s">
        <v>803</v>
      </c>
      <c r="E1215" t="s">
        <v>228</v>
      </c>
      <c r="F1215" t="s">
        <v>228</v>
      </c>
      <c r="G1215" t="s">
        <v>118</v>
      </c>
      <c r="H1215" t="s">
        <v>214</v>
      </c>
      <c r="I1215" t="s">
        <v>69</v>
      </c>
      <c r="J1215" t="s">
        <v>30</v>
      </c>
      <c r="K1215" t="s">
        <v>50</v>
      </c>
      <c r="L1215" t="s">
        <v>51</v>
      </c>
      <c r="M1215" t="s">
        <v>1988</v>
      </c>
      <c r="N1215" t="s">
        <v>1642</v>
      </c>
      <c r="O1215" t="s">
        <v>3157</v>
      </c>
      <c r="P1215" t="s">
        <v>430</v>
      </c>
      <c r="Q1215" t="s">
        <v>1011</v>
      </c>
      <c r="R1215" t="s">
        <v>4417</v>
      </c>
      <c r="S1215" t="s">
        <v>58</v>
      </c>
      <c r="T1215" t="s">
        <v>461</v>
      </c>
      <c r="U1215" t="s">
        <v>394</v>
      </c>
      <c r="V1215" t="s">
        <v>82</v>
      </c>
    </row>
    <row r="1216" spans="1:22" x14ac:dyDescent="0.3">
      <c r="A1216" t="s">
        <v>4850</v>
      </c>
      <c r="B1216" t="s">
        <v>595</v>
      </c>
      <c r="C1216" t="s">
        <v>596</v>
      </c>
      <c r="D1216" t="s">
        <v>3064</v>
      </c>
      <c r="E1216" t="s">
        <v>282</v>
      </c>
      <c r="F1216" t="s">
        <v>282</v>
      </c>
      <c r="G1216" t="s">
        <v>103</v>
      </c>
      <c r="H1216" t="s">
        <v>268</v>
      </c>
      <c r="I1216" t="s">
        <v>29</v>
      </c>
      <c r="J1216" t="s">
        <v>162</v>
      </c>
      <c r="K1216" t="s">
        <v>230</v>
      </c>
      <c r="L1216" t="s">
        <v>902</v>
      </c>
      <c r="M1216" t="s">
        <v>1051</v>
      </c>
      <c r="N1216" t="s">
        <v>1099</v>
      </c>
      <c r="O1216" t="s">
        <v>152</v>
      </c>
      <c r="P1216" t="s">
        <v>506</v>
      </c>
      <c r="Q1216" t="s">
        <v>735</v>
      </c>
      <c r="R1216" t="s">
        <v>4035</v>
      </c>
      <c r="S1216" t="s">
        <v>58</v>
      </c>
      <c r="T1216" t="s">
        <v>770</v>
      </c>
      <c r="U1216" t="s">
        <v>568</v>
      </c>
      <c r="V1216" t="s">
        <v>82</v>
      </c>
    </row>
    <row r="1217" spans="1:22" x14ac:dyDescent="0.3">
      <c r="A1217" t="s">
        <v>4851</v>
      </c>
      <c r="B1217" t="s">
        <v>2233</v>
      </c>
      <c r="C1217" t="s">
        <v>2234</v>
      </c>
      <c r="D1217" t="s">
        <v>4852</v>
      </c>
      <c r="E1217" t="s">
        <v>672</v>
      </c>
      <c r="F1217" t="s">
        <v>244</v>
      </c>
      <c r="G1217" t="s">
        <v>67</v>
      </c>
      <c r="H1217" t="s">
        <v>229</v>
      </c>
      <c r="I1217" t="s">
        <v>69</v>
      </c>
      <c r="J1217" t="s">
        <v>30</v>
      </c>
      <c r="K1217" t="s">
        <v>50</v>
      </c>
      <c r="L1217" t="s">
        <v>1562</v>
      </c>
      <c r="M1217" t="s">
        <v>2143</v>
      </c>
      <c r="N1217" t="s">
        <v>179</v>
      </c>
      <c r="O1217" t="s">
        <v>2143</v>
      </c>
      <c r="P1217" t="s">
        <v>886</v>
      </c>
      <c r="Q1217" t="s">
        <v>977</v>
      </c>
      <c r="R1217" t="s">
        <v>4853</v>
      </c>
      <c r="S1217" t="s">
        <v>58</v>
      </c>
      <c r="T1217" t="s">
        <v>369</v>
      </c>
      <c r="U1217" t="s">
        <v>300</v>
      </c>
      <c r="V1217" t="s">
        <v>82</v>
      </c>
    </row>
    <row r="1218" spans="1:22" x14ac:dyDescent="0.3">
      <c r="A1218" t="s">
        <v>4854</v>
      </c>
      <c r="B1218" t="s">
        <v>1459</v>
      </c>
      <c r="C1218" t="s">
        <v>1460</v>
      </c>
      <c r="D1218" t="s">
        <v>4855</v>
      </c>
      <c r="E1218" t="s">
        <v>634</v>
      </c>
      <c r="F1218" t="s">
        <v>228</v>
      </c>
      <c r="G1218" t="s">
        <v>118</v>
      </c>
      <c r="H1218" t="s">
        <v>104</v>
      </c>
      <c r="I1218" t="s">
        <v>29</v>
      </c>
      <c r="J1218" t="s">
        <v>30</v>
      </c>
      <c r="K1218" t="s">
        <v>31</v>
      </c>
      <c r="L1218" t="s">
        <v>682</v>
      </c>
      <c r="M1218" t="s">
        <v>3522</v>
      </c>
      <c r="N1218" t="s">
        <v>80</v>
      </c>
      <c r="O1218" t="s">
        <v>358</v>
      </c>
      <c r="P1218" t="s">
        <v>1433</v>
      </c>
      <c r="Q1218" t="s">
        <v>1642</v>
      </c>
      <c r="R1218" t="s">
        <v>4856</v>
      </c>
      <c r="S1218" t="s">
        <v>126</v>
      </c>
      <c r="T1218" t="s">
        <v>583</v>
      </c>
      <c r="U1218" t="s">
        <v>407</v>
      </c>
      <c r="V1218" t="s">
        <v>82</v>
      </c>
    </row>
    <row r="1219" spans="1:22" x14ac:dyDescent="0.3">
      <c r="A1219" t="s">
        <v>4857</v>
      </c>
      <c r="B1219" t="s">
        <v>2005</v>
      </c>
      <c r="C1219" t="s">
        <v>2006</v>
      </c>
      <c r="D1219" t="s">
        <v>4858</v>
      </c>
      <c r="E1219" t="s">
        <v>227</v>
      </c>
      <c r="F1219" t="s">
        <v>228</v>
      </c>
      <c r="G1219" t="s">
        <v>213</v>
      </c>
      <c r="H1219" t="s">
        <v>268</v>
      </c>
      <c r="I1219" t="s">
        <v>29</v>
      </c>
      <c r="J1219" t="s">
        <v>30</v>
      </c>
      <c r="K1219" t="s">
        <v>230</v>
      </c>
      <c r="L1219" t="s">
        <v>871</v>
      </c>
      <c r="M1219" t="s">
        <v>4859</v>
      </c>
      <c r="N1219" t="s">
        <v>985</v>
      </c>
      <c r="O1219" t="s">
        <v>4860</v>
      </c>
      <c r="P1219" t="s">
        <v>863</v>
      </c>
      <c r="Q1219" t="s">
        <v>526</v>
      </c>
      <c r="R1219" t="s">
        <v>4861</v>
      </c>
      <c r="S1219" t="s">
        <v>126</v>
      </c>
      <c r="T1219" t="s">
        <v>714</v>
      </c>
      <c r="U1219" t="s">
        <v>362</v>
      </c>
      <c r="V1219" t="s">
        <v>58</v>
      </c>
    </row>
    <row r="1220" spans="1:22" x14ac:dyDescent="0.3">
      <c r="A1220" t="s">
        <v>4862</v>
      </c>
      <c r="B1220" t="s">
        <v>795</v>
      </c>
      <c r="C1220" t="s">
        <v>796</v>
      </c>
      <c r="D1220" t="s">
        <v>1015</v>
      </c>
      <c r="E1220" t="s">
        <v>47</v>
      </c>
      <c r="F1220" t="s">
        <v>26</v>
      </c>
      <c r="G1220" t="s">
        <v>213</v>
      </c>
      <c r="H1220" t="s">
        <v>88</v>
      </c>
      <c r="I1220" t="s">
        <v>29</v>
      </c>
      <c r="J1220" t="s">
        <v>30</v>
      </c>
      <c r="K1220" t="s">
        <v>230</v>
      </c>
      <c r="L1220" t="s">
        <v>2171</v>
      </c>
      <c r="M1220" t="s">
        <v>76</v>
      </c>
      <c r="N1220" t="s">
        <v>179</v>
      </c>
      <c r="O1220" t="s">
        <v>76</v>
      </c>
      <c r="P1220" t="s">
        <v>1000</v>
      </c>
      <c r="Q1220" t="s">
        <v>648</v>
      </c>
      <c r="R1220" t="s">
        <v>2760</v>
      </c>
      <c r="S1220" t="s">
        <v>182</v>
      </c>
      <c r="T1220" t="s">
        <v>170</v>
      </c>
      <c r="U1220" t="s">
        <v>60</v>
      </c>
      <c r="V1220" t="s">
        <v>42</v>
      </c>
    </row>
    <row r="1221" spans="1:22" x14ac:dyDescent="0.3">
      <c r="A1221" t="s">
        <v>4863</v>
      </c>
      <c r="B1221" t="s">
        <v>1675</v>
      </c>
      <c r="C1221" t="s">
        <v>1676</v>
      </c>
      <c r="D1221" t="s">
        <v>1799</v>
      </c>
      <c r="E1221" t="s">
        <v>417</v>
      </c>
      <c r="F1221" t="s">
        <v>134</v>
      </c>
      <c r="G1221" t="s">
        <v>48</v>
      </c>
      <c r="H1221" t="s">
        <v>214</v>
      </c>
      <c r="I1221" t="s">
        <v>29</v>
      </c>
      <c r="J1221" t="s">
        <v>30</v>
      </c>
      <c r="K1221" t="s">
        <v>293</v>
      </c>
      <c r="L1221" t="s">
        <v>90</v>
      </c>
      <c r="M1221" t="s">
        <v>999</v>
      </c>
      <c r="N1221" t="s">
        <v>179</v>
      </c>
      <c r="O1221" t="s">
        <v>999</v>
      </c>
      <c r="P1221" t="s">
        <v>742</v>
      </c>
      <c r="Q1221" t="s">
        <v>600</v>
      </c>
      <c r="R1221" t="s">
        <v>4864</v>
      </c>
      <c r="S1221" t="s">
        <v>182</v>
      </c>
      <c r="T1221" t="s">
        <v>543</v>
      </c>
      <c r="U1221" t="s">
        <v>41</v>
      </c>
      <c r="V1221" t="s">
        <v>114</v>
      </c>
    </row>
    <row r="1222" spans="1:22" x14ac:dyDescent="0.3">
      <c r="A1222" t="s">
        <v>4865</v>
      </c>
      <c r="B1222" t="s">
        <v>1793</v>
      </c>
      <c r="C1222" t="s">
        <v>1794</v>
      </c>
      <c r="D1222" t="s">
        <v>1594</v>
      </c>
      <c r="E1222" t="s">
        <v>780</v>
      </c>
      <c r="F1222" t="s">
        <v>282</v>
      </c>
      <c r="G1222" t="s">
        <v>580</v>
      </c>
      <c r="H1222" t="s">
        <v>268</v>
      </c>
      <c r="I1222" t="s">
        <v>29</v>
      </c>
      <c r="J1222" t="s">
        <v>30</v>
      </c>
      <c r="K1222" t="s">
        <v>89</v>
      </c>
      <c r="L1222" t="s">
        <v>428</v>
      </c>
      <c r="M1222" t="s">
        <v>4866</v>
      </c>
      <c r="N1222" t="s">
        <v>208</v>
      </c>
      <c r="O1222" t="s">
        <v>3428</v>
      </c>
      <c r="P1222" t="s">
        <v>711</v>
      </c>
      <c r="Q1222" t="s">
        <v>1114</v>
      </c>
      <c r="R1222" t="s">
        <v>4867</v>
      </c>
      <c r="S1222" t="s">
        <v>39</v>
      </c>
      <c r="T1222" t="s">
        <v>1434</v>
      </c>
      <c r="U1222" t="s">
        <v>373</v>
      </c>
      <c r="V1222" t="s">
        <v>114</v>
      </c>
    </row>
    <row r="1223" spans="1:22" x14ac:dyDescent="0.3">
      <c r="A1223" t="s">
        <v>4868</v>
      </c>
      <c r="B1223" t="s">
        <v>1046</v>
      </c>
      <c r="C1223" t="s">
        <v>1047</v>
      </c>
      <c r="D1223" t="s">
        <v>2689</v>
      </c>
      <c r="E1223" t="s">
        <v>66</v>
      </c>
      <c r="F1223" t="s">
        <v>66</v>
      </c>
      <c r="G1223" t="s">
        <v>103</v>
      </c>
      <c r="H1223" t="s">
        <v>104</v>
      </c>
      <c r="I1223" t="s">
        <v>69</v>
      </c>
      <c r="J1223" t="s">
        <v>257</v>
      </c>
      <c r="K1223" t="s">
        <v>89</v>
      </c>
      <c r="L1223" t="s">
        <v>766</v>
      </c>
      <c r="M1223" t="s">
        <v>1177</v>
      </c>
      <c r="N1223" t="s">
        <v>2673</v>
      </c>
      <c r="O1223" t="s">
        <v>218</v>
      </c>
      <c r="P1223" t="s">
        <v>208</v>
      </c>
      <c r="Q1223" t="s">
        <v>1116</v>
      </c>
      <c r="R1223" t="s">
        <v>4869</v>
      </c>
      <c r="S1223" t="s">
        <v>126</v>
      </c>
      <c r="T1223" t="s">
        <v>142</v>
      </c>
      <c r="U1223" t="s">
        <v>385</v>
      </c>
      <c r="V1223" t="s">
        <v>114</v>
      </c>
    </row>
    <row r="1224" spans="1:22" x14ac:dyDescent="0.3">
      <c r="A1224" t="s">
        <v>4870</v>
      </c>
      <c r="B1224" t="s">
        <v>1733</v>
      </c>
      <c r="C1224" t="s">
        <v>1734</v>
      </c>
      <c r="D1224" t="s">
        <v>1168</v>
      </c>
      <c r="E1224" t="s">
        <v>188</v>
      </c>
      <c r="F1224" t="s">
        <v>188</v>
      </c>
      <c r="G1224" t="s">
        <v>118</v>
      </c>
      <c r="H1224" t="s">
        <v>88</v>
      </c>
      <c r="I1224" t="s">
        <v>29</v>
      </c>
      <c r="J1224" t="s">
        <v>70</v>
      </c>
      <c r="K1224" t="s">
        <v>50</v>
      </c>
      <c r="L1224" t="s">
        <v>1139</v>
      </c>
      <c r="M1224" t="s">
        <v>4871</v>
      </c>
      <c r="N1224" t="s">
        <v>137</v>
      </c>
      <c r="O1224" t="s">
        <v>418</v>
      </c>
      <c r="P1224" t="s">
        <v>1038</v>
      </c>
      <c r="Q1224" t="s">
        <v>75</v>
      </c>
      <c r="R1224" t="s">
        <v>4872</v>
      </c>
      <c r="S1224" t="s">
        <v>58</v>
      </c>
      <c r="T1224" t="s">
        <v>1097</v>
      </c>
      <c r="U1224" t="s">
        <v>60</v>
      </c>
      <c r="V1224" t="s">
        <v>42</v>
      </c>
    </row>
    <row r="1225" spans="1:22" x14ac:dyDescent="0.3">
      <c r="A1225" t="s">
        <v>4873</v>
      </c>
      <c r="B1225" t="s">
        <v>312</v>
      </c>
      <c r="C1225" t="s">
        <v>313</v>
      </c>
      <c r="D1225" t="s">
        <v>2981</v>
      </c>
      <c r="E1225" t="s">
        <v>188</v>
      </c>
      <c r="F1225" t="s">
        <v>188</v>
      </c>
      <c r="G1225" t="s">
        <v>103</v>
      </c>
      <c r="H1225" t="s">
        <v>68</v>
      </c>
      <c r="I1225" t="s">
        <v>29</v>
      </c>
      <c r="J1225" t="s">
        <v>162</v>
      </c>
      <c r="K1225" t="s">
        <v>293</v>
      </c>
      <c r="L1225" t="s">
        <v>974</v>
      </c>
      <c r="M1225" t="s">
        <v>1800</v>
      </c>
      <c r="N1225" t="s">
        <v>179</v>
      </c>
      <c r="O1225" t="s">
        <v>1800</v>
      </c>
      <c r="P1225" t="s">
        <v>1280</v>
      </c>
      <c r="Q1225" t="s">
        <v>1063</v>
      </c>
      <c r="R1225" t="s">
        <v>4874</v>
      </c>
      <c r="S1225" t="s">
        <v>182</v>
      </c>
      <c r="T1225" t="s">
        <v>40</v>
      </c>
      <c r="U1225" t="s">
        <v>362</v>
      </c>
      <c r="V1225" t="s">
        <v>79</v>
      </c>
    </row>
    <row r="1226" spans="1:22" x14ac:dyDescent="0.3">
      <c r="A1226" t="s">
        <v>4875</v>
      </c>
      <c r="B1226" t="s">
        <v>1592</v>
      </c>
      <c r="C1226" t="s">
        <v>1593</v>
      </c>
      <c r="D1226" t="s">
        <v>2153</v>
      </c>
      <c r="E1226" t="s">
        <v>354</v>
      </c>
      <c r="F1226" t="s">
        <v>134</v>
      </c>
      <c r="G1226" t="s">
        <v>213</v>
      </c>
      <c r="H1226" t="s">
        <v>214</v>
      </c>
      <c r="I1226" t="s">
        <v>69</v>
      </c>
      <c r="J1226" t="s">
        <v>30</v>
      </c>
      <c r="K1226" t="s">
        <v>230</v>
      </c>
      <c r="L1226" t="s">
        <v>598</v>
      </c>
      <c r="M1226" t="s">
        <v>2549</v>
      </c>
      <c r="N1226" t="s">
        <v>328</v>
      </c>
      <c r="O1226" t="s">
        <v>2527</v>
      </c>
      <c r="P1226" t="s">
        <v>506</v>
      </c>
      <c r="Q1226" t="s">
        <v>573</v>
      </c>
      <c r="R1226" t="s">
        <v>4791</v>
      </c>
      <c r="S1226" t="s">
        <v>126</v>
      </c>
      <c r="T1226" t="s">
        <v>448</v>
      </c>
      <c r="U1226" t="s">
        <v>373</v>
      </c>
      <c r="V1226" t="s">
        <v>114</v>
      </c>
    </row>
    <row r="1227" spans="1:22" x14ac:dyDescent="0.3">
      <c r="A1227" t="s">
        <v>4876</v>
      </c>
      <c r="B1227" t="s">
        <v>1512</v>
      </c>
      <c r="C1227" t="s">
        <v>1513</v>
      </c>
      <c r="D1227" t="s">
        <v>4612</v>
      </c>
      <c r="E1227" t="s">
        <v>133</v>
      </c>
      <c r="F1227" t="s">
        <v>134</v>
      </c>
      <c r="G1227" t="s">
        <v>147</v>
      </c>
      <c r="H1227" t="s">
        <v>28</v>
      </c>
      <c r="I1227" t="s">
        <v>69</v>
      </c>
      <c r="J1227" t="s">
        <v>162</v>
      </c>
      <c r="K1227" t="s">
        <v>50</v>
      </c>
      <c r="L1227" t="s">
        <v>51</v>
      </c>
      <c r="M1227" t="s">
        <v>273</v>
      </c>
      <c r="N1227" t="s">
        <v>286</v>
      </c>
      <c r="O1227" t="s">
        <v>2805</v>
      </c>
      <c r="P1227" t="s">
        <v>220</v>
      </c>
      <c r="Q1227" t="s">
        <v>644</v>
      </c>
      <c r="R1227" t="s">
        <v>4877</v>
      </c>
      <c r="S1227" t="s">
        <v>39</v>
      </c>
      <c r="T1227" t="s">
        <v>686</v>
      </c>
      <c r="U1227" t="s">
        <v>349</v>
      </c>
      <c r="V1227" t="s">
        <v>79</v>
      </c>
    </row>
    <row r="1228" spans="1:22" x14ac:dyDescent="0.3">
      <c r="A1228" t="s">
        <v>4878</v>
      </c>
      <c r="B1228" t="s">
        <v>1240</v>
      </c>
      <c r="C1228" t="s">
        <v>1241</v>
      </c>
      <c r="D1228" t="s">
        <v>2956</v>
      </c>
      <c r="E1228" t="s">
        <v>417</v>
      </c>
      <c r="F1228" t="s">
        <v>134</v>
      </c>
      <c r="G1228" t="s">
        <v>48</v>
      </c>
      <c r="H1228" t="s">
        <v>49</v>
      </c>
      <c r="I1228" t="s">
        <v>69</v>
      </c>
      <c r="J1228" t="s">
        <v>30</v>
      </c>
      <c r="K1228" t="s">
        <v>293</v>
      </c>
      <c r="L1228" t="s">
        <v>177</v>
      </c>
      <c r="M1228" t="s">
        <v>2176</v>
      </c>
      <c r="N1228" t="s">
        <v>735</v>
      </c>
      <c r="O1228" t="s">
        <v>1635</v>
      </c>
      <c r="P1228" t="s">
        <v>94</v>
      </c>
      <c r="Q1228" t="s">
        <v>782</v>
      </c>
      <c r="R1228" t="s">
        <v>4879</v>
      </c>
      <c r="S1228" t="s">
        <v>97</v>
      </c>
      <c r="T1228" t="s">
        <v>735</v>
      </c>
      <c r="U1228" t="s">
        <v>373</v>
      </c>
      <c r="V1228" t="s">
        <v>82</v>
      </c>
    </row>
    <row r="1229" spans="1:22" x14ac:dyDescent="0.3">
      <c r="A1229" t="s">
        <v>4880</v>
      </c>
      <c r="B1229" t="s">
        <v>1056</v>
      </c>
      <c r="C1229" t="s">
        <v>1057</v>
      </c>
      <c r="D1229" t="s">
        <v>1411</v>
      </c>
      <c r="E1229" t="s">
        <v>282</v>
      </c>
      <c r="F1229" t="s">
        <v>282</v>
      </c>
      <c r="G1229" t="s">
        <v>67</v>
      </c>
      <c r="H1229" t="s">
        <v>214</v>
      </c>
      <c r="I1229" t="s">
        <v>69</v>
      </c>
      <c r="J1229" t="s">
        <v>162</v>
      </c>
      <c r="K1229" t="s">
        <v>71</v>
      </c>
      <c r="L1229" t="s">
        <v>105</v>
      </c>
      <c r="M1229" t="s">
        <v>750</v>
      </c>
      <c r="N1229" t="s">
        <v>179</v>
      </c>
      <c r="O1229" t="s">
        <v>750</v>
      </c>
      <c r="P1229" t="s">
        <v>1158</v>
      </c>
      <c r="Q1229" t="s">
        <v>1116</v>
      </c>
      <c r="R1229" t="s">
        <v>3683</v>
      </c>
      <c r="S1229" t="s">
        <v>58</v>
      </c>
      <c r="T1229" t="s">
        <v>361</v>
      </c>
      <c r="U1229" t="s">
        <v>277</v>
      </c>
      <c r="V1229" t="s">
        <v>79</v>
      </c>
    </row>
    <row r="1230" spans="1:22" x14ac:dyDescent="0.3">
      <c r="A1230" t="s">
        <v>4881</v>
      </c>
      <c r="B1230" t="s">
        <v>4286</v>
      </c>
      <c r="C1230" t="s">
        <v>4287</v>
      </c>
      <c r="D1230" t="s">
        <v>2920</v>
      </c>
      <c r="E1230" t="s">
        <v>188</v>
      </c>
      <c r="F1230" t="s">
        <v>188</v>
      </c>
      <c r="G1230" t="s">
        <v>67</v>
      </c>
      <c r="H1230" t="s">
        <v>28</v>
      </c>
      <c r="I1230" t="s">
        <v>69</v>
      </c>
      <c r="J1230" t="s">
        <v>30</v>
      </c>
      <c r="K1230" t="s">
        <v>230</v>
      </c>
      <c r="L1230" t="s">
        <v>1139</v>
      </c>
      <c r="M1230" t="s">
        <v>403</v>
      </c>
      <c r="N1230" t="s">
        <v>237</v>
      </c>
      <c r="O1230" t="s">
        <v>692</v>
      </c>
      <c r="P1230" t="s">
        <v>479</v>
      </c>
      <c r="Q1230" t="s">
        <v>770</v>
      </c>
      <c r="R1230" t="s">
        <v>4882</v>
      </c>
      <c r="S1230" t="s">
        <v>58</v>
      </c>
      <c r="T1230" t="s">
        <v>92</v>
      </c>
      <c r="U1230" t="s">
        <v>288</v>
      </c>
      <c r="V1230" t="s">
        <v>82</v>
      </c>
    </row>
    <row r="1231" spans="1:22" x14ac:dyDescent="0.3">
      <c r="A1231" t="s">
        <v>4883</v>
      </c>
      <c r="B1231" t="s">
        <v>539</v>
      </c>
      <c r="C1231" t="s">
        <v>540</v>
      </c>
      <c r="D1231" t="s">
        <v>4884</v>
      </c>
      <c r="E1231" t="s">
        <v>417</v>
      </c>
      <c r="F1231" t="s">
        <v>134</v>
      </c>
      <c r="G1231" t="s">
        <v>27</v>
      </c>
      <c r="H1231" t="s">
        <v>229</v>
      </c>
      <c r="I1231" t="s">
        <v>69</v>
      </c>
      <c r="J1231" t="s">
        <v>30</v>
      </c>
      <c r="K1231" t="s">
        <v>89</v>
      </c>
      <c r="L1231" t="s">
        <v>561</v>
      </c>
      <c r="M1231" t="s">
        <v>1465</v>
      </c>
      <c r="N1231" t="s">
        <v>321</v>
      </c>
      <c r="O1231" t="s">
        <v>563</v>
      </c>
      <c r="P1231" t="s">
        <v>404</v>
      </c>
      <c r="Q1231" t="s">
        <v>1051</v>
      </c>
      <c r="R1231" t="s">
        <v>4885</v>
      </c>
      <c r="S1231" t="s">
        <v>97</v>
      </c>
      <c r="T1231" t="s">
        <v>107</v>
      </c>
      <c r="U1231" t="s">
        <v>407</v>
      </c>
      <c r="V1231" t="s">
        <v>79</v>
      </c>
    </row>
    <row r="1232" spans="1:22" x14ac:dyDescent="0.3">
      <c r="A1232" t="s">
        <v>4886</v>
      </c>
      <c r="B1232" t="s">
        <v>1306</v>
      </c>
      <c r="C1232" t="s">
        <v>1307</v>
      </c>
      <c r="D1232" t="s">
        <v>2683</v>
      </c>
      <c r="E1232" t="s">
        <v>227</v>
      </c>
      <c r="F1232" t="s">
        <v>228</v>
      </c>
      <c r="G1232" t="s">
        <v>147</v>
      </c>
      <c r="H1232" t="s">
        <v>268</v>
      </c>
      <c r="I1232" t="s">
        <v>69</v>
      </c>
      <c r="J1232" t="s">
        <v>30</v>
      </c>
      <c r="K1232" t="s">
        <v>245</v>
      </c>
      <c r="L1232" t="s">
        <v>32</v>
      </c>
      <c r="M1232" t="s">
        <v>4887</v>
      </c>
      <c r="N1232" t="s">
        <v>686</v>
      </c>
      <c r="O1232" t="s">
        <v>1053</v>
      </c>
      <c r="P1232" t="s">
        <v>3534</v>
      </c>
      <c r="Q1232" t="s">
        <v>1016</v>
      </c>
      <c r="R1232" t="s">
        <v>2254</v>
      </c>
      <c r="S1232" t="s">
        <v>126</v>
      </c>
      <c r="T1232" t="s">
        <v>2902</v>
      </c>
      <c r="U1232" t="s">
        <v>423</v>
      </c>
      <c r="V1232" t="s">
        <v>58</v>
      </c>
    </row>
    <row r="1233" spans="1:22" x14ac:dyDescent="0.3">
      <c r="A1233" t="s">
        <v>4888</v>
      </c>
      <c r="B1233" t="s">
        <v>2547</v>
      </c>
      <c r="C1233" t="s">
        <v>2548</v>
      </c>
      <c r="D1233" t="s">
        <v>1078</v>
      </c>
      <c r="E1233" t="s">
        <v>417</v>
      </c>
      <c r="F1233" t="s">
        <v>134</v>
      </c>
      <c r="G1233" t="s">
        <v>67</v>
      </c>
      <c r="H1233" t="s">
        <v>229</v>
      </c>
      <c r="I1233" t="s">
        <v>69</v>
      </c>
      <c r="J1233" t="s">
        <v>30</v>
      </c>
      <c r="K1233" t="s">
        <v>293</v>
      </c>
      <c r="L1233" t="s">
        <v>1987</v>
      </c>
      <c r="M1233" t="s">
        <v>1979</v>
      </c>
      <c r="N1233" t="s">
        <v>179</v>
      </c>
      <c r="O1233" t="s">
        <v>1979</v>
      </c>
      <c r="P1233" t="s">
        <v>792</v>
      </c>
      <c r="Q1233" t="s">
        <v>136</v>
      </c>
      <c r="R1233" t="s">
        <v>4889</v>
      </c>
      <c r="S1233" t="s">
        <v>58</v>
      </c>
      <c r="T1233" t="s">
        <v>137</v>
      </c>
      <c r="U1233" t="s">
        <v>300</v>
      </c>
      <c r="V1233" t="s">
        <v>79</v>
      </c>
    </row>
    <row r="1234" spans="1:22" x14ac:dyDescent="0.3">
      <c r="A1234" t="s">
        <v>4890</v>
      </c>
      <c r="B1234" t="s">
        <v>2000</v>
      </c>
      <c r="C1234" t="s">
        <v>2001</v>
      </c>
      <c r="D1234" t="s">
        <v>3769</v>
      </c>
      <c r="E1234" t="s">
        <v>780</v>
      </c>
      <c r="F1234" t="s">
        <v>282</v>
      </c>
      <c r="G1234" t="s">
        <v>580</v>
      </c>
      <c r="H1234" t="s">
        <v>49</v>
      </c>
      <c r="I1234" t="s">
        <v>69</v>
      </c>
      <c r="J1234" t="s">
        <v>162</v>
      </c>
      <c r="K1234" t="s">
        <v>230</v>
      </c>
      <c r="L1234" t="s">
        <v>135</v>
      </c>
      <c r="M1234" t="s">
        <v>1378</v>
      </c>
      <c r="N1234" t="s">
        <v>1509</v>
      </c>
      <c r="O1234" t="s">
        <v>488</v>
      </c>
      <c r="P1234" t="s">
        <v>1315</v>
      </c>
      <c r="Q1234" t="s">
        <v>1569</v>
      </c>
      <c r="R1234" t="s">
        <v>4891</v>
      </c>
      <c r="S1234" t="s">
        <v>126</v>
      </c>
      <c r="T1234" t="s">
        <v>40</v>
      </c>
      <c r="U1234" t="s">
        <v>128</v>
      </c>
      <c r="V1234" t="s">
        <v>42</v>
      </c>
    </row>
    <row r="1235" spans="1:22" x14ac:dyDescent="0.3">
      <c r="A1235" t="s">
        <v>4892</v>
      </c>
      <c r="B1235" t="s">
        <v>777</v>
      </c>
      <c r="C1235" t="s">
        <v>778</v>
      </c>
      <c r="D1235" t="s">
        <v>1497</v>
      </c>
      <c r="E1235" t="s">
        <v>66</v>
      </c>
      <c r="F1235" t="s">
        <v>66</v>
      </c>
      <c r="G1235" t="s">
        <v>103</v>
      </c>
      <c r="H1235" t="s">
        <v>104</v>
      </c>
      <c r="I1235" t="s">
        <v>69</v>
      </c>
      <c r="J1235" t="s">
        <v>30</v>
      </c>
      <c r="K1235" t="s">
        <v>31</v>
      </c>
      <c r="L1235" t="s">
        <v>201</v>
      </c>
      <c r="M1235" t="s">
        <v>4893</v>
      </c>
      <c r="N1235" t="s">
        <v>361</v>
      </c>
      <c r="O1235" t="s">
        <v>4894</v>
      </c>
      <c r="P1235" t="s">
        <v>2973</v>
      </c>
      <c r="Q1235" t="s">
        <v>404</v>
      </c>
      <c r="R1235" t="s">
        <v>4895</v>
      </c>
      <c r="S1235" t="s">
        <v>182</v>
      </c>
      <c r="T1235" t="s">
        <v>721</v>
      </c>
      <c r="U1235" t="s">
        <v>300</v>
      </c>
      <c r="V1235" t="s">
        <v>58</v>
      </c>
    </row>
    <row r="1236" spans="1:22" x14ac:dyDescent="0.3">
      <c r="A1236" t="s">
        <v>4896</v>
      </c>
      <c r="B1236" t="s">
        <v>2954</v>
      </c>
      <c r="C1236" t="s">
        <v>2955</v>
      </c>
      <c r="D1236" t="s">
        <v>1772</v>
      </c>
      <c r="E1236" t="s">
        <v>188</v>
      </c>
      <c r="F1236" t="s">
        <v>188</v>
      </c>
      <c r="G1236" t="s">
        <v>48</v>
      </c>
      <c r="H1236" t="s">
        <v>104</v>
      </c>
      <c r="I1236" t="s">
        <v>29</v>
      </c>
      <c r="J1236" t="s">
        <v>30</v>
      </c>
      <c r="K1236" t="s">
        <v>50</v>
      </c>
      <c r="L1236" t="s">
        <v>111</v>
      </c>
      <c r="M1236" t="s">
        <v>1280</v>
      </c>
      <c r="N1236" t="s">
        <v>1303</v>
      </c>
      <c r="O1236" t="s">
        <v>1924</v>
      </c>
      <c r="P1236" t="s">
        <v>470</v>
      </c>
      <c r="Q1236" t="s">
        <v>602</v>
      </c>
      <c r="R1236" t="s">
        <v>2362</v>
      </c>
      <c r="S1236" t="s">
        <v>97</v>
      </c>
      <c r="T1236" t="s">
        <v>751</v>
      </c>
      <c r="U1236" t="s">
        <v>277</v>
      </c>
      <c r="V1236" t="s">
        <v>82</v>
      </c>
    </row>
    <row r="1237" spans="1:22" x14ac:dyDescent="0.3">
      <c r="A1237" t="s">
        <v>4897</v>
      </c>
      <c r="B1237" t="s">
        <v>1333</v>
      </c>
      <c r="C1237" t="s">
        <v>1334</v>
      </c>
      <c r="D1237" t="s">
        <v>789</v>
      </c>
      <c r="E1237" t="s">
        <v>893</v>
      </c>
      <c r="F1237" t="s">
        <v>188</v>
      </c>
      <c r="G1237" t="s">
        <v>118</v>
      </c>
      <c r="H1237" t="s">
        <v>49</v>
      </c>
      <c r="I1237" t="s">
        <v>69</v>
      </c>
      <c r="J1237" t="s">
        <v>70</v>
      </c>
      <c r="K1237" t="s">
        <v>89</v>
      </c>
      <c r="L1237" t="s">
        <v>294</v>
      </c>
      <c r="M1237" t="s">
        <v>3486</v>
      </c>
      <c r="N1237" t="s">
        <v>179</v>
      </c>
      <c r="O1237" t="s">
        <v>3486</v>
      </c>
      <c r="P1237" t="s">
        <v>646</v>
      </c>
      <c r="Q1237" t="s">
        <v>1509</v>
      </c>
      <c r="R1237" t="s">
        <v>4898</v>
      </c>
      <c r="S1237" t="s">
        <v>79</v>
      </c>
      <c r="T1237" t="s">
        <v>80</v>
      </c>
      <c r="U1237" t="s">
        <v>407</v>
      </c>
      <c r="V1237" t="s">
        <v>58</v>
      </c>
    </row>
    <row r="1238" spans="1:22" x14ac:dyDescent="0.3">
      <c r="A1238" t="s">
        <v>4899</v>
      </c>
      <c r="B1238" t="s">
        <v>586</v>
      </c>
      <c r="C1238" t="s">
        <v>587</v>
      </c>
      <c r="D1238" t="s">
        <v>2796</v>
      </c>
      <c r="E1238" t="s">
        <v>161</v>
      </c>
      <c r="F1238" t="s">
        <v>161</v>
      </c>
      <c r="G1238" t="s">
        <v>118</v>
      </c>
      <c r="H1238" t="s">
        <v>28</v>
      </c>
      <c r="I1238" t="s">
        <v>69</v>
      </c>
      <c r="J1238" t="s">
        <v>70</v>
      </c>
      <c r="K1238" t="s">
        <v>230</v>
      </c>
      <c r="L1238" t="s">
        <v>246</v>
      </c>
      <c r="M1238" t="s">
        <v>2036</v>
      </c>
      <c r="N1238" t="s">
        <v>179</v>
      </c>
      <c r="O1238" t="s">
        <v>2036</v>
      </c>
      <c r="P1238" t="s">
        <v>411</v>
      </c>
      <c r="Q1238" t="s">
        <v>968</v>
      </c>
      <c r="R1238" t="s">
        <v>4900</v>
      </c>
      <c r="S1238" t="s">
        <v>79</v>
      </c>
      <c r="T1238" t="s">
        <v>77</v>
      </c>
      <c r="U1238" t="s">
        <v>113</v>
      </c>
      <c r="V1238" t="s">
        <v>58</v>
      </c>
    </row>
    <row r="1239" spans="1:22" x14ac:dyDescent="0.3">
      <c r="A1239" t="s">
        <v>4901</v>
      </c>
      <c r="B1239" t="s">
        <v>2963</v>
      </c>
      <c r="C1239" t="s">
        <v>2964</v>
      </c>
      <c r="D1239" t="s">
        <v>3176</v>
      </c>
      <c r="E1239" t="s">
        <v>134</v>
      </c>
      <c r="F1239" t="s">
        <v>134</v>
      </c>
      <c r="G1239" t="s">
        <v>48</v>
      </c>
      <c r="H1239" t="s">
        <v>214</v>
      </c>
      <c r="I1239" t="s">
        <v>29</v>
      </c>
      <c r="J1239" t="s">
        <v>70</v>
      </c>
      <c r="K1239" t="s">
        <v>293</v>
      </c>
      <c r="L1239" t="s">
        <v>983</v>
      </c>
      <c r="M1239" t="s">
        <v>2160</v>
      </c>
      <c r="N1239" t="s">
        <v>1013</v>
      </c>
      <c r="O1239" t="s">
        <v>880</v>
      </c>
      <c r="P1239" t="s">
        <v>3471</v>
      </c>
      <c r="Q1239" t="s">
        <v>55</v>
      </c>
      <c r="R1239" t="s">
        <v>4902</v>
      </c>
      <c r="S1239" t="s">
        <v>39</v>
      </c>
      <c r="T1239" t="s">
        <v>142</v>
      </c>
      <c r="U1239" t="s">
        <v>423</v>
      </c>
      <c r="V1239" t="s">
        <v>114</v>
      </c>
    </row>
    <row r="1240" spans="1:22" x14ac:dyDescent="0.3">
      <c r="A1240" t="s">
        <v>4903</v>
      </c>
      <c r="B1240" t="s">
        <v>809</v>
      </c>
      <c r="C1240" t="s">
        <v>810</v>
      </c>
      <c r="D1240" t="s">
        <v>4736</v>
      </c>
      <c r="E1240" t="s">
        <v>267</v>
      </c>
      <c r="F1240" t="s">
        <v>66</v>
      </c>
      <c r="G1240" t="s">
        <v>103</v>
      </c>
      <c r="H1240" t="s">
        <v>88</v>
      </c>
      <c r="I1240" t="s">
        <v>29</v>
      </c>
      <c r="J1240" t="s">
        <v>70</v>
      </c>
      <c r="K1240" t="s">
        <v>31</v>
      </c>
      <c r="L1240" t="s">
        <v>534</v>
      </c>
      <c r="M1240" t="s">
        <v>3838</v>
      </c>
      <c r="N1240" t="s">
        <v>299</v>
      </c>
      <c r="O1240" t="s">
        <v>599</v>
      </c>
      <c r="P1240" t="s">
        <v>1163</v>
      </c>
      <c r="Q1240" t="s">
        <v>2819</v>
      </c>
      <c r="R1240" t="s">
        <v>4904</v>
      </c>
      <c r="S1240" t="s">
        <v>126</v>
      </c>
      <c r="T1240" t="s">
        <v>966</v>
      </c>
      <c r="U1240" t="s">
        <v>98</v>
      </c>
      <c r="V1240" t="s">
        <v>42</v>
      </c>
    </row>
    <row r="1241" spans="1:22" x14ac:dyDescent="0.3">
      <c r="A1241" t="s">
        <v>4905</v>
      </c>
      <c r="B1241" t="s">
        <v>2017</v>
      </c>
      <c r="C1241" t="s">
        <v>2018</v>
      </c>
      <c r="D1241" t="s">
        <v>901</v>
      </c>
      <c r="E1241" t="s">
        <v>161</v>
      </c>
      <c r="F1241" t="s">
        <v>161</v>
      </c>
      <c r="G1241" t="s">
        <v>27</v>
      </c>
      <c r="H1241" t="s">
        <v>104</v>
      </c>
      <c r="I1241" t="s">
        <v>69</v>
      </c>
      <c r="J1241" t="s">
        <v>70</v>
      </c>
      <c r="K1241" t="s">
        <v>71</v>
      </c>
      <c r="L1241" t="s">
        <v>2637</v>
      </c>
      <c r="M1241" t="s">
        <v>850</v>
      </c>
      <c r="N1241" t="s">
        <v>179</v>
      </c>
      <c r="O1241" t="s">
        <v>850</v>
      </c>
      <c r="P1241" t="s">
        <v>2740</v>
      </c>
      <c r="Q1241" t="s">
        <v>482</v>
      </c>
      <c r="R1241" t="s">
        <v>4906</v>
      </c>
      <c r="S1241" t="s">
        <v>39</v>
      </c>
      <c r="T1241" t="s">
        <v>384</v>
      </c>
      <c r="U1241" t="s">
        <v>362</v>
      </c>
      <c r="V1241" t="s">
        <v>58</v>
      </c>
    </row>
    <row r="1242" spans="1:22" x14ac:dyDescent="0.3">
      <c r="A1242" t="s">
        <v>4907</v>
      </c>
      <c r="B1242" t="s">
        <v>3685</v>
      </c>
      <c r="C1242" t="s">
        <v>3686</v>
      </c>
      <c r="D1242" t="s">
        <v>4768</v>
      </c>
      <c r="E1242" t="s">
        <v>176</v>
      </c>
      <c r="F1242" t="s">
        <v>161</v>
      </c>
      <c r="G1242" t="s">
        <v>27</v>
      </c>
      <c r="H1242" t="s">
        <v>28</v>
      </c>
      <c r="I1242" t="s">
        <v>29</v>
      </c>
      <c r="J1242" t="s">
        <v>30</v>
      </c>
      <c r="K1242" t="s">
        <v>50</v>
      </c>
      <c r="L1242" t="s">
        <v>983</v>
      </c>
      <c r="M1242" t="s">
        <v>792</v>
      </c>
      <c r="N1242" t="s">
        <v>53</v>
      </c>
      <c r="O1242" t="s">
        <v>218</v>
      </c>
      <c r="P1242" t="s">
        <v>1141</v>
      </c>
      <c r="Q1242" t="s">
        <v>168</v>
      </c>
      <c r="R1242" t="s">
        <v>1624</v>
      </c>
      <c r="S1242" t="s">
        <v>79</v>
      </c>
      <c r="T1242" t="s">
        <v>613</v>
      </c>
      <c r="U1242" t="s">
        <v>60</v>
      </c>
      <c r="V1242" t="s">
        <v>58</v>
      </c>
    </row>
    <row r="1243" spans="1:22" x14ac:dyDescent="0.3">
      <c r="A1243" t="s">
        <v>4908</v>
      </c>
      <c r="B1243" t="s">
        <v>2010</v>
      </c>
      <c r="C1243" t="s">
        <v>2011</v>
      </c>
      <c r="D1243" t="s">
        <v>242</v>
      </c>
      <c r="E1243" t="s">
        <v>66</v>
      </c>
      <c r="F1243" t="s">
        <v>66</v>
      </c>
      <c r="G1243" t="s">
        <v>67</v>
      </c>
      <c r="H1243" t="s">
        <v>268</v>
      </c>
      <c r="I1243" t="s">
        <v>69</v>
      </c>
      <c r="J1243" t="s">
        <v>30</v>
      </c>
      <c r="K1243" t="s">
        <v>200</v>
      </c>
      <c r="L1243" t="s">
        <v>513</v>
      </c>
      <c r="M1243" t="s">
        <v>3162</v>
      </c>
      <c r="N1243" t="s">
        <v>179</v>
      </c>
      <c r="O1243" t="s">
        <v>3162</v>
      </c>
      <c r="P1243" t="s">
        <v>1704</v>
      </c>
      <c r="Q1243" t="s">
        <v>2024</v>
      </c>
      <c r="R1243" t="s">
        <v>4909</v>
      </c>
      <c r="S1243" t="s">
        <v>58</v>
      </c>
      <c r="T1243" t="s">
        <v>95</v>
      </c>
      <c r="U1243" t="s">
        <v>171</v>
      </c>
      <c r="V1243" t="s">
        <v>114</v>
      </c>
    </row>
    <row r="1244" spans="1:22" x14ac:dyDescent="0.3">
      <c r="A1244" t="s">
        <v>4910</v>
      </c>
      <c r="B1244" t="s">
        <v>425</v>
      </c>
      <c r="C1244" t="s">
        <v>426</v>
      </c>
      <c r="D1244" t="s">
        <v>3761</v>
      </c>
      <c r="E1244" t="s">
        <v>730</v>
      </c>
      <c r="F1244" t="s">
        <v>26</v>
      </c>
      <c r="G1244" t="s">
        <v>27</v>
      </c>
      <c r="H1244" t="s">
        <v>49</v>
      </c>
      <c r="I1244" t="s">
        <v>29</v>
      </c>
      <c r="J1244" t="s">
        <v>30</v>
      </c>
      <c r="K1244" t="s">
        <v>245</v>
      </c>
      <c r="L1244" t="s">
        <v>466</v>
      </c>
      <c r="M1244" t="s">
        <v>467</v>
      </c>
      <c r="N1244" t="s">
        <v>328</v>
      </c>
      <c r="O1244" t="s">
        <v>1074</v>
      </c>
      <c r="P1244" t="s">
        <v>2263</v>
      </c>
      <c r="Q1244" t="s">
        <v>167</v>
      </c>
      <c r="R1244" t="s">
        <v>812</v>
      </c>
      <c r="S1244" t="s">
        <v>58</v>
      </c>
      <c r="T1244" t="s">
        <v>80</v>
      </c>
      <c r="U1244" t="s">
        <v>60</v>
      </c>
      <c r="V1244" t="s">
        <v>58</v>
      </c>
    </row>
    <row r="1245" spans="1:22" x14ac:dyDescent="0.3">
      <c r="A1245" t="s">
        <v>4911</v>
      </c>
      <c r="B1245" t="s">
        <v>4912</v>
      </c>
      <c r="C1245" t="s">
        <v>4913</v>
      </c>
      <c r="D1245" t="s">
        <v>416</v>
      </c>
      <c r="E1245" t="s">
        <v>65</v>
      </c>
      <c r="F1245" t="s">
        <v>66</v>
      </c>
      <c r="G1245" t="s">
        <v>147</v>
      </c>
      <c r="H1245" t="s">
        <v>214</v>
      </c>
      <c r="I1245" t="s">
        <v>69</v>
      </c>
      <c r="J1245" t="s">
        <v>30</v>
      </c>
      <c r="K1245" t="s">
        <v>50</v>
      </c>
      <c r="L1245" t="s">
        <v>534</v>
      </c>
      <c r="M1245" t="s">
        <v>1517</v>
      </c>
      <c r="N1245" t="s">
        <v>695</v>
      </c>
      <c r="O1245" t="s">
        <v>73</v>
      </c>
      <c r="P1245" t="s">
        <v>565</v>
      </c>
      <c r="Q1245" t="s">
        <v>1177</v>
      </c>
      <c r="R1245" t="s">
        <v>4914</v>
      </c>
      <c r="S1245" t="s">
        <v>97</v>
      </c>
      <c r="T1245" t="s">
        <v>261</v>
      </c>
      <c r="U1245" t="s">
        <v>362</v>
      </c>
      <c r="V1245" t="s">
        <v>79</v>
      </c>
    </row>
    <row r="1246" spans="1:22" x14ac:dyDescent="0.3">
      <c r="A1246" t="s">
        <v>4915</v>
      </c>
      <c r="B1246" t="s">
        <v>1797</v>
      </c>
      <c r="C1246" t="s">
        <v>1798</v>
      </c>
      <c r="D1246" t="s">
        <v>2091</v>
      </c>
      <c r="E1246" t="s">
        <v>188</v>
      </c>
      <c r="F1246" t="s">
        <v>188</v>
      </c>
      <c r="G1246" t="s">
        <v>48</v>
      </c>
      <c r="H1246" t="s">
        <v>49</v>
      </c>
      <c r="I1246" t="s">
        <v>69</v>
      </c>
      <c r="J1246" t="s">
        <v>30</v>
      </c>
      <c r="K1246" t="s">
        <v>89</v>
      </c>
      <c r="L1246" t="s">
        <v>105</v>
      </c>
      <c r="M1246" t="s">
        <v>4916</v>
      </c>
      <c r="N1246" t="s">
        <v>179</v>
      </c>
      <c r="O1246" t="s">
        <v>4916</v>
      </c>
      <c r="P1246" t="s">
        <v>2926</v>
      </c>
      <c r="Q1246" t="s">
        <v>488</v>
      </c>
      <c r="R1246" t="s">
        <v>2979</v>
      </c>
      <c r="S1246" t="s">
        <v>58</v>
      </c>
      <c r="T1246" t="s">
        <v>1260</v>
      </c>
      <c r="U1246" t="s">
        <v>423</v>
      </c>
      <c r="V1246" t="s">
        <v>82</v>
      </c>
    </row>
    <row r="1247" spans="1:22" x14ac:dyDescent="0.3">
      <c r="A1247" t="s">
        <v>4917</v>
      </c>
      <c r="B1247" t="s">
        <v>2233</v>
      </c>
      <c r="C1247" t="s">
        <v>2234</v>
      </c>
      <c r="D1247" t="s">
        <v>3107</v>
      </c>
      <c r="E1247" t="s">
        <v>378</v>
      </c>
      <c r="F1247" t="s">
        <v>282</v>
      </c>
      <c r="G1247" t="s">
        <v>27</v>
      </c>
      <c r="H1247" t="s">
        <v>104</v>
      </c>
      <c r="I1247" t="s">
        <v>69</v>
      </c>
      <c r="J1247" t="s">
        <v>30</v>
      </c>
      <c r="K1247" t="s">
        <v>230</v>
      </c>
      <c r="L1247" t="s">
        <v>513</v>
      </c>
      <c r="M1247" t="s">
        <v>306</v>
      </c>
      <c r="N1247" t="s">
        <v>179</v>
      </c>
      <c r="O1247" t="s">
        <v>306</v>
      </c>
      <c r="P1247" t="s">
        <v>441</v>
      </c>
      <c r="Q1247" t="s">
        <v>433</v>
      </c>
      <c r="R1247" t="s">
        <v>3605</v>
      </c>
      <c r="S1247" t="s">
        <v>182</v>
      </c>
      <c r="T1247" t="s">
        <v>621</v>
      </c>
      <c r="U1247" t="s">
        <v>128</v>
      </c>
      <c r="V1247" t="s">
        <v>114</v>
      </c>
    </row>
    <row r="1248" spans="1:22" x14ac:dyDescent="0.3">
      <c r="A1248" t="s">
        <v>4918</v>
      </c>
      <c r="B1248" t="s">
        <v>2438</v>
      </c>
      <c r="C1248" t="s">
        <v>2439</v>
      </c>
      <c r="D1248" t="s">
        <v>3360</v>
      </c>
      <c r="E1248" t="s">
        <v>354</v>
      </c>
      <c r="F1248" t="s">
        <v>134</v>
      </c>
      <c r="G1248" t="s">
        <v>580</v>
      </c>
      <c r="H1248" t="s">
        <v>49</v>
      </c>
      <c r="I1248" t="s">
        <v>69</v>
      </c>
      <c r="J1248" t="s">
        <v>30</v>
      </c>
      <c r="K1248" t="s">
        <v>31</v>
      </c>
      <c r="L1248" t="s">
        <v>362</v>
      </c>
      <c r="M1248" t="s">
        <v>1302</v>
      </c>
      <c r="N1248" t="s">
        <v>179</v>
      </c>
      <c r="O1248" t="s">
        <v>1302</v>
      </c>
      <c r="P1248" t="s">
        <v>1456</v>
      </c>
      <c r="Q1248" t="s">
        <v>137</v>
      </c>
      <c r="R1248" t="s">
        <v>4919</v>
      </c>
      <c r="S1248" t="s">
        <v>39</v>
      </c>
      <c r="T1248" t="s">
        <v>59</v>
      </c>
      <c r="U1248" t="s">
        <v>867</v>
      </c>
      <c r="V1248" t="s">
        <v>79</v>
      </c>
    </row>
    <row r="1249" spans="1:22" x14ac:dyDescent="0.3">
      <c r="A1249" t="s">
        <v>4920</v>
      </c>
      <c r="B1249" t="s">
        <v>2504</v>
      </c>
      <c r="C1249" t="s">
        <v>2505</v>
      </c>
      <c r="D1249" t="s">
        <v>3197</v>
      </c>
      <c r="E1249" t="s">
        <v>66</v>
      </c>
      <c r="F1249" t="s">
        <v>66</v>
      </c>
      <c r="G1249" t="s">
        <v>118</v>
      </c>
      <c r="H1249" t="s">
        <v>28</v>
      </c>
      <c r="I1249" t="s">
        <v>69</v>
      </c>
      <c r="J1249" t="s">
        <v>70</v>
      </c>
      <c r="K1249" t="s">
        <v>215</v>
      </c>
      <c r="L1249" t="s">
        <v>105</v>
      </c>
      <c r="M1249" t="s">
        <v>620</v>
      </c>
      <c r="N1249" t="s">
        <v>179</v>
      </c>
      <c r="O1249" t="s">
        <v>620</v>
      </c>
      <c r="P1249" t="s">
        <v>1568</v>
      </c>
      <c r="Q1249" t="s">
        <v>1430</v>
      </c>
      <c r="R1249" t="s">
        <v>4921</v>
      </c>
      <c r="S1249" t="s">
        <v>39</v>
      </c>
      <c r="T1249" t="s">
        <v>782</v>
      </c>
      <c r="U1249" t="s">
        <v>277</v>
      </c>
      <c r="V1249" t="s">
        <v>82</v>
      </c>
    </row>
    <row r="1250" spans="1:22" x14ac:dyDescent="0.3">
      <c r="A1250" t="s">
        <v>4922</v>
      </c>
      <c r="B1250" t="s">
        <v>606</v>
      </c>
      <c r="C1250" t="s">
        <v>607</v>
      </c>
      <c r="D1250" t="s">
        <v>1542</v>
      </c>
      <c r="E1250" t="s">
        <v>417</v>
      </c>
      <c r="F1250" t="s">
        <v>134</v>
      </c>
      <c r="G1250" t="s">
        <v>103</v>
      </c>
      <c r="H1250" t="s">
        <v>229</v>
      </c>
      <c r="I1250" t="s">
        <v>69</v>
      </c>
      <c r="J1250" t="s">
        <v>30</v>
      </c>
      <c r="K1250" t="s">
        <v>245</v>
      </c>
      <c r="L1250" t="s">
        <v>534</v>
      </c>
      <c r="M1250" t="s">
        <v>204</v>
      </c>
      <c r="N1250" t="s">
        <v>179</v>
      </c>
      <c r="O1250" t="s">
        <v>204</v>
      </c>
      <c r="P1250" t="s">
        <v>1395</v>
      </c>
      <c r="Q1250" t="s">
        <v>1004</v>
      </c>
      <c r="R1250" t="s">
        <v>320</v>
      </c>
      <c r="S1250" t="s">
        <v>58</v>
      </c>
      <c r="T1250" t="s">
        <v>326</v>
      </c>
      <c r="U1250" t="s">
        <v>472</v>
      </c>
      <c r="V1250" t="s">
        <v>79</v>
      </c>
    </row>
    <row r="1251" spans="1:22" x14ac:dyDescent="0.3">
      <c r="A1251" t="s">
        <v>4923</v>
      </c>
      <c r="B1251" t="s">
        <v>2621</v>
      </c>
      <c r="C1251" t="s">
        <v>2622</v>
      </c>
      <c r="D1251" t="s">
        <v>4884</v>
      </c>
      <c r="E1251" t="s">
        <v>26</v>
      </c>
      <c r="F1251" t="s">
        <v>26</v>
      </c>
      <c r="G1251" t="s">
        <v>213</v>
      </c>
      <c r="H1251" t="s">
        <v>104</v>
      </c>
      <c r="I1251" t="s">
        <v>29</v>
      </c>
      <c r="J1251" t="s">
        <v>30</v>
      </c>
      <c r="K1251" t="s">
        <v>89</v>
      </c>
      <c r="L1251" t="s">
        <v>148</v>
      </c>
      <c r="M1251" t="s">
        <v>33</v>
      </c>
      <c r="N1251" t="s">
        <v>179</v>
      </c>
      <c r="O1251" t="s">
        <v>33</v>
      </c>
      <c r="P1251" t="s">
        <v>1997</v>
      </c>
      <c r="Q1251" t="s">
        <v>2125</v>
      </c>
      <c r="R1251" t="s">
        <v>4924</v>
      </c>
      <c r="S1251" t="s">
        <v>79</v>
      </c>
      <c r="T1251" t="s">
        <v>440</v>
      </c>
      <c r="U1251" t="s">
        <v>394</v>
      </c>
      <c r="V1251" t="s">
        <v>114</v>
      </c>
    </row>
    <row r="1252" spans="1:22" x14ac:dyDescent="0.3">
      <c r="A1252" t="s">
        <v>4925</v>
      </c>
      <c r="B1252" t="s">
        <v>825</v>
      </c>
      <c r="C1252" t="s">
        <v>826</v>
      </c>
      <c r="D1252" t="s">
        <v>4926</v>
      </c>
      <c r="E1252" t="s">
        <v>378</v>
      </c>
      <c r="F1252" t="s">
        <v>282</v>
      </c>
      <c r="G1252" t="s">
        <v>580</v>
      </c>
      <c r="H1252" t="s">
        <v>68</v>
      </c>
      <c r="I1252" t="s">
        <v>29</v>
      </c>
      <c r="J1252" t="s">
        <v>30</v>
      </c>
      <c r="K1252" t="s">
        <v>200</v>
      </c>
      <c r="L1252" t="s">
        <v>119</v>
      </c>
      <c r="M1252" t="s">
        <v>305</v>
      </c>
      <c r="N1252" t="s">
        <v>306</v>
      </c>
      <c r="O1252" t="s">
        <v>307</v>
      </c>
      <c r="P1252" t="s">
        <v>307</v>
      </c>
      <c r="Q1252" t="s">
        <v>179</v>
      </c>
      <c r="R1252" t="s">
        <v>179</v>
      </c>
      <c r="T1252" t="s">
        <v>121</v>
      </c>
      <c r="U1252" t="s">
        <v>362</v>
      </c>
      <c r="V1252" t="s">
        <v>58</v>
      </c>
    </row>
    <row r="1253" spans="1:22" x14ac:dyDescent="0.3">
      <c r="A1253" t="s">
        <v>4927</v>
      </c>
      <c r="B1253" t="s">
        <v>4222</v>
      </c>
      <c r="C1253" t="s">
        <v>4223</v>
      </c>
      <c r="D1253" t="s">
        <v>456</v>
      </c>
      <c r="E1253" t="s">
        <v>161</v>
      </c>
      <c r="F1253" t="s">
        <v>161</v>
      </c>
      <c r="G1253" t="s">
        <v>67</v>
      </c>
      <c r="H1253" t="s">
        <v>229</v>
      </c>
      <c r="I1253" t="s">
        <v>69</v>
      </c>
      <c r="J1253" t="s">
        <v>30</v>
      </c>
      <c r="K1253" t="s">
        <v>230</v>
      </c>
      <c r="L1253" t="s">
        <v>2171</v>
      </c>
      <c r="M1253" t="s">
        <v>2590</v>
      </c>
      <c r="N1253" t="s">
        <v>137</v>
      </c>
      <c r="O1253" t="s">
        <v>1089</v>
      </c>
      <c r="P1253" t="s">
        <v>1085</v>
      </c>
      <c r="Q1253" t="s">
        <v>735</v>
      </c>
      <c r="R1253" t="s">
        <v>4928</v>
      </c>
      <c r="S1253" t="s">
        <v>182</v>
      </c>
      <c r="T1253" t="s">
        <v>150</v>
      </c>
      <c r="U1253" t="s">
        <v>394</v>
      </c>
      <c r="V1253" t="s">
        <v>82</v>
      </c>
    </row>
    <row r="1254" spans="1:22" x14ac:dyDescent="0.3">
      <c r="A1254" t="s">
        <v>4929</v>
      </c>
      <c r="B1254" t="s">
        <v>2021</v>
      </c>
      <c r="C1254" t="s">
        <v>2022</v>
      </c>
      <c r="D1254" t="s">
        <v>2483</v>
      </c>
      <c r="E1254" t="s">
        <v>634</v>
      </c>
      <c r="F1254" t="s">
        <v>228</v>
      </c>
      <c r="G1254" t="s">
        <v>67</v>
      </c>
      <c r="H1254" t="s">
        <v>214</v>
      </c>
      <c r="I1254" t="s">
        <v>29</v>
      </c>
      <c r="J1254" t="s">
        <v>70</v>
      </c>
      <c r="K1254" t="s">
        <v>50</v>
      </c>
      <c r="L1254" t="s">
        <v>1139</v>
      </c>
      <c r="M1254" t="s">
        <v>3708</v>
      </c>
      <c r="N1254" t="s">
        <v>179</v>
      </c>
      <c r="O1254" t="s">
        <v>4930</v>
      </c>
      <c r="P1254" t="s">
        <v>2096</v>
      </c>
      <c r="Q1254" t="s">
        <v>555</v>
      </c>
      <c r="R1254" t="s">
        <v>2050</v>
      </c>
      <c r="S1254" t="s">
        <v>58</v>
      </c>
      <c r="T1254" t="s">
        <v>208</v>
      </c>
      <c r="U1254" t="s">
        <v>60</v>
      </c>
      <c r="V1254" t="s">
        <v>114</v>
      </c>
    </row>
    <row r="1255" spans="1:22" x14ac:dyDescent="0.3">
      <c r="A1255" t="s">
        <v>4931</v>
      </c>
      <c r="B1255" t="s">
        <v>2080</v>
      </c>
      <c r="C1255" t="s">
        <v>2081</v>
      </c>
      <c r="D1255" t="s">
        <v>1084</v>
      </c>
      <c r="E1255" t="s">
        <v>399</v>
      </c>
      <c r="F1255" t="s">
        <v>188</v>
      </c>
      <c r="G1255" t="s">
        <v>147</v>
      </c>
      <c r="H1255" t="s">
        <v>229</v>
      </c>
      <c r="I1255" t="s">
        <v>69</v>
      </c>
      <c r="J1255" t="s">
        <v>30</v>
      </c>
      <c r="K1255" t="s">
        <v>71</v>
      </c>
      <c r="L1255" t="s">
        <v>51</v>
      </c>
      <c r="M1255" t="s">
        <v>591</v>
      </c>
      <c r="N1255" t="s">
        <v>179</v>
      </c>
      <c r="O1255" t="s">
        <v>591</v>
      </c>
      <c r="P1255" t="s">
        <v>479</v>
      </c>
      <c r="Q1255" t="s">
        <v>850</v>
      </c>
      <c r="R1255" t="s">
        <v>4932</v>
      </c>
      <c r="S1255" t="s">
        <v>58</v>
      </c>
      <c r="T1255" t="s">
        <v>80</v>
      </c>
      <c r="U1255" t="s">
        <v>155</v>
      </c>
      <c r="V1255" t="s">
        <v>114</v>
      </c>
    </row>
    <row r="1256" spans="1:22" x14ac:dyDescent="0.3">
      <c r="A1256" t="s">
        <v>4933</v>
      </c>
      <c r="B1256" t="s">
        <v>688</v>
      </c>
      <c r="C1256" t="s">
        <v>689</v>
      </c>
      <c r="D1256" t="s">
        <v>1940</v>
      </c>
      <c r="E1256" t="s">
        <v>227</v>
      </c>
      <c r="F1256" t="s">
        <v>228</v>
      </c>
      <c r="G1256" t="s">
        <v>103</v>
      </c>
      <c r="H1256" t="s">
        <v>104</v>
      </c>
      <c r="I1256" t="s">
        <v>69</v>
      </c>
      <c r="J1256" t="s">
        <v>30</v>
      </c>
      <c r="K1256" t="s">
        <v>293</v>
      </c>
      <c r="L1256" t="s">
        <v>1156</v>
      </c>
      <c r="M1256" t="s">
        <v>4934</v>
      </c>
      <c r="N1256" t="s">
        <v>582</v>
      </c>
      <c r="O1256" t="s">
        <v>488</v>
      </c>
      <c r="P1256" t="s">
        <v>1705</v>
      </c>
      <c r="Q1256" t="s">
        <v>732</v>
      </c>
      <c r="R1256" t="s">
        <v>4935</v>
      </c>
      <c r="S1256" t="s">
        <v>182</v>
      </c>
      <c r="T1256" t="s">
        <v>1509</v>
      </c>
      <c r="U1256" t="s">
        <v>41</v>
      </c>
      <c r="V1256" t="s">
        <v>79</v>
      </c>
    </row>
    <row r="1257" spans="1:22" x14ac:dyDescent="0.3">
      <c r="A1257" t="s">
        <v>4936</v>
      </c>
      <c r="B1257" t="s">
        <v>3002</v>
      </c>
      <c r="C1257" t="s">
        <v>3003</v>
      </c>
      <c r="D1257" t="s">
        <v>4937</v>
      </c>
      <c r="E1257" t="s">
        <v>188</v>
      </c>
      <c r="F1257" t="s">
        <v>188</v>
      </c>
      <c r="G1257" t="s">
        <v>118</v>
      </c>
      <c r="I1257" t="s">
        <v>29</v>
      </c>
      <c r="J1257" t="s">
        <v>30</v>
      </c>
      <c r="K1257" t="s">
        <v>245</v>
      </c>
      <c r="L1257" t="s">
        <v>749</v>
      </c>
      <c r="M1257" t="s">
        <v>1340</v>
      </c>
      <c r="N1257" t="s">
        <v>881</v>
      </c>
      <c r="O1257" t="s">
        <v>346</v>
      </c>
      <c r="P1257" t="s">
        <v>2340</v>
      </c>
      <c r="Q1257" t="s">
        <v>2449</v>
      </c>
      <c r="R1257" t="s">
        <v>4938</v>
      </c>
      <c r="S1257" t="s">
        <v>126</v>
      </c>
      <c r="T1257" t="s">
        <v>966</v>
      </c>
      <c r="U1257" t="s">
        <v>41</v>
      </c>
      <c r="V1257" t="s">
        <v>42</v>
      </c>
    </row>
    <row r="1258" spans="1:22" x14ac:dyDescent="0.3">
      <c r="A1258" t="s">
        <v>4939</v>
      </c>
      <c r="B1258" t="s">
        <v>1452</v>
      </c>
      <c r="C1258" t="s">
        <v>1453</v>
      </c>
      <c r="D1258" t="s">
        <v>416</v>
      </c>
      <c r="E1258" t="s">
        <v>417</v>
      </c>
      <c r="F1258" t="s">
        <v>134</v>
      </c>
      <c r="G1258" t="s">
        <v>118</v>
      </c>
      <c r="H1258" t="s">
        <v>28</v>
      </c>
      <c r="I1258" t="s">
        <v>29</v>
      </c>
      <c r="J1258" t="s">
        <v>30</v>
      </c>
      <c r="K1258" t="s">
        <v>200</v>
      </c>
      <c r="L1258" t="s">
        <v>269</v>
      </c>
      <c r="M1258" t="s">
        <v>1260</v>
      </c>
      <c r="N1258" t="s">
        <v>179</v>
      </c>
      <c r="O1258" t="s">
        <v>1260</v>
      </c>
      <c r="P1258" t="s">
        <v>208</v>
      </c>
      <c r="Q1258" t="s">
        <v>127</v>
      </c>
      <c r="R1258" t="s">
        <v>4940</v>
      </c>
      <c r="S1258" t="s">
        <v>126</v>
      </c>
      <c r="T1258" t="s">
        <v>59</v>
      </c>
      <c r="U1258" t="s">
        <v>277</v>
      </c>
      <c r="V1258" t="s">
        <v>58</v>
      </c>
    </row>
    <row r="1259" spans="1:22" x14ac:dyDescent="0.3">
      <c r="A1259" t="s">
        <v>4941</v>
      </c>
      <c r="B1259" t="s">
        <v>4110</v>
      </c>
      <c r="C1259" t="s">
        <v>4111</v>
      </c>
      <c r="D1259" t="s">
        <v>671</v>
      </c>
      <c r="E1259" t="s">
        <v>133</v>
      </c>
      <c r="F1259" t="s">
        <v>134</v>
      </c>
      <c r="G1259" t="s">
        <v>67</v>
      </c>
      <c r="H1259" t="s">
        <v>68</v>
      </c>
      <c r="I1259" t="s">
        <v>29</v>
      </c>
      <c r="J1259" t="s">
        <v>30</v>
      </c>
      <c r="K1259" t="s">
        <v>71</v>
      </c>
      <c r="L1259" t="s">
        <v>937</v>
      </c>
      <c r="M1259" t="s">
        <v>4942</v>
      </c>
      <c r="N1259" t="s">
        <v>179</v>
      </c>
      <c r="O1259" t="s">
        <v>4942</v>
      </c>
      <c r="P1259" t="s">
        <v>2160</v>
      </c>
      <c r="Q1259" t="s">
        <v>1016</v>
      </c>
      <c r="R1259" t="s">
        <v>4943</v>
      </c>
      <c r="S1259" t="s">
        <v>126</v>
      </c>
      <c r="T1259" t="s">
        <v>167</v>
      </c>
      <c r="U1259" t="s">
        <v>60</v>
      </c>
      <c r="V1259" t="s">
        <v>58</v>
      </c>
    </row>
    <row r="1260" spans="1:22" x14ac:dyDescent="0.3">
      <c r="A1260" t="s">
        <v>4944</v>
      </c>
      <c r="B1260" t="s">
        <v>2905</v>
      </c>
      <c r="C1260" t="s">
        <v>2906</v>
      </c>
      <c r="D1260" t="s">
        <v>4574</v>
      </c>
      <c r="E1260" t="s">
        <v>87</v>
      </c>
      <c r="F1260" t="s">
        <v>26</v>
      </c>
      <c r="G1260" t="s">
        <v>580</v>
      </c>
      <c r="H1260" t="s">
        <v>49</v>
      </c>
      <c r="I1260" t="s">
        <v>29</v>
      </c>
      <c r="J1260" t="s">
        <v>30</v>
      </c>
      <c r="K1260" t="s">
        <v>200</v>
      </c>
      <c r="L1260" t="s">
        <v>466</v>
      </c>
      <c r="M1260" t="s">
        <v>759</v>
      </c>
      <c r="N1260" t="s">
        <v>489</v>
      </c>
      <c r="O1260" t="s">
        <v>712</v>
      </c>
      <c r="P1260" t="s">
        <v>2932</v>
      </c>
      <c r="Q1260" t="s">
        <v>1569</v>
      </c>
      <c r="R1260" t="s">
        <v>4945</v>
      </c>
      <c r="S1260" t="s">
        <v>79</v>
      </c>
      <c r="T1260" t="s">
        <v>695</v>
      </c>
      <c r="U1260" t="s">
        <v>394</v>
      </c>
      <c r="V1260" t="s">
        <v>42</v>
      </c>
    </row>
    <row r="1261" spans="1:22" x14ac:dyDescent="0.3">
      <c r="A1261" t="s">
        <v>4946</v>
      </c>
      <c r="B1261" t="s">
        <v>2191</v>
      </c>
      <c r="C1261" t="s">
        <v>2192</v>
      </c>
      <c r="D1261" t="s">
        <v>1103</v>
      </c>
      <c r="E1261" t="s">
        <v>354</v>
      </c>
      <c r="F1261" t="s">
        <v>134</v>
      </c>
      <c r="G1261" t="s">
        <v>147</v>
      </c>
      <c r="H1261" t="s">
        <v>229</v>
      </c>
      <c r="I1261" t="s">
        <v>29</v>
      </c>
      <c r="J1261" t="s">
        <v>30</v>
      </c>
      <c r="K1261" t="s">
        <v>71</v>
      </c>
      <c r="L1261" t="s">
        <v>258</v>
      </c>
      <c r="M1261" t="s">
        <v>76</v>
      </c>
      <c r="N1261" t="s">
        <v>179</v>
      </c>
      <c r="O1261" t="s">
        <v>76</v>
      </c>
      <c r="P1261" t="s">
        <v>600</v>
      </c>
      <c r="Q1261" t="s">
        <v>433</v>
      </c>
      <c r="R1261" t="s">
        <v>4947</v>
      </c>
      <c r="S1261" t="s">
        <v>39</v>
      </c>
      <c r="T1261" t="s">
        <v>613</v>
      </c>
      <c r="U1261" t="s">
        <v>288</v>
      </c>
      <c r="V1261" t="s">
        <v>42</v>
      </c>
    </row>
    <row r="1262" spans="1:22" x14ac:dyDescent="0.3">
      <c r="A1262" t="s">
        <v>4948</v>
      </c>
      <c r="B1262" t="s">
        <v>570</v>
      </c>
      <c r="C1262" t="s">
        <v>571</v>
      </c>
      <c r="D1262" t="s">
        <v>4949</v>
      </c>
      <c r="E1262" t="s">
        <v>634</v>
      </c>
      <c r="F1262" t="s">
        <v>228</v>
      </c>
      <c r="G1262" t="s">
        <v>67</v>
      </c>
      <c r="H1262" t="s">
        <v>104</v>
      </c>
      <c r="I1262" t="s">
        <v>69</v>
      </c>
      <c r="J1262" t="s">
        <v>70</v>
      </c>
      <c r="K1262" t="s">
        <v>200</v>
      </c>
      <c r="L1262" t="s">
        <v>148</v>
      </c>
      <c r="M1262" t="s">
        <v>421</v>
      </c>
      <c r="N1262" t="s">
        <v>276</v>
      </c>
      <c r="O1262" t="s">
        <v>627</v>
      </c>
      <c r="P1262" t="s">
        <v>271</v>
      </c>
      <c r="Q1262" t="s">
        <v>308</v>
      </c>
      <c r="R1262" t="s">
        <v>4950</v>
      </c>
      <c r="S1262" t="s">
        <v>79</v>
      </c>
      <c r="T1262" t="s">
        <v>499</v>
      </c>
      <c r="U1262" t="s">
        <v>300</v>
      </c>
      <c r="V1262" t="s">
        <v>58</v>
      </c>
    </row>
    <row r="1263" spans="1:22" x14ac:dyDescent="0.3">
      <c r="A1263" t="s">
        <v>4951</v>
      </c>
      <c r="B1263" t="s">
        <v>100</v>
      </c>
      <c r="C1263" t="s">
        <v>101</v>
      </c>
      <c r="D1263" t="s">
        <v>3592</v>
      </c>
      <c r="E1263" t="s">
        <v>160</v>
      </c>
      <c r="F1263" t="s">
        <v>161</v>
      </c>
      <c r="G1263" t="s">
        <v>118</v>
      </c>
      <c r="H1263" t="s">
        <v>104</v>
      </c>
      <c r="I1263" t="s">
        <v>69</v>
      </c>
      <c r="J1263" t="s">
        <v>30</v>
      </c>
      <c r="K1263" t="s">
        <v>245</v>
      </c>
      <c r="L1263" t="s">
        <v>1295</v>
      </c>
      <c r="M1263" t="s">
        <v>654</v>
      </c>
      <c r="N1263" t="s">
        <v>770</v>
      </c>
      <c r="O1263" t="s">
        <v>420</v>
      </c>
      <c r="P1263" t="s">
        <v>636</v>
      </c>
      <c r="Q1263" t="s">
        <v>714</v>
      </c>
      <c r="R1263" t="s">
        <v>4952</v>
      </c>
      <c r="S1263" t="s">
        <v>182</v>
      </c>
      <c r="T1263" t="s">
        <v>1303</v>
      </c>
      <c r="U1263" t="s">
        <v>508</v>
      </c>
      <c r="V1263" t="s">
        <v>114</v>
      </c>
    </row>
    <row r="1264" spans="1:22" x14ac:dyDescent="0.3">
      <c r="A1264" t="s">
        <v>4953</v>
      </c>
      <c r="B1264" t="s">
        <v>2782</v>
      </c>
      <c r="C1264" t="s">
        <v>2783</v>
      </c>
      <c r="D1264" t="s">
        <v>2027</v>
      </c>
      <c r="E1264" t="s">
        <v>1321</v>
      </c>
      <c r="F1264" t="s">
        <v>228</v>
      </c>
      <c r="G1264" t="s">
        <v>580</v>
      </c>
      <c r="H1264" t="s">
        <v>268</v>
      </c>
      <c r="I1264" t="s">
        <v>69</v>
      </c>
      <c r="J1264" t="s">
        <v>70</v>
      </c>
      <c r="K1264" t="s">
        <v>71</v>
      </c>
      <c r="L1264" t="s">
        <v>105</v>
      </c>
      <c r="M1264" t="s">
        <v>1958</v>
      </c>
      <c r="N1264" t="s">
        <v>573</v>
      </c>
      <c r="O1264" t="s">
        <v>3682</v>
      </c>
      <c r="P1264" t="s">
        <v>431</v>
      </c>
      <c r="Q1264" t="s">
        <v>1097</v>
      </c>
      <c r="R1264" t="s">
        <v>4491</v>
      </c>
      <c r="S1264" t="s">
        <v>97</v>
      </c>
      <c r="T1264" t="s">
        <v>1230</v>
      </c>
      <c r="U1264" t="s">
        <v>472</v>
      </c>
      <c r="V1264" t="s">
        <v>42</v>
      </c>
    </row>
    <row r="1265" spans="1:22" x14ac:dyDescent="0.3">
      <c r="A1265" t="s">
        <v>4954</v>
      </c>
      <c r="B1265" t="s">
        <v>339</v>
      </c>
      <c r="C1265" t="s">
        <v>340</v>
      </c>
      <c r="D1265" t="s">
        <v>1724</v>
      </c>
      <c r="E1265" t="s">
        <v>161</v>
      </c>
      <c r="F1265" t="s">
        <v>161</v>
      </c>
      <c r="G1265" t="s">
        <v>580</v>
      </c>
      <c r="H1265" t="s">
        <v>229</v>
      </c>
      <c r="I1265" t="s">
        <v>69</v>
      </c>
      <c r="J1265" t="s">
        <v>30</v>
      </c>
      <c r="K1265" t="s">
        <v>71</v>
      </c>
      <c r="L1265" t="s">
        <v>653</v>
      </c>
      <c r="M1265" t="s">
        <v>1063</v>
      </c>
      <c r="N1265" t="s">
        <v>179</v>
      </c>
      <c r="O1265" t="s">
        <v>1063</v>
      </c>
      <c r="P1265" t="s">
        <v>1568</v>
      </c>
      <c r="Q1265" t="s">
        <v>168</v>
      </c>
      <c r="R1265" t="s">
        <v>4955</v>
      </c>
      <c r="S1265" t="s">
        <v>97</v>
      </c>
      <c r="T1265" t="s">
        <v>170</v>
      </c>
      <c r="U1265" t="s">
        <v>4956</v>
      </c>
      <c r="V1265" t="s">
        <v>79</v>
      </c>
    </row>
    <row r="1266" spans="1:22" x14ac:dyDescent="0.3">
      <c r="A1266" t="s">
        <v>4957</v>
      </c>
      <c r="B1266" t="s">
        <v>746</v>
      </c>
      <c r="C1266" t="s">
        <v>747</v>
      </c>
      <c r="D1266" t="s">
        <v>476</v>
      </c>
      <c r="E1266" t="s">
        <v>133</v>
      </c>
      <c r="F1266" t="s">
        <v>134</v>
      </c>
      <c r="G1266" t="s">
        <v>147</v>
      </c>
      <c r="H1266" t="s">
        <v>49</v>
      </c>
      <c r="I1266" t="s">
        <v>69</v>
      </c>
      <c r="J1266" t="s">
        <v>30</v>
      </c>
      <c r="K1266" t="s">
        <v>31</v>
      </c>
      <c r="L1266" t="s">
        <v>1139</v>
      </c>
      <c r="M1266" t="s">
        <v>1744</v>
      </c>
      <c r="N1266" t="s">
        <v>543</v>
      </c>
      <c r="O1266" t="s">
        <v>2216</v>
      </c>
      <c r="P1266" t="s">
        <v>850</v>
      </c>
      <c r="Q1266" t="s">
        <v>452</v>
      </c>
      <c r="R1266" t="s">
        <v>4958</v>
      </c>
      <c r="S1266" t="s">
        <v>58</v>
      </c>
      <c r="T1266" t="s">
        <v>966</v>
      </c>
      <c r="U1266" t="s">
        <v>362</v>
      </c>
      <c r="V1266" t="s">
        <v>82</v>
      </c>
    </row>
    <row r="1267" spans="1:22" x14ac:dyDescent="0.3">
      <c r="A1267" t="s">
        <v>4959</v>
      </c>
      <c r="B1267" t="s">
        <v>1869</v>
      </c>
      <c r="C1267" t="s">
        <v>1870</v>
      </c>
      <c r="D1267" t="s">
        <v>2203</v>
      </c>
      <c r="E1267" t="s">
        <v>417</v>
      </c>
      <c r="F1267" t="s">
        <v>134</v>
      </c>
      <c r="G1267" t="s">
        <v>67</v>
      </c>
      <c r="H1267" t="s">
        <v>88</v>
      </c>
      <c r="I1267" t="s">
        <v>29</v>
      </c>
      <c r="J1267" t="s">
        <v>30</v>
      </c>
      <c r="K1267" t="s">
        <v>230</v>
      </c>
      <c r="L1267" t="s">
        <v>400</v>
      </c>
      <c r="M1267" t="s">
        <v>296</v>
      </c>
      <c r="N1267" t="s">
        <v>179</v>
      </c>
      <c r="O1267" t="s">
        <v>296</v>
      </c>
      <c r="P1267" t="s">
        <v>2449</v>
      </c>
      <c r="Q1267" t="s">
        <v>686</v>
      </c>
      <c r="R1267" t="s">
        <v>4960</v>
      </c>
      <c r="S1267" t="s">
        <v>182</v>
      </c>
      <c r="T1267" t="s">
        <v>770</v>
      </c>
      <c r="U1267" t="s">
        <v>277</v>
      </c>
      <c r="V1267" t="s">
        <v>82</v>
      </c>
    </row>
    <row r="1268" spans="1:22" x14ac:dyDescent="0.3">
      <c r="A1268" t="s">
        <v>4961</v>
      </c>
      <c r="B1268" t="s">
        <v>3351</v>
      </c>
      <c r="C1268" t="s">
        <v>3352</v>
      </c>
      <c r="D1268" t="s">
        <v>25</v>
      </c>
      <c r="E1268" t="s">
        <v>243</v>
      </c>
      <c r="F1268" t="s">
        <v>244</v>
      </c>
      <c r="G1268" t="s">
        <v>67</v>
      </c>
      <c r="H1268" t="s">
        <v>88</v>
      </c>
      <c r="I1268" t="s">
        <v>69</v>
      </c>
      <c r="J1268" t="s">
        <v>30</v>
      </c>
      <c r="K1268" t="s">
        <v>245</v>
      </c>
      <c r="L1268" t="s">
        <v>135</v>
      </c>
      <c r="M1268" t="s">
        <v>1826</v>
      </c>
      <c r="N1268" t="s">
        <v>179</v>
      </c>
      <c r="O1268" t="s">
        <v>1826</v>
      </c>
      <c r="P1268" t="s">
        <v>1000</v>
      </c>
      <c r="Q1268" t="s">
        <v>439</v>
      </c>
      <c r="R1268" t="s">
        <v>4962</v>
      </c>
      <c r="S1268" t="s">
        <v>182</v>
      </c>
      <c r="T1268" t="s">
        <v>782</v>
      </c>
      <c r="U1268" t="s">
        <v>407</v>
      </c>
      <c r="V1268" t="s">
        <v>42</v>
      </c>
    </row>
    <row r="1269" spans="1:22" x14ac:dyDescent="0.3">
      <c r="A1269" t="s">
        <v>4963</v>
      </c>
      <c r="B1269" t="s">
        <v>3502</v>
      </c>
      <c r="C1269" t="s">
        <v>3503</v>
      </c>
      <c r="D1269" t="s">
        <v>3371</v>
      </c>
      <c r="E1269" t="s">
        <v>780</v>
      </c>
      <c r="F1269" t="s">
        <v>282</v>
      </c>
      <c r="G1269" t="s">
        <v>27</v>
      </c>
      <c r="H1269" t="s">
        <v>88</v>
      </c>
      <c r="I1269" t="s">
        <v>69</v>
      </c>
      <c r="J1269" t="s">
        <v>30</v>
      </c>
      <c r="K1269" t="s">
        <v>245</v>
      </c>
      <c r="L1269" t="s">
        <v>658</v>
      </c>
      <c r="M1269" t="s">
        <v>411</v>
      </c>
      <c r="N1269" t="s">
        <v>276</v>
      </c>
      <c r="O1269" t="s">
        <v>618</v>
      </c>
      <c r="P1269" t="s">
        <v>806</v>
      </c>
      <c r="Q1269" t="s">
        <v>985</v>
      </c>
      <c r="R1269" t="s">
        <v>4964</v>
      </c>
      <c r="S1269" t="s">
        <v>126</v>
      </c>
      <c r="T1269" t="s">
        <v>40</v>
      </c>
      <c r="U1269" t="s">
        <v>288</v>
      </c>
      <c r="V1269" t="s">
        <v>42</v>
      </c>
    </row>
    <row r="1270" spans="1:22" x14ac:dyDescent="0.3">
      <c r="A1270" t="s">
        <v>4965</v>
      </c>
      <c r="B1270" t="s">
        <v>631</v>
      </c>
      <c r="C1270" t="s">
        <v>632</v>
      </c>
      <c r="D1270" t="s">
        <v>2256</v>
      </c>
      <c r="E1270" t="s">
        <v>228</v>
      </c>
      <c r="F1270" t="s">
        <v>228</v>
      </c>
      <c r="G1270" t="s">
        <v>147</v>
      </c>
      <c r="H1270" t="s">
        <v>4966</v>
      </c>
      <c r="I1270" t="s">
        <v>69</v>
      </c>
      <c r="J1270" t="s">
        <v>30</v>
      </c>
      <c r="K1270" t="s">
        <v>71</v>
      </c>
      <c r="L1270" t="s">
        <v>534</v>
      </c>
      <c r="M1270" t="s">
        <v>712</v>
      </c>
      <c r="N1270" t="s">
        <v>37</v>
      </c>
      <c r="O1270" t="s">
        <v>664</v>
      </c>
      <c r="P1270" t="s">
        <v>1090</v>
      </c>
      <c r="Q1270" t="s">
        <v>714</v>
      </c>
      <c r="R1270" t="s">
        <v>4967</v>
      </c>
      <c r="S1270" t="s">
        <v>97</v>
      </c>
      <c r="T1270" t="s">
        <v>695</v>
      </c>
      <c r="U1270" t="s">
        <v>407</v>
      </c>
      <c r="V1270" t="s">
        <v>42</v>
      </c>
    </row>
    <row r="1271" spans="1:22" x14ac:dyDescent="0.3">
      <c r="A1271" t="s">
        <v>4968</v>
      </c>
      <c r="B1271" t="s">
        <v>1546</v>
      </c>
      <c r="C1271" t="s">
        <v>1547</v>
      </c>
      <c r="D1271" t="s">
        <v>4969</v>
      </c>
      <c r="E1271" t="s">
        <v>893</v>
      </c>
      <c r="F1271" t="s">
        <v>188</v>
      </c>
      <c r="G1271" t="s">
        <v>147</v>
      </c>
      <c r="H1271" t="s">
        <v>229</v>
      </c>
      <c r="I1271" t="s">
        <v>1073</v>
      </c>
      <c r="J1271" t="s">
        <v>257</v>
      </c>
      <c r="K1271" t="s">
        <v>230</v>
      </c>
      <c r="L1271" t="s">
        <v>691</v>
      </c>
      <c r="M1271" t="s">
        <v>525</v>
      </c>
      <c r="N1271" t="s">
        <v>461</v>
      </c>
      <c r="O1271" t="s">
        <v>2405</v>
      </c>
      <c r="P1271" t="s">
        <v>2285</v>
      </c>
      <c r="Q1271" t="s">
        <v>2528</v>
      </c>
      <c r="R1271" t="s">
        <v>4970</v>
      </c>
      <c r="S1271" t="s">
        <v>97</v>
      </c>
      <c r="T1271" t="s">
        <v>724</v>
      </c>
      <c r="U1271" t="s">
        <v>362</v>
      </c>
      <c r="V1271" t="s">
        <v>82</v>
      </c>
    </row>
    <row r="1272" spans="1:22" x14ac:dyDescent="0.3">
      <c r="A1272" t="s">
        <v>4971</v>
      </c>
      <c r="B1272" t="s">
        <v>1019</v>
      </c>
      <c r="C1272" t="s">
        <v>1020</v>
      </c>
      <c r="D1272" t="s">
        <v>3626</v>
      </c>
      <c r="E1272" t="s">
        <v>1321</v>
      </c>
      <c r="F1272" t="s">
        <v>228</v>
      </c>
      <c r="G1272" t="s">
        <v>48</v>
      </c>
      <c r="H1272" t="s">
        <v>88</v>
      </c>
      <c r="I1272" t="s">
        <v>69</v>
      </c>
      <c r="J1272" t="s">
        <v>30</v>
      </c>
      <c r="K1272" t="s">
        <v>50</v>
      </c>
      <c r="L1272" t="s">
        <v>598</v>
      </c>
      <c r="M1272" t="s">
        <v>665</v>
      </c>
      <c r="N1272" t="s">
        <v>179</v>
      </c>
      <c r="O1272" t="s">
        <v>665</v>
      </c>
      <c r="P1272" t="s">
        <v>124</v>
      </c>
      <c r="Q1272" t="s">
        <v>252</v>
      </c>
      <c r="R1272" t="s">
        <v>4972</v>
      </c>
      <c r="S1272" t="s">
        <v>39</v>
      </c>
      <c r="T1272" t="s">
        <v>621</v>
      </c>
      <c r="U1272" t="s">
        <v>98</v>
      </c>
      <c r="V1272" t="s">
        <v>114</v>
      </c>
    </row>
    <row r="1273" spans="1:22" x14ac:dyDescent="0.3">
      <c r="A1273" t="s">
        <v>4973</v>
      </c>
      <c r="B1273" t="s">
        <v>3078</v>
      </c>
      <c r="C1273" t="s">
        <v>3079</v>
      </c>
      <c r="D1273" t="s">
        <v>132</v>
      </c>
      <c r="E1273" t="s">
        <v>228</v>
      </c>
      <c r="F1273" t="s">
        <v>228</v>
      </c>
      <c r="G1273" t="s">
        <v>67</v>
      </c>
      <c r="H1273" t="s">
        <v>49</v>
      </c>
      <c r="I1273" t="s">
        <v>69</v>
      </c>
      <c r="J1273" t="s">
        <v>30</v>
      </c>
      <c r="K1273" t="s">
        <v>89</v>
      </c>
      <c r="L1273" t="s">
        <v>294</v>
      </c>
      <c r="M1273" t="s">
        <v>712</v>
      </c>
      <c r="N1273" t="s">
        <v>37</v>
      </c>
      <c r="O1273" t="s">
        <v>664</v>
      </c>
      <c r="P1273" t="s">
        <v>2378</v>
      </c>
      <c r="Q1273" t="s">
        <v>648</v>
      </c>
      <c r="R1273" t="s">
        <v>4974</v>
      </c>
      <c r="S1273" t="s">
        <v>97</v>
      </c>
      <c r="T1273" t="s">
        <v>529</v>
      </c>
      <c r="U1273" t="s">
        <v>300</v>
      </c>
      <c r="V1273" t="s">
        <v>58</v>
      </c>
    </row>
    <row r="1274" spans="1:22" x14ac:dyDescent="0.3">
      <c r="A1274" t="s">
        <v>4975</v>
      </c>
      <c r="B1274" t="s">
        <v>1263</v>
      </c>
      <c r="C1274" t="s">
        <v>1264</v>
      </c>
      <c r="D1274" t="s">
        <v>4976</v>
      </c>
      <c r="E1274" t="s">
        <v>160</v>
      </c>
      <c r="F1274" t="s">
        <v>161</v>
      </c>
      <c r="G1274" t="s">
        <v>118</v>
      </c>
      <c r="H1274" t="s">
        <v>104</v>
      </c>
      <c r="I1274" t="s">
        <v>29</v>
      </c>
      <c r="J1274" t="s">
        <v>30</v>
      </c>
      <c r="K1274" t="s">
        <v>293</v>
      </c>
      <c r="L1274" t="s">
        <v>1049</v>
      </c>
      <c r="M1274" t="s">
        <v>4031</v>
      </c>
      <c r="N1274" t="s">
        <v>183</v>
      </c>
      <c r="O1274" t="s">
        <v>2404</v>
      </c>
      <c r="P1274" t="s">
        <v>2083</v>
      </c>
      <c r="Q1274" t="s">
        <v>2258</v>
      </c>
      <c r="R1274" t="s">
        <v>4977</v>
      </c>
      <c r="S1274" t="s">
        <v>126</v>
      </c>
      <c r="T1274" t="s">
        <v>392</v>
      </c>
      <c r="U1274" t="s">
        <v>238</v>
      </c>
      <c r="V1274" t="s">
        <v>79</v>
      </c>
    </row>
    <row r="1275" spans="1:22" x14ac:dyDescent="0.3">
      <c r="A1275" t="s">
        <v>4978</v>
      </c>
      <c r="B1275" t="s">
        <v>3537</v>
      </c>
      <c r="C1275" t="s">
        <v>3538</v>
      </c>
      <c r="D1275" t="s">
        <v>1763</v>
      </c>
      <c r="E1275" t="s">
        <v>26</v>
      </c>
      <c r="F1275" t="s">
        <v>26</v>
      </c>
      <c r="G1275" t="s">
        <v>213</v>
      </c>
      <c r="H1275" t="s">
        <v>104</v>
      </c>
      <c r="I1275" t="s">
        <v>69</v>
      </c>
      <c r="J1275" t="s">
        <v>30</v>
      </c>
      <c r="K1275" t="s">
        <v>89</v>
      </c>
      <c r="L1275" t="s">
        <v>246</v>
      </c>
      <c r="M1275" t="s">
        <v>2216</v>
      </c>
      <c r="N1275" t="s">
        <v>170</v>
      </c>
      <c r="O1275" t="s">
        <v>1272</v>
      </c>
      <c r="P1275" t="s">
        <v>544</v>
      </c>
      <c r="Q1275" t="s">
        <v>359</v>
      </c>
      <c r="R1275" t="s">
        <v>1444</v>
      </c>
      <c r="S1275" t="s">
        <v>79</v>
      </c>
      <c r="T1275" t="s">
        <v>308</v>
      </c>
      <c r="U1275" t="s">
        <v>288</v>
      </c>
      <c r="V1275" t="s">
        <v>82</v>
      </c>
    </row>
    <row r="1276" spans="1:22" x14ac:dyDescent="0.3">
      <c r="A1276" t="s">
        <v>4979</v>
      </c>
      <c r="B1276" t="s">
        <v>1333</v>
      </c>
      <c r="C1276" t="s">
        <v>1334</v>
      </c>
      <c r="D1276" t="s">
        <v>4980</v>
      </c>
      <c r="E1276" t="s">
        <v>243</v>
      </c>
      <c r="F1276" t="s">
        <v>244</v>
      </c>
      <c r="G1276" t="s">
        <v>580</v>
      </c>
      <c r="H1276" t="s">
        <v>1692</v>
      </c>
      <c r="I1276" t="s">
        <v>69</v>
      </c>
      <c r="J1276" t="s">
        <v>30</v>
      </c>
      <c r="K1276" t="s">
        <v>293</v>
      </c>
      <c r="L1276" t="s">
        <v>663</v>
      </c>
      <c r="M1276" t="s">
        <v>733</v>
      </c>
      <c r="N1276" t="s">
        <v>648</v>
      </c>
      <c r="O1276" t="s">
        <v>999</v>
      </c>
      <c r="P1276" t="s">
        <v>164</v>
      </c>
      <c r="Q1276" t="s">
        <v>4981</v>
      </c>
      <c r="R1276" t="s">
        <v>4982</v>
      </c>
      <c r="S1276" t="s">
        <v>97</v>
      </c>
      <c r="T1276" t="s">
        <v>695</v>
      </c>
      <c r="U1276" t="s">
        <v>113</v>
      </c>
      <c r="V1276" t="s">
        <v>114</v>
      </c>
    </row>
    <row r="1277" spans="1:22" x14ac:dyDescent="0.3">
      <c r="A1277" t="s">
        <v>4983</v>
      </c>
      <c r="B1277" t="s">
        <v>1269</v>
      </c>
      <c r="C1277" t="s">
        <v>1270</v>
      </c>
      <c r="D1277" t="s">
        <v>4984</v>
      </c>
      <c r="E1277" t="s">
        <v>267</v>
      </c>
      <c r="F1277" t="s">
        <v>66</v>
      </c>
      <c r="G1277" t="s">
        <v>213</v>
      </c>
      <c r="H1277" t="s">
        <v>268</v>
      </c>
      <c r="I1277" t="s">
        <v>69</v>
      </c>
      <c r="J1277" t="s">
        <v>70</v>
      </c>
      <c r="K1277" t="s">
        <v>31</v>
      </c>
      <c r="L1277" t="s">
        <v>663</v>
      </c>
      <c r="M1277" t="s">
        <v>872</v>
      </c>
      <c r="N1277" t="s">
        <v>1303</v>
      </c>
      <c r="O1277" t="s">
        <v>194</v>
      </c>
      <c r="P1277" t="s">
        <v>1090</v>
      </c>
      <c r="Q1277" t="s">
        <v>1097</v>
      </c>
      <c r="R1277" t="s">
        <v>4985</v>
      </c>
      <c r="S1277" t="s">
        <v>39</v>
      </c>
      <c r="T1277" t="s">
        <v>655</v>
      </c>
      <c r="U1277" t="s">
        <v>41</v>
      </c>
      <c r="V1277" t="s">
        <v>79</v>
      </c>
    </row>
    <row r="1278" spans="1:22" x14ac:dyDescent="0.3">
      <c r="A1278" t="s">
        <v>4986</v>
      </c>
      <c r="B1278" t="s">
        <v>484</v>
      </c>
      <c r="C1278" t="s">
        <v>485</v>
      </c>
      <c r="D1278" t="s">
        <v>4428</v>
      </c>
      <c r="E1278" t="s">
        <v>65</v>
      </c>
      <c r="F1278" t="s">
        <v>66</v>
      </c>
      <c r="G1278" t="s">
        <v>103</v>
      </c>
      <c r="H1278" t="s">
        <v>49</v>
      </c>
      <c r="I1278" t="s">
        <v>29</v>
      </c>
      <c r="J1278" t="s">
        <v>30</v>
      </c>
      <c r="K1278" t="s">
        <v>71</v>
      </c>
      <c r="L1278" t="s">
        <v>163</v>
      </c>
      <c r="M1278" t="s">
        <v>1669</v>
      </c>
      <c r="N1278" t="s">
        <v>179</v>
      </c>
      <c r="O1278" t="s">
        <v>1669</v>
      </c>
      <c r="P1278" t="s">
        <v>458</v>
      </c>
      <c r="Q1278" t="s">
        <v>218</v>
      </c>
      <c r="R1278" t="s">
        <v>3633</v>
      </c>
      <c r="S1278" t="s">
        <v>126</v>
      </c>
      <c r="T1278" t="s">
        <v>55</v>
      </c>
      <c r="U1278" t="s">
        <v>300</v>
      </c>
      <c r="V1278" t="s">
        <v>114</v>
      </c>
    </row>
    <row r="1279" spans="1:22" x14ac:dyDescent="0.3">
      <c r="A1279" t="s">
        <v>4987</v>
      </c>
      <c r="B1279" t="s">
        <v>1793</v>
      </c>
      <c r="C1279" t="s">
        <v>1794</v>
      </c>
      <c r="D1279" t="s">
        <v>4988</v>
      </c>
      <c r="E1279" t="s">
        <v>1321</v>
      </c>
      <c r="F1279" t="s">
        <v>228</v>
      </c>
      <c r="G1279" t="s">
        <v>118</v>
      </c>
      <c r="H1279" t="s">
        <v>229</v>
      </c>
      <c r="I1279" t="s">
        <v>29</v>
      </c>
      <c r="J1279" t="s">
        <v>30</v>
      </c>
      <c r="K1279" t="s">
        <v>245</v>
      </c>
      <c r="L1279" t="s">
        <v>906</v>
      </c>
      <c r="M1279" t="s">
        <v>390</v>
      </c>
      <c r="N1279" t="s">
        <v>1099</v>
      </c>
      <c r="O1279" t="s">
        <v>527</v>
      </c>
      <c r="P1279" t="s">
        <v>792</v>
      </c>
      <c r="Q1279" t="s">
        <v>203</v>
      </c>
      <c r="R1279" t="s">
        <v>4989</v>
      </c>
      <c r="S1279" t="s">
        <v>126</v>
      </c>
      <c r="T1279" t="s">
        <v>92</v>
      </c>
      <c r="U1279" t="s">
        <v>362</v>
      </c>
      <c r="V1279" t="s">
        <v>58</v>
      </c>
    </row>
    <row r="1280" spans="1:22" x14ac:dyDescent="0.3">
      <c r="A1280" t="s">
        <v>4990</v>
      </c>
      <c r="B1280" t="s">
        <v>2846</v>
      </c>
      <c r="C1280" t="s">
        <v>2847</v>
      </c>
      <c r="D1280" t="s">
        <v>437</v>
      </c>
      <c r="E1280" t="s">
        <v>378</v>
      </c>
      <c r="F1280" t="s">
        <v>282</v>
      </c>
      <c r="G1280" t="s">
        <v>48</v>
      </c>
      <c r="H1280" t="s">
        <v>68</v>
      </c>
      <c r="I1280" t="s">
        <v>69</v>
      </c>
      <c r="J1280" t="s">
        <v>30</v>
      </c>
      <c r="K1280" t="s">
        <v>71</v>
      </c>
      <c r="L1280" t="s">
        <v>1515</v>
      </c>
      <c r="M1280" t="s">
        <v>4991</v>
      </c>
      <c r="N1280" t="s">
        <v>179</v>
      </c>
      <c r="O1280" t="s">
        <v>4991</v>
      </c>
      <c r="P1280" t="s">
        <v>4992</v>
      </c>
      <c r="Q1280" t="s">
        <v>842</v>
      </c>
      <c r="R1280" t="s">
        <v>4702</v>
      </c>
      <c r="S1280" t="s">
        <v>182</v>
      </c>
      <c r="T1280" t="s">
        <v>685</v>
      </c>
      <c r="U1280" t="s">
        <v>155</v>
      </c>
      <c r="V1280" t="s">
        <v>58</v>
      </c>
    </row>
    <row r="1281" spans="1:22" x14ac:dyDescent="0.3">
      <c r="A1281" t="s">
        <v>4993</v>
      </c>
      <c r="B1281" t="s">
        <v>2563</v>
      </c>
      <c r="C1281" t="s">
        <v>2564</v>
      </c>
      <c r="D1281" t="s">
        <v>3017</v>
      </c>
      <c r="E1281" t="s">
        <v>417</v>
      </c>
      <c r="F1281" t="s">
        <v>134</v>
      </c>
      <c r="G1281" t="s">
        <v>103</v>
      </c>
      <c r="H1281" t="s">
        <v>229</v>
      </c>
      <c r="I1281" t="s">
        <v>69</v>
      </c>
      <c r="J1281" t="s">
        <v>70</v>
      </c>
      <c r="K1281" t="s">
        <v>215</v>
      </c>
      <c r="L1281" t="s">
        <v>32</v>
      </c>
      <c r="M1281" t="s">
        <v>1681</v>
      </c>
      <c r="N1281" t="s">
        <v>440</v>
      </c>
      <c r="O1281" t="s">
        <v>259</v>
      </c>
      <c r="P1281" t="s">
        <v>52</v>
      </c>
      <c r="Q1281" t="s">
        <v>735</v>
      </c>
      <c r="R1281" t="s">
        <v>2462</v>
      </c>
      <c r="S1281" t="s">
        <v>97</v>
      </c>
      <c r="T1281" t="s">
        <v>695</v>
      </c>
      <c r="U1281" t="s">
        <v>362</v>
      </c>
      <c r="V1281" t="s">
        <v>58</v>
      </c>
    </row>
    <row r="1282" spans="1:22" x14ac:dyDescent="0.3">
      <c r="A1282" t="s">
        <v>4994</v>
      </c>
      <c r="B1282" t="s">
        <v>1701</v>
      </c>
      <c r="C1282" t="s">
        <v>1702</v>
      </c>
      <c r="D1282" t="s">
        <v>2777</v>
      </c>
      <c r="E1282" t="s">
        <v>65</v>
      </c>
      <c r="F1282" t="s">
        <v>66</v>
      </c>
      <c r="G1282" t="s">
        <v>67</v>
      </c>
      <c r="H1282" t="s">
        <v>88</v>
      </c>
      <c r="I1282" t="s">
        <v>29</v>
      </c>
      <c r="J1282" t="s">
        <v>30</v>
      </c>
      <c r="K1282" t="s">
        <v>31</v>
      </c>
      <c r="L1282" t="s">
        <v>90</v>
      </c>
      <c r="M1282" t="s">
        <v>4995</v>
      </c>
      <c r="N1282" t="s">
        <v>1043</v>
      </c>
      <c r="O1282" t="s">
        <v>4996</v>
      </c>
      <c r="P1282" t="s">
        <v>4728</v>
      </c>
      <c r="Q1282" t="s">
        <v>2024</v>
      </c>
      <c r="R1282" t="s">
        <v>4997</v>
      </c>
      <c r="S1282" t="s">
        <v>39</v>
      </c>
      <c r="T1282" t="s">
        <v>721</v>
      </c>
      <c r="U1282" t="s">
        <v>288</v>
      </c>
      <c r="V1282" t="s">
        <v>58</v>
      </c>
    </row>
    <row r="1283" spans="1:22" x14ac:dyDescent="0.3">
      <c r="A1283" t="s">
        <v>4998</v>
      </c>
      <c r="B1283" t="s">
        <v>2871</v>
      </c>
      <c r="C1283" t="s">
        <v>2872</v>
      </c>
      <c r="D1283" t="s">
        <v>1853</v>
      </c>
      <c r="E1283" t="s">
        <v>634</v>
      </c>
      <c r="F1283" t="s">
        <v>228</v>
      </c>
      <c r="G1283" t="s">
        <v>48</v>
      </c>
      <c r="H1283" t="s">
        <v>88</v>
      </c>
      <c r="I1283" t="s">
        <v>69</v>
      </c>
      <c r="J1283" t="s">
        <v>30</v>
      </c>
      <c r="K1283" t="s">
        <v>245</v>
      </c>
      <c r="L1283" t="s">
        <v>163</v>
      </c>
      <c r="M1283" t="s">
        <v>1283</v>
      </c>
      <c r="N1283" t="s">
        <v>613</v>
      </c>
      <c r="O1283" t="s">
        <v>296</v>
      </c>
      <c r="P1283" t="s">
        <v>54</v>
      </c>
      <c r="Q1283" t="s">
        <v>391</v>
      </c>
      <c r="R1283" t="s">
        <v>4999</v>
      </c>
      <c r="S1283" t="s">
        <v>126</v>
      </c>
      <c r="T1283" t="s">
        <v>369</v>
      </c>
      <c r="U1283" t="s">
        <v>407</v>
      </c>
      <c r="V1283" t="s">
        <v>42</v>
      </c>
    </row>
    <row r="1284" spans="1:22" x14ac:dyDescent="0.3">
      <c r="A1284" t="s">
        <v>5000</v>
      </c>
      <c r="B1284" t="s">
        <v>409</v>
      </c>
      <c r="C1284" t="s">
        <v>410</v>
      </c>
      <c r="D1284" t="s">
        <v>2359</v>
      </c>
      <c r="E1284" t="s">
        <v>438</v>
      </c>
      <c r="F1284" t="s">
        <v>188</v>
      </c>
      <c r="G1284" t="s">
        <v>27</v>
      </c>
      <c r="H1284" t="s">
        <v>68</v>
      </c>
      <c r="I1284" t="s">
        <v>29</v>
      </c>
      <c r="J1284" t="s">
        <v>30</v>
      </c>
      <c r="K1284" t="s">
        <v>200</v>
      </c>
      <c r="L1284" t="s">
        <v>119</v>
      </c>
      <c r="M1284" t="s">
        <v>1894</v>
      </c>
      <c r="N1284" t="s">
        <v>179</v>
      </c>
      <c r="O1284" t="s">
        <v>1894</v>
      </c>
      <c r="P1284" t="s">
        <v>381</v>
      </c>
      <c r="Q1284" t="s">
        <v>784</v>
      </c>
      <c r="R1284" t="s">
        <v>4629</v>
      </c>
      <c r="S1284" t="s">
        <v>126</v>
      </c>
      <c r="T1284" t="s">
        <v>966</v>
      </c>
      <c r="V1284" t="s">
        <v>82</v>
      </c>
    </row>
    <row r="1285" spans="1:22" x14ac:dyDescent="0.3">
      <c r="A1285" t="s">
        <v>5001</v>
      </c>
      <c r="B1285" t="s">
        <v>1060</v>
      </c>
      <c r="C1285" t="s">
        <v>1061</v>
      </c>
      <c r="D1285" t="s">
        <v>2091</v>
      </c>
      <c r="E1285" t="s">
        <v>1321</v>
      </c>
      <c r="F1285" t="s">
        <v>228</v>
      </c>
      <c r="G1285" t="s">
        <v>580</v>
      </c>
      <c r="H1285" t="s">
        <v>28</v>
      </c>
      <c r="I1285" t="s">
        <v>69</v>
      </c>
      <c r="J1285" t="s">
        <v>70</v>
      </c>
      <c r="K1285" t="s">
        <v>71</v>
      </c>
      <c r="L1285" t="s">
        <v>534</v>
      </c>
      <c r="M1285" t="s">
        <v>5002</v>
      </c>
      <c r="N1285" t="s">
        <v>3165</v>
      </c>
      <c r="O1285" t="s">
        <v>1424</v>
      </c>
      <c r="P1285" t="s">
        <v>1069</v>
      </c>
      <c r="Q1285" t="s">
        <v>3522</v>
      </c>
      <c r="R1285" t="s">
        <v>5003</v>
      </c>
      <c r="S1285" t="s">
        <v>97</v>
      </c>
      <c r="T1285" t="s">
        <v>1642</v>
      </c>
      <c r="U1285" t="s">
        <v>300</v>
      </c>
      <c r="V1285" t="s">
        <v>79</v>
      </c>
    </row>
    <row r="1286" spans="1:22" x14ac:dyDescent="0.3">
      <c r="A1286" t="s">
        <v>5004</v>
      </c>
      <c r="B1286" t="s">
        <v>1638</v>
      </c>
      <c r="C1286" t="s">
        <v>1639</v>
      </c>
      <c r="D1286" t="s">
        <v>1313</v>
      </c>
      <c r="E1286" t="s">
        <v>780</v>
      </c>
      <c r="F1286" t="s">
        <v>282</v>
      </c>
      <c r="G1286" t="s">
        <v>48</v>
      </c>
      <c r="H1286" t="s">
        <v>268</v>
      </c>
      <c r="I1286" t="s">
        <v>29</v>
      </c>
      <c r="J1286" t="s">
        <v>30</v>
      </c>
      <c r="K1286" t="s">
        <v>215</v>
      </c>
      <c r="L1286" t="s">
        <v>466</v>
      </c>
      <c r="M1286" t="s">
        <v>5005</v>
      </c>
      <c r="N1286" t="s">
        <v>179</v>
      </c>
      <c r="O1286" t="s">
        <v>5005</v>
      </c>
      <c r="P1286" t="s">
        <v>285</v>
      </c>
      <c r="Q1286" t="s">
        <v>1396</v>
      </c>
      <c r="R1286" t="s">
        <v>5006</v>
      </c>
      <c r="S1286" t="s">
        <v>39</v>
      </c>
      <c r="T1286" t="s">
        <v>604</v>
      </c>
      <c r="U1286" t="s">
        <v>373</v>
      </c>
      <c r="V1286" t="s">
        <v>114</v>
      </c>
    </row>
    <row r="1287" spans="1:22" x14ac:dyDescent="0.3">
      <c r="A1287" t="s">
        <v>5007</v>
      </c>
      <c r="B1287" t="s">
        <v>738</v>
      </c>
      <c r="C1287" t="s">
        <v>739</v>
      </c>
      <c r="D1287" t="s">
        <v>5008</v>
      </c>
      <c r="E1287" t="s">
        <v>730</v>
      </c>
      <c r="F1287" t="s">
        <v>26</v>
      </c>
      <c r="G1287" t="s">
        <v>147</v>
      </c>
      <c r="H1287" t="s">
        <v>68</v>
      </c>
      <c r="I1287" t="s">
        <v>69</v>
      </c>
      <c r="J1287" t="s">
        <v>257</v>
      </c>
      <c r="K1287" t="s">
        <v>230</v>
      </c>
      <c r="L1287" t="s">
        <v>719</v>
      </c>
      <c r="M1287" t="s">
        <v>999</v>
      </c>
      <c r="N1287" t="s">
        <v>179</v>
      </c>
      <c r="O1287" t="s">
        <v>999</v>
      </c>
      <c r="P1287" t="s">
        <v>602</v>
      </c>
      <c r="Q1287" t="s">
        <v>675</v>
      </c>
      <c r="R1287" t="s">
        <v>5009</v>
      </c>
      <c r="S1287" t="s">
        <v>182</v>
      </c>
      <c r="T1287" t="s">
        <v>1099</v>
      </c>
      <c r="U1287" t="s">
        <v>171</v>
      </c>
      <c r="V1287" t="s">
        <v>114</v>
      </c>
    </row>
    <row r="1288" spans="1:22" x14ac:dyDescent="0.3">
      <c r="A1288" t="s">
        <v>5010</v>
      </c>
      <c r="B1288" t="s">
        <v>197</v>
      </c>
      <c r="C1288" t="s">
        <v>198</v>
      </c>
      <c r="D1288" t="s">
        <v>3813</v>
      </c>
      <c r="E1288" t="s">
        <v>267</v>
      </c>
      <c r="F1288" t="s">
        <v>66</v>
      </c>
      <c r="G1288" t="s">
        <v>213</v>
      </c>
      <c r="H1288" t="s">
        <v>68</v>
      </c>
      <c r="I1288" t="s">
        <v>69</v>
      </c>
      <c r="J1288" t="s">
        <v>30</v>
      </c>
      <c r="K1288" t="s">
        <v>50</v>
      </c>
      <c r="L1288" t="s">
        <v>105</v>
      </c>
      <c r="M1288" t="s">
        <v>555</v>
      </c>
      <c r="N1288" t="s">
        <v>142</v>
      </c>
      <c r="O1288" t="s">
        <v>2997</v>
      </c>
      <c r="P1288" t="s">
        <v>768</v>
      </c>
      <c r="Q1288" t="s">
        <v>986</v>
      </c>
      <c r="R1288" t="s">
        <v>2502</v>
      </c>
      <c r="S1288" t="s">
        <v>97</v>
      </c>
      <c r="T1288" t="s">
        <v>1230</v>
      </c>
      <c r="U1288" t="s">
        <v>98</v>
      </c>
      <c r="V1288" t="s">
        <v>82</v>
      </c>
    </row>
    <row r="1289" spans="1:22" x14ac:dyDescent="0.3">
      <c r="A1289" t="s">
        <v>5011</v>
      </c>
      <c r="B1289" t="s">
        <v>1701</v>
      </c>
      <c r="C1289" t="s">
        <v>1702</v>
      </c>
      <c r="D1289" t="s">
        <v>3084</v>
      </c>
      <c r="E1289" t="s">
        <v>672</v>
      </c>
      <c r="F1289" t="s">
        <v>244</v>
      </c>
      <c r="G1289" t="s">
        <v>48</v>
      </c>
      <c r="H1289" t="s">
        <v>68</v>
      </c>
      <c r="I1289" t="s">
        <v>29</v>
      </c>
      <c r="J1289" t="s">
        <v>70</v>
      </c>
      <c r="K1289" t="s">
        <v>71</v>
      </c>
      <c r="L1289" t="s">
        <v>513</v>
      </c>
      <c r="M1289" t="s">
        <v>1163</v>
      </c>
      <c r="N1289" t="s">
        <v>655</v>
      </c>
      <c r="O1289" t="s">
        <v>1004</v>
      </c>
      <c r="P1289" t="s">
        <v>2716</v>
      </c>
      <c r="Q1289" t="s">
        <v>56</v>
      </c>
      <c r="R1289" t="s">
        <v>5012</v>
      </c>
      <c r="S1289" t="s">
        <v>58</v>
      </c>
      <c r="T1289" t="s">
        <v>1013</v>
      </c>
      <c r="U1289" t="s">
        <v>128</v>
      </c>
      <c r="V1289" t="s">
        <v>42</v>
      </c>
    </row>
    <row r="1290" spans="1:22" x14ac:dyDescent="0.3">
      <c r="A1290" t="s">
        <v>5013</v>
      </c>
      <c r="B1290" t="s">
        <v>1479</v>
      </c>
      <c r="C1290" t="s">
        <v>1480</v>
      </c>
      <c r="D1290" t="s">
        <v>2343</v>
      </c>
      <c r="E1290" t="s">
        <v>227</v>
      </c>
      <c r="F1290" t="s">
        <v>228</v>
      </c>
      <c r="G1290" t="s">
        <v>103</v>
      </c>
      <c r="H1290" t="s">
        <v>49</v>
      </c>
      <c r="I1290" t="s">
        <v>29</v>
      </c>
      <c r="J1290" t="s">
        <v>30</v>
      </c>
      <c r="K1290" t="s">
        <v>230</v>
      </c>
      <c r="L1290" t="s">
        <v>51</v>
      </c>
      <c r="M1290" t="s">
        <v>1688</v>
      </c>
      <c r="N1290" t="s">
        <v>183</v>
      </c>
      <c r="O1290" t="s">
        <v>1455</v>
      </c>
      <c r="P1290" t="s">
        <v>2108</v>
      </c>
      <c r="Q1290" t="s">
        <v>299</v>
      </c>
      <c r="R1290" t="s">
        <v>5014</v>
      </c>
      <c r="S1290" t="s">
        <v>58</v>
      </c>
      <c r="T1290" t="s">
        <v>107</v>
      </c>
      <c r="U1290" t="s">
        <v>128</v>
      </c>
      <c r="V1290" t="s">
        <v>42</v>
      </c>
    </row>
    <row r="1291" spans="1:22" x14ac:dyDescent="0.3">
      <c r="A1291" t="s">
        <v>5015</v>
      </c>
      <c r="B1291" t="s">
        <v>1173</v>
      </c>
      <c r="C1291" t="s">
        <v>1174</v>
      </c>
      <c r="D1291" t="s">
        <v>1532</v>
      </c>
      <c r="E1291" t="s">
        <v>417</v>
      </c>
      <c r="F1291" t="s">
        <v>134</v>
      </c>
      <c r="G1291" t="s">
        <v>147</v>
      </c>
      <c r="H1291" t="s">
        <v>214</v>
      </c>
      <c r="I1291" t="s">
        <v>29</v>
      </c>
      <c r="J1291" t="s">
        <v>162</v>
      </c>
      <c r="K1291" t="s">
        <v>50</v>
      </c>
      <c r="L1291" t="s">
        <v>598</v>
      </c>
      <c r="M1291" t="s">
        <v>52</v>
      </c>
      <c r="N1291" t="s">
        <v>53</v>
      </c>
      <c r="O1291" t="s">
        <v>54</v>
      </c>
      <c r="P1291" t="s">
        <v>310</v>
      </c>
      <c r="Q1291" t="s">
        <v>34</v>
      </c>
      <c r="R1291" t="s">
        <v>5016</v>
      </c>
      <c r="S1291" t="s">
        <v>79</v>
      </c>
      <c r="T1291" t="s">
        <v>1099</v>
      </c>
      <c r="U1291" t="s">
        <v>155</v>
      </c>
      <c r="V1291" t="s">
        <v>82</v>
      </c>
    </row>
    <row r="1292" spans="1:22" x14ac:dyDescent="0.3">
      <c r="A1292" t="s">
        <v>5017</v>
      </c>
      <c r="B1292" t="s">
        <v>3148</v>
      </c>
      <c r="C1292" t="s">
        <v>3149</v>
      </c>
      <c r="D1292" t="s">
        <v>1914</v>
      </c>
      <c r="E1292" t="s">
        <v>730</v>
      </c>
      <c r="F1292" t="s">
        <v>26</v>
      </c>
      <c r="G1292" t="s">
        <v>48</v>
      </c>
      <c r="H1292" t="s">
        <v>214</v>
      </c>
      <c r="I1292" t="s">
        <v>69</v>
      </c>
      <c r="J1292" t="s">
        <v>70</v>
      </c>
      <c r="K1292" t="s">
        <v>200</v>
      </c>
      <c r="L1292" t="s">
        <v>773</v>
      </c>
      <c r="M1292" t="s">
        <v>5018</v>
      </c>
      <c r="N1292" t="s">
        <v>959</v>
      </c>
      <c r="O1292" t="s">
        <v>5019</v>
      </c>
      <c r="P1292" t="s">
        <v>4268</v>
      </c>
      <c r="Q1292" t="s">
        <v>3847</v>
      </c>
      <c r="R1292" t="s">
        <v>5020</v>
      </c>
      <c r="S1292" t="s">
        <v>97</v>
      </c>
      <c r="T1292" t="s">
        <v>966</v>
      </c>
      <c r="U1292" t="s">
        <v>394</v>
      </c>
      <c r="V1292" t="s">
        <v>114</v>
      </c>
    </row>
    <row r="1293" spans="1:22" x14ac:dyDescent="0.3">
      <c r="A1293" t="s">
        <v>5021</v>
      </c>
      <c r="B1293" t="s">
        <v>3056</v>
      </c>
      <c r="C1293" t="s">
        <v>3057</v>
      </c>
      <c r="D1293" t="s">
        <v>2558</v>
      </c>
      <c r="E1293" t="s">
        <v>47</v>
      </c>
      <c r="F1293" t="s">
        <v>26</v>
      </c>
      <c r="G1293" t="s">
        <v>48</v>
      </c>
      <c r="H1293" t="s">
        <v>229</v>
      </c>
      <c r="I1293" t="s">
        <v>69</v>
      </c>
      <c r="J1293" t="s">
        <v>70</v>
      </c>
      <c r="K1293" t="s">
        <v>215</v>
      </c>
      <c r="L1293" t="s">
        <v>333</v>
      </c>
      <c r="M1293" t="s">
        <v>5022</v>
      </c>
      <c r="N1293" t="s">
        <v>179</v>
      </c>
      <c r="O1293" t="s">
        <v>5022</v>
      </c>
      <c r="P1293" t="s">
        <v>1554</v>
      </c>
      <c r="Q1293" t="s">
        <v>1202</v>
      </c>
      <c r="R1293" t="s">
        <v>5023</v>
      </c>
      <c r="S1293" t="s">
        <v>126</v>
      </c>
      <c r="T1293" t="s">
        <v>602</v>
      </c>
      <c r="U1293" t="s">
        <v>867</v>
      </c>
      <c r="V1293" t="s">
        <v>79</v>
      </c>
    </row>
    <row r="1294" spans="1:22" x14ac:dyDescent="0.3">
      <c r="A1294" t="s">
        <v>5024</v>
      </c>
      <c r="B1294" t="s">
        <v>1349</v>
      </c>
      <c r="C1294" t="s">
        <v>1350</v>
      </c>
      <c r="D1294" t="s">
        <v>3035</v>
      </c>
      <c r="E1294" t="s">
        <v>160</v>
      </c>
      <c r="F1294" t="s">
        <v>161</v>
      </c>
      <c r="G1294" t="s">
        <v>147</v>
      </c>
      <c r="H1294" t="s">
        <v>49</v>
      </c>
      <c r="I1294" t="s">
        <v>69</v>
      </c>
      <c r="J1294" t="s">
        <v>30</v>
      </c>
      <c r="K1294" t="s">
        <v>215</v>
      </c>
      <c r="L1294" t="s">
        <v>561</v>
      </c>
      <c r="M1294" t="s">
        <v>2322</v>
      </c>
      <c r="N1294" t="s">
        <v>977</v>
      </c>
      <c r="O1294" t="s">
        <v>295</v>
      </c>
      <c r="P1294" t="s">
        <v>2024</v>
      </c>
      <c r="Q1294" t="s">
        <v>822</v>
      </c>
      <c r="R1294" t="s">
        <v>5025</v>
      </c>
      <c r="S1294" t="s">
        <v>182</v>
      </c>
      <c r="T1294" t="s">
        <v>573</v>
      </c>
      <c r="U1294" t="s">
        <v>373</v>
      </c>
      <c r="V1294" t="s">
        <v>114</v>
      </c>
    </row>
    <row r="1295" spans="1:22" x14ac:dyDescent="0.3">
      <c r="A1295" t="s">
        <v>5026</v>
      </c>
      <c r="B1295" t="s">
        <v>2971</v>
      </c>
      <c r="C1295" t="s">
        <v>2972</v>
      </c>
      <c r="D1295" t="s">
        <v>1247</v>
      </c>
      <c r="E1295" t="s">
        <v>134</v>
      </c>
      <c r="F1295" t="s">
        <v>134</v>
      </c>
      <c r="G1295" t="s">
        <v>48</v>
      </c>
      <c r="H1295" t="s">
        <v>104</v>
      </c>
      <c r="I1295" t="s">
        <v>69</v>
      </c>
      <c r="J1295" t="s">
        <v>30</v>
      </c>
      <c r="K1295" t="s">
        <v>215</v>
      </c>
      <c r="L1295" t="s">
        <v>983</v>
      </c>
      <c r="M1295" t="s">
        <v>968</v>
      </c>
      <c r="N1295" t="s">
        <v>735</v>
      </c>
      <c r="O1295" t="s">
        <v>998</v>
      </c>
      <c r="P1295" t="s">
        <v>52</v>
      </c>
      <c r="Q1295" t="s">
        <v>881</v>
      </c>
      <c r="R1295" t="s">
        <v>5027</v>
      </c>
      <c r="S1295" t="s">
        <v>97</v>
      </c>
      <c r="T1295" t="s">
        <v>121</v>
      </c>
      <c r="U1295" t="s">
        <v>238</v>
      </c>
      <c r="V1295" t="s">
        <v>114</v>
      </c>
    </row>
    <row r="1296" spans="1:22" x14ac:dyDescent="0.3">
      <c r="A1296" t="s">
        <v>5028</v>
      </c>
      <c r="B1296" t="s">
        <v>2552</v>
      </c>
      <c r="C1296" t="s">
        <v>2553</v>
      </c>
      <c r="D1296" t="s">
        <v>2235</v>
      </c>
      <c r="E1296" t="s">
        <v>1321</v>
      </c>
      <c r="F1296" t="s">
        <v>228</v>
      </c>
      <c r="G1296" t="s">
        <v>27</v>
      </c>
      <c r="H1296" t="s">
        <v>229</v>
      </c>
      <c r="I1296" t="s">
        <v>69</v>
      </c>
      <c r="J1296" t="s">
        <v>30</v>
      </c>
      <c r="K1296" t="s">
        <v>293</v>
      </c>
      <c r="L1296" t="s">
        <v>937</v>
      </c>
      <c r="M1296" t="s">
        <v>5029</v>
      </c>
      <c r="N1296" t="s">
        <v>2073</v>
      </c>
      <c r="O1296" t="s">
        <v>1424</v>
      </c>
      <c r="P1296" t="s">
        <v>5030</v>
      </c>
      <c r="Q1296" t="s">
        <v>677</v>
      </c>
      <c r="R1296" t="s">
        <v>5031</v>
      </c>
      <c r="S1296" t="s">
        <v>58</v>
      </c>
      <c r="T1296" t="s">
        <v>233</v>
      </c>
      <c r="U1296" t="s">
        <v>373</v>
      </c>
      <c r="V1296" t="s">
        <v>114</v>
      </c>
    </row>
    <row r="1297" spans="1:22" x14ac:dyDescent="0.3">
      <c r="A1297" t="s">
        <v>5032</v>
      </c>
      <c r="B1297" t="s">
        <v>3089</v>
      </c>
      <c r="C1297" t="s">
        <v>3090</v>
      </c>
      <c r="D1297" t="s">
        <v>416</v>
      </c>
      <c r="E1297" t="s">
        <v>161</v>
      </c>
      <c r="F1297" t="s">
        <v>161</v>
      </c>
      <c r="G1297" t="s">
        <v>147</v>
      </c>
      <c r="H1297" t="s">
        <v>268</v>
      </c>
      <c r="I1297" t="s">
        <v>29</v>
      </c>
      <c r="J1297" t="s">
        <v>30</v>
      </c>
      <c r="K1297" t="s">
        <v>230</v>
      </c>
      <c r="L1297" t="s">
        <v>551</v>
      </c>
      <c r="M1297" t="s">
        <v>1378</v>
      </c>
      <c r="N1297" t="s">
        <v>179</v>
      </c>
      <c r="O1297" t="s">
        <v>1378</v>
      </c>
      <c r="P1297" t="s">
        <v>1039</v>
      </c>
      <c r="Q1297" t="s">
        <v>627</v>
      </c>
      <c r="R1297" t="s">
        <v>5033</v>
      </c>
      <c r="S1297" t="s">
        <v>58</v>
      </c>
      <c r="T1297" t="s">
        <v>966</v>
      </c>
      <c r="U1297" t="s">
        <v>362</v>
      </c>
      <c r="V1297" t="s">
        <v>114</v>
      </c>
    </row>
    <row r="1298" spans="1:22" x14ac:dyDescent="0.3">
      <c r="A1298" t="s">
        <v>5034</v>
      </c>
      <c r="B1298" t="s">
        <v>1468</v>
      </c>
      <c r="C1298" t="s">
        <v>1469</v>
      </c>
      <c r="D1298" t="s">
        <v>2612</v>
      </c>
      <c r="E1298" t="s">
        <v>1321</v>
      </c>
      <c r="F1298" t="s">
        <v>228</v>
      </c>
      <c r="G1298" t="s">
        <v>27</v>
      </c>
      <c r="H1298" t="s">
        <v>229</v>
      </c>
      <c r="I1298" t="s">
        <v>69</v>
      </c>
      <c r="J1298" t="s">
        <v>70</v>
      </c>
      <c r="K1298" t="s">
        <v>50</v>
      </c>
      <c r="L1298" t="s">
        <v>105</v>
      </c>
      <c r="M1298" t="s">
        <v>535</v>
      </c>
      <c r="N1298" t="s">
        <v>613</v>
      </c>
      <c r="O1298" t="s">
        <v>1635</v>
      </c>
      <c r="P1298" t="s">
        <v>545</v>
      </c>
      <c r="Q1298" t="s">
        <v>637</v>
      </c>
      <c r="R1298" t="s">
        <v>5035</v>
      </c>
      <c r="S1298" t="s">
        <v>97</v>
      </c>
      <c r="T1298" t="s">
        <v>121</v>
      </c>
      <c r="U1298" t="s">
        <v>394</v>
      </c>
      <c r="V1298" t="s">
        <v>42</v>
      </c>
    </row>
    <row r="1299" spans="1:22" x14ac:dyDescent="0.3">
      <c r="A1299" t="s">
        <v>5036</v>
      </c>
      <c r="B1299" t="s">
        <v>3517</v>
      </c>
      <c r="C1299" t="s">
        <v>3518</v>
      </c>
      <c r="D1299" t="s">
        <v>820</v>
      </c>
      <c r="E1299" t="s">
        <v>160</v>
      </c>
      <c r="F1299" t="s">
        <v>161</v>
      </c>
      <c r="G1299" t="s">
        <v>48</v>
      </c>
      <c r="H1299" t="s">
        <v>214</v>
      </c>
      <c r="I1299" t="s">
        <v>69</v>
      </c>
      <c r="J1299" t="s">
        <v>30</v>
      </c>
      <c r="K1299" t="s">
        <v>71</v>
      </c>
      <c r="L1299" t="s">
        <v>812</v>
      </c>
      <c r="M1299" t="s">
        <v>93</v>
      </c>
      <c r="N1299" t="s">
        <v>261</v>
      </c>
      <c r="O1299" t="s">
        <v>109</v>
      </c>
      <c r="P1299" t="s">
        <v>1090</v>
      </c>
      <c r="Q1299" t="s">
        <v>167</v>
      </c>
      <c r="R1299" t="s">
        <v>5037</v>
      </c>
      <c r="S1299" t="s">
        <v>39</v>
      </c>
      <c r="T1299" t="s">
        <v>40</v>
      </c>
      <c r="U1299" t="s">
        <v>867</v>
      </c>
      <c r="V1299" t="s">
        <v>79</v>
      </c>
    </row>
    <row r="1300" spans="1:22" x14ac:dyDescent="0.3">
      <c r="A1300" t="s">
        <v>5038</v>
      </c>
      <c r="B1300" t="s">
        <v>2057</v>
      </c>
      <c r="C1300" t="s">
        <v>2058</v>
      </c>
      <c r="D1300" t="s">
        <v>2587</v>
      </c>
      <c r="E1300" t="s">
        <v>160</v>
      </c>
      <c r="F1300" t="s">
        <v>161</v>
      </c>
      <c r="G1300" t="s">
        <v>27</v>
      </c>
      <c r="H1300" t="s">
        <v>214</v>
      </c>
      <c r="I1300" t="s">
        <v>69</v>
      </c>
      <c r="J1300" t="s">
        <v>30</v>
      </c>
      <c r="K1300" t="s">
        <v>230</v>
      </c>
      <c r="L1300" t="s">
        <v>428</v>
      </c>
      <c r="M1300" t="s">
        <v>565</v>
      </c>
      <c r="N1300" t="s">
        <v>321</v>
      </c>
      <c r="O1300" t="s">
        <v>645</v>
      </c>
      <c r="P1300" t="s">
        <v>1028</v>
      </c>
      <c r="Q1300" t="s">
        <v>53</v>
      </c>
      <c r="R1300" t="s">
        <v>5039</v>
      </c>
      <c r="S1300" t="s">
        <v>182</v>
      </c>
      <c r="T1300" t="s">
        <v>59</v>
      </c>
      <c r="U1300" t="s">
        <v>867</v>
      </c>
      <c r="V1300" t="s">
        <v>82</v>
      </c>
    </row>
    <row r="1301" spans="1:22" x14ac:dyDescent="0.3">
      <c r="A1301" t="s">
        <v>5040</v>
      </c>
      <c r="B1301" t="s">
        <v>2756</v>
      </c>
      <c r="C1301" t="s">
        <v>2757</v>
      </c>
      <c r="D1301" t="s">
        <v>626</v>
      </c>
      <c r="E1301" t="s">
        <v>282</v>
      </c>
      <c r="F1301" t="s">
        <v>282</v>
      </c>
      <c r="G1301" t="s">
        <v>213</v>
      </c>
      <c r="H1301" t="s">
        <v>28</v>
      </c>
      <c r="I1301" t="s">
        <v>69</v>
      </c>
      <c r="J1301" t="s">
        <v>257</v>
      </c>
      <c r="K1301" t="s">
        <v>50</v>
      </c>
      <c r="L1301" t="s">
        <v>983</v>
      </c>
      <c r="M1301" t="s">
        <v>1681</v>
      </c>
      <c r="N1301" t="s">
        <v>121</v>
      </c>
      <c r="O1301" t="s">
        <v>1011</v>
      </c>
      <c r="P1301" t="s">
        <v>1266</v>
      </c>
      <c r="Q1301" t="s">
        <v>170</v>
      </c>
      <c r="R1301" t="s">
        <v>5041</v>
      </c>
      <c r="S1301" t="s">
        <v>182</v>
      </c>
      <c r="T1301" t="s">
        <v>384</v>
      </c>
      <c r="U1301" t="s">
        <v>362</v>
      </c>
      <c r="V1301" t="s">
        <v>79</v>
      </c>
    </row>
    <row r="1302" spans="1:22" x14ac:dyDescent="0.3">
      <c r="A1302" t="s">
        <v>5042</v>
      </c>
      <c r="B1302" t="s">
        <v>4424</v>
      </c>
      <c r="C1302" t="s">
        <v>4425</v>
      </c>
      <c r="D1302" t="s">
        <v>1228</v>
      </c>
      <c r="E1302" t="s">
        <v>87</v>
      </c>
      <c r="F1302" t="s">
        <v>26</v>
      </c>
      <c r="G1302" t="s">
        <v>103</v>
      </c>
      <c r="H1302" t="s">
        <v>214</v>
      </c>
      <c r="I1302" t="s">
        <v>29</v>
      </c>
      <c r="J1302" t="s">
        <v>162</v>
      </c>
      <c r="K1302" t="s">
        <v>215</v>
      </c>
      <c r="L1302" t="s">
        <v>561</v>
      </c>
      <c r="M1302" t="s">
        <v>3703</v>
      </c>
      <c r="N1302" t="s">
        <v>167</v>
      </c>
      <c r="O1302" t="s">
        <v>1330</v>
      </c>
      <c r="P1302" t="s">
        <v>1968</v>
      </c>
      <c r="Q1302" t="s">
        <v>1434</v>
      </c>
      <c r="R1302" t="s">
        <v>5043</v>
      </c>
      <c r="S1302" t="s">
        <v>58</v>
      </c>
      <c r="T1302" t="s">
        <v>92</v>
      </c>
      <c r="U1302" t="s">
        <v>3459</v>
      </c>
      <c r="V1302" t="s">
        <v>42</v>
      </c>
    </row>
    <row r="1303" spans="1:22" x14ac:dyDescent="0.3">
      <c r="A1303" t="s">
        <v>5044</v>
      </c>
      <c r="B1303" t="s">
        <v>2464</v>
      </c>
      <c r="C1303" t="s">
        <v>2465</v>
      </c>
      <c r="D1303" t="s">
        <v>2472</v>
      </c>
      <c r="E1303" t="s">
        <v>780</v>
      </c>
      <c r="F1303" t="s">
        <v>282</v>
      </c>
      <c r="G1303" t="s">
        <v>118</v>
      </c>
      <c r="H1303" t="s">
        <v>88</v>
      </c>
      <c r="I1303" t="s">
        <v>29</v>
      </c>
      <c r="J1303" t="s">
        <v>162</v>
      </c>
      <c r="K1303" t="s">
        <v>89</v>
      </c>
      <c r="L1303" t="s">
        <v>487</v>
      </c>
      <c r="M1303" t="s">
        <v>1068</v>
      </c>
      <c r="N1303" t="s">
        <v>369</v>
      </c>
      <c r="O1303" t="s">
        <v>599</v>
      </c>
      <c r="P1303" t="s">
        <v>1406</v>
      </c>
      <c r="Q1303" t="s">
        <v>2716</v>
      </c>
      <c r="R1303" t="s">
        <v>5045</v>
      </c>
      <c r="S1303" t="s">
        <v>182</v>
      </c>
      <c r="T1303" t="s">
        <v>1230</v>
      </c>
      <c r="U1303" t="s">
        <v>373</v>
      </c>
      <c r="V1303" t="s">
        <v>82</v>
      </c>
    </row>
    <row r="1304" spans="1:22" x14ac:dyDescent="0.3">
      <c r="A1304" t="s">
        <v>5046</v>
      </c>
      <c r="B1304" t="s">
        <v>2000</v>
      </c>
      <c r="C1304" t="s">
        <v>2001</v>
      </c>
      <c r="D1304" t="s">
        <v>5047</v>
      </c>
      <c r="E1304" t="s">
        <v>66</v>
      </c>
      <c r="F1304" t="s">
        <v>66</v>
      </c>
      <c r="G1304" t="s">
        <v>67</v>
      </c>
      <c r="H1304" t="s">
        <v>68</v>
      </c>
      <c r="I1304" t="s">
        <v>69</v>
      </c>
      <c r="J1304" t="s">
        <v>70</v>
      </c>
      <c r="K1304" t="s">
        <v>230</v>
      </c>
      <c r="M1304" t="s">
        <v>1330</v>
      </c>
      <c r="N1304" t="s">
        <v>326</v>
      </c>
      <c r="O1304" t="s">
        <v>1664</v>
      </c>
      <c r="P1304" t="s">
        <v>1114</v>
      </c>
      <c r="Q1304" t="s">
        <v>371</v>
      </c>
      <c r="R1304" t="s">
        <v>1782</v>
      </c>
      <c r="S1304" t="s">
        <v>126</v>
      </c>
      <c r="T1304" t="s">
        <v>655</v>
      </c>
      <c r="U1304" t="s">
        <v>472</v>
      </c>
      <c r="V1304" t="s">
        <v>82</v>
      </c>
    </row>
    <row r="1305" spans="1:22" x14ac:dyDescent="0.3">
      <c r="A1305" t="s">
        <v>5048</v>
      </c>
      <c r="B1305" t="s">
        <v>4817</v>
      </c>
      <c r="C1305" t="s">
        <v>4818</v>
      </c>
      <c r="D1305" t="s">
        <v>2844</v>
      </c>
      <c r="E1305" t="s">
        <v>176</v>
      </c>
      <c r="F1305" t="s">
        <v>161</v>
      </c>
      <c r="G1305" t="s">
        <v>27</v>
      </c>
      <c r="H1305" t="s">
        <v>229</v>
      </c>
      <c r="I1305" t="s">
        <v>29</v>
      </c>
      <c r="J1305" t="s">
        <v>30</v>
      </c>
      <c r="K1305" t="s">
        <v>215</v>
      </c>
      <c r="L1305" t="s">
        <v>766</v>
      </c>
      <c r="M1305" t="s">
        <v>5049</v>
      </c>
      <c r="N1305" t="s">
        <v>896</v>
      </c>
      <c r="O1305" t="s">
        <v>3567</v>
      </c>
      <c r="P1305" t="s">
        <v>2460</v>
      </c>
      <c r="Q1305" t="s">
        <v>2435</v>
      </c>
      <c r="R1305" t="s">
        <v>3127</v>
      </c>
      <c r="S1305" t="s">
        <v>97</v>
      </c>
      <c r="T1305" t="s">
        <v>218</v>
      </c>
      <c r="U1305" t="s">
        <v>60</v>
      </c>
      <c r="V1305" t="s">
        <v>42</v>
      </c>
    </row>
    <row r="1306" spans="1:22" x14ac:dyDescent="0.3">
      <c r="A1306" t="s">
        <v>5050</v>
      </c>
      <c r="B1306" t="s">
        <v>2270</v>
      </c>
      <c r="C1306" t="s">
        <v>2271</v>
      </c>
      <c r="D1306" t="s">
        <v>3481</v>
      </c>
      <c r="E1306" t="s">
        <v>176</v>
      </c>
      <c r="F1306" t="s">
        <v>161</v>
      </c>
      <c r="G1306" t="s">
        <v>213</v>
      </c>
      <c r="H1306" t="s">
        <v>214</v>
      </c>
      <c r="I1306" t="s">
        <v>29</v>
      </c>
      <c r="J1306" t="s">
        <v>30</v>
      </c>
      <c r="K1306" t="s">
        <v>89</v>
      </c>
      <c r="L1306" t="s">
        <v>551</v>
      </c>
      <c r="M1306" t="s">
        <v>249</v>
      </c>
      <c r="N1306" t="s">
        <v>695</v>
      </c>
      <c r="O1306" t="s">
        <v>992</v>
      </c>
      <c r="P1306" t="s">
        <v>544</v>
      </c>
      <c r="Q1306" t="s">
        <v>565</v>
      </c>
      <c r="R1306" t="s">
        <v>5051</v>
      </c>
      <c r="S1306" t="s">
        <v>58</v>
      </c>
      <c r="T1306" t="s">
        <v>613</v>
      </c>
      <c r="U1306" t="s">
        <v>373</v>
      </c>
      <c r="V1306" t="s">
        <v>82</v>
      </c>
    </row>
    <row r="1307" spans="1:22" x14ac:dyDescent="0.3">
      <c r="A1307" t="s">
        <v>5052</v>
      </c>
      <c r="B1307" t="s">
        <v>3103</v>
      </c>
      <c r="C1307" t="s">
        <v>3104</v>
      </c>
      <c r="D1307" t="s">
        <v>3356</v>
      </c>
      <c r="E1307" t="s">
        <v>399</v>
      </c>
      <c r="F1307" t="s">
        <v>188</v>
      </c>
      <c r="G1307" t="s">
        <v>147</v>
      </c>
      <c r="H1307" t="s">
        <v>104</v>
      </c>
      <c r="I1307" t="s">
        <v>69</v>
      </c>
      <c r="J1307" t="s">
        <v>162</v>
      </c>
      <c r="K1307" t="s">
        <v>31</v>
      </c>
      <c r="L1307" t="s">
        <v>927</v>
      </c>
      <c r="M1307" t="s">
        <v>2077</v>
      </c>
      <c r="N1307" t="s">
        <v>1224</v>
      </c>
      <c r="O1307" t="s">
        <v>371</v>
      </c>
      <c r="P1307" t="s">
        <v>2037</v>
      </c>
      <c r="Q1307" t="s">
        <v>602</v>
      </c>
      <c r="R1307" t="s">
        <v>2254</v>
      </c>
      <c r="S1307" t="s">
        <v>126</v>
      </c>
      <c r="T1307" t="s">
        <v>165</v>
      </c>
      <c r="U1307" t="s">
        <v>300</v>
      </c>
      <c r="V1307" t="s">
        <v>82</v>
      </c>
    </row>
    <row r="1308" spans="1:22" x14ac:dyDescent="0.3">
      <c r="A1308" t="s">
        <v>5053</v>
      </c>
      <c r="B1308" t="s">
        <v>3871</v>
      </c>
      <c r="C1308" t="s">
        <v>3872</v>
      </c>
      <c r="D1308" t="s">
        <v>5054</v>
      </c>
      <c r="E1308" t="s">
        <v>244</v>
      </c>
      <c r="F1308" t="s">
        <v>244</v>
      </c>
      <c r="G1308" t="s">
        <v>118</v>
      </c>
      <c r="H1308" t="s">
        <v>268</v>
      </c>
      <c r="I1308" t="s">
        <v>29</v>
      </c>
      <c r="J1308" t="s">
        <v>30</v>
      </c>
      <c r="K1308" t="s">
        <v>89</v>
      </c>
      <c r="L1308" t="s">
        <v>148</v>
      </c>
      <c r="M1308" t="s">
        <v>2285</v>
      </c>
      <c r="N1308" t="s">
        <v>150</v>
      </c>
      <c r="O1308" t="s">
        <v>403</v>
      </c>
      <c r="P1308" t="s">
        <v>334</v>
      </c>
      <c r="Q1308" t="s">
        <v>2819</v>
      </c>
      <c r="R1308" t="s">
        <v>5055</v>
      </c>
      <c r="S1308" t="s">
        <v>58</v>
      </c>
      <c r="T1308" t="s">
        <v>261</v>
      </c>
      <c r="U1308" t="s">
        <v>1328</v>
      </c>
      <c r="V1308" t="s">
        <v>79</v>
      </c>
    </row>
    <row r="1309" spans="1:22" x14ac:dyDescent="0.3">
      <c r="A1309" t="s">
        <v>5056</v>
      </c>
      <c r="B1309" t="s">
        <v>1804</v>
      </c>
      <c r="C1309" t="s">
        <v>1805</v>
      </c>
      <c r="D1309" t="s">
        <v>5057</v>
      </c>
      <c r="E1309" t="s">
        <v>672</v>
      </c>
      <c r="F1309" t="s">
        <v>244</v>
      </c>
      <c r="G1309" t="s">
        <v>27</v>
      </c>
      <c r="H1309" t="s">
        <v>49</v>
      </c>
      <c r="I1309" t="s">
        <v>29</v>
      </c>
      <c r="J1309" t="s">
        <v>70</v>
      </c>
      <c r="K1309" t="s">
        <v>89</v>
      </c>
      <c r="L1309" t="s">
        <v>246</v>
      </c>
      <c r="M1309" t="s">
        <v>4163</v>
      </c>
      <c r="N1309" t="s">
        <v>179</v>
      </c>
      <c r="O1309" t="s">
        <v>4163</v>
      </c>
      <c r="P1309" t="s">
        <v>470</v>
      </c>
      <c r="Q1309" t="s">
        <v>1990</v>
      </c>
      <c r="R1309" t="s">
        <v>1371</v>
      </c>
      <c r="S1309" t="s">
        <v>182</v>
      </c>
      <c r="T1309" t="s">
        <v>1509</v>
      </c>
      <c r="U1309" t="s">
        <v>171</v>
      </c>
      <c r="V1309" t="s">
        <v>82</v>
      </c>
    </row>
    <row r="1310" spans="1:22" x14ac:dyDescent="0.3">
      <c r="A1310" t="s">
        <v>5058</v>
      </c>
      <c r="B1310" t="s">
        <v>746</v>
      </c>
      <c r="C1310" t="s">
        <v>747</v>
      </c>
      <c r="D1310" t="s">
        <v>4332</v>
      </c>
      <c r="E1310" t="s">
        <v>66</v>
      </c>
      <c r="F1310" t="s">
        <v>66</v>
      </c>
      <c r="G1310" t="s">
        <v>147</v>
      </c>
      <c r="H1310" t="s">
        <v>229</v>
      </c>
      <c r="I1310" t="s">
        <v>69</v>
      </c>
      <c r="J1310" t="s">
        <v>162</v>
      </c>
      <c r="K1310" t="s">
        <v>50</v>
      </c>
      <c r="L1310" t="s">
        <v>466</v>
      </c>
      <c r="M1310" t="s">
        <v>1406</v>
      </c>
      <c r="N1310" t="s">
        <v>179</v>
      </c>
      <c r="O1310" t="s">
        <v>1406</v>
      </c>
      <c r="P1310" t="s">
        <v>1222</v>
      </c>
      <c r="Q1310" t="s">
        <v>1642</v>
      </c>
      <c r="R1310" t="s">
        <v>5059</v>
      </c>
      <c r="S1310" t="s">
        <v>182</v>
      </c>
      <c r="T1310" t="s">
        <v>610</v>
      </c>
      <c r="U1310" t="s">
        <v>277</v>
      </c>
      <c r="V1310" t="s">
        <v>79</v>
      </c>
    </row>
    <row r="1311" spans="1:22" x14ac:dyDescent="0.3">
      <c r="A1311" t="s">
        <v>5060</v>
      </c>
      <c r="B1311" t="s">
        <v>910</v>
      </c>
      <c r="C1311" t="s">
        <v>911</v>
      </c>
      <c r="D1311" t="s">
        <v>5061</v>
      </c>
      <c r="E1311" t="s">
        <v>133</v>
      </c>
      <c r="F1311" t="s">
        <v>134</v>
      </c>
      <c r="G1311" t="s">
        <v>67</v>
      </c>
      <c r="H1311" t="s">
        <v>88</v>
      </c>
      <c r="I1311" t="s">
        <v>69</v>
      </c>
      <c r="J1311" t="s">
        <v>70</v>
      </c>
      <c r="K1311" t="s">
        <v>230</v>
      </c>
      <c r="L1311" t="s">
        <v>513</v>
      </c>
      <c r="M1311" t="s">
        <v>968</v>
      </c>
      <c r="N1311" t="s">
        <v>735</v>
      </c>
      <c r="O1311" t="s">
        <v>998</v>
      </c>
      <c r="P1311" t="s">
        <v>1773</v>
      </c>
      <c r="Q1311" t="s">
        <v>183</v>
      </c>
      <c r="R1311" t="s">
        <v>5062</v>
      </c>
      <c r="S1311" t="s">
        <v>182</v>
      </c>
      <c r="T1311" t="s">
        <v>655</v>
      </c>
      <c r="U1311" t="s">
        <v>394</v>
      </c>
      <c r="V1311" t="s">
        <v>79</v>
      </c>
    </row>
    <row r="1312" spans="1:22" x14ac:dyDescent="0.3">
      <c r="A1312" t="s">
        <v>5063</v>
      </c>
      <c r="B1312" t="s">
        <v>510</v>
      </c>
      <c r="C1312" t="s">
        <v>511</v>
      </c>
      <c r="D1312" t="s">
        <v>416</v>
      </c>
      <c r="E1312" t="s">
        <v>227</v>
      </c>
      <c r="F1312" t="s">
        <v>228</v>
      </c>
      <c r="G1312" t="s">
        <v>147</v>
      </c>
      <c r="H1312" t="s">
        <v>28</v>
      </c>
      <c r="I1312" t="s">
        <v>69</v>
      </c>
      <c r="J1312" t="s">
        <v>30</v>
      </c>
      <c r="K1312" t="s">
        <v>230</v>
      </c>
      <c r="L1312" t="s">
        <v>135</v>
      </c>
      <c r="M1312" t="s">
        <v>296</v>
      </c>
      <c r="N1312" t="s">
        <v>482</v>
      </c>
      <c r="O1312" t="s">
        <v>2824</v>
      </c>
      <c r="P1312" t="s">
        <v>1403</v>
      </c>
      <c r="Q1312" t="s">
        <v>3398</v>
      </c>
      <c r="R1312" t="s">
        <v>5064</v>
      </c>
      <c r="S1312" t="s">
        <v>97</v>
      </c>
      <c r="T1312" t="s">
        <v>1013</v>
      </c>
      <c r="U1312" t="s">
        <v>423</v>
      </c>
      <c r="V1312" t="s">
        <v>114</v>
      </c>
    </row>
    <row r="1313" spans="1:22" x14ac:dyDescent="0.3">
      <c r="A1313" t="s">
        <v>5065</v>
      </c>
      <c r="B1313" t="s">
        <v>860</v>
      </c>
      <c r="C1313" t="s">
        <v>861</v>
      </c>
      <c r="D1313" t="s">
        <v>1710</v>
      </c>
      <c r="E1313" t="s">
        <v>66</v>
      </c>
      <c r="F1313" t="s">
        <v>66</v>
      </c>
      <c r="G1313" t="s">
        <v>147</v>
      </c>
      <c r="H1313" t="s">
        <v>229</v>
      </c>
      <c r="I1313" t="s">
        <v>29</v>
      </c>
      <c r="J1313" t="s">
        <v>30</v>
      </c>
      <c r="K1313" t="s">
        <v>215</v>
      </c>
      <c r="L1313" t="s">
        <v>1562</v>
      </c>
      <c r="M1313" t="s">
        <v>345</v>
      </c>
      <c r="N1313" t="s">
        <v>179</v>
      </c>
      <c r="O1313" t="s">
        <v>345</v>
      </c>
      <c r="P1313" t="s">
        <v>4522</v>
      </c>
      <c r="Q1313" t="s">
        <v>2180</v>
      </c>
      <c r="R1313" t="s">
        <v>4248</v>
      </c>
      <c r="S1313" t="s">
        <v>79</v>
      </c>
      <c r="T1313" t="s">
        <v>167</v>
      </c>
      <c r="U1313" t="s">
        <v>155</v>
      </c>
      <c r="V1313" t="s">
        <v>42</v>
      </c>
    </row>
    <row r="1314" spans="1:22" x14ac:dyDescent="0.3">
      <c r="A1314" t="s">
        <v>5066</v>
      </c>
      <c r="B1314" t="s">
        <v>1136</v>
      </c>
      <c r="C1314" t="s">
        <v>1137</v>
      </c>
      <c r="D1314" t="s">
        <v>1146</v>
      </c>
      <c r="E1314" t="s">
        <v>267</v>
      </c>
      <c r="F1314" t="s">
        <v>66</v>
      </c>
      <c r="G1314" t="s">
        <v>118</v>
      </c>
      <c r="H1314" t="s">
        <v>28</v>
      </c>
      <c r="I1314" t="s">
        <v>69</v>
      </c>
      <c r="J1314" t="s">
        <v>30</v>
      </c>
      <c r="K1314" t="s">
        <v>245</v>
      </c>
      <c r="L1314" t="s">
        <v>561</v>
      </c>
      <c r="M1314" t="s">
        <v>1996</v>
      </c>
      <c r="N1314" t="s">
        <v>482</v>
      </c>
      <c r="O1314" t="s">
        <v>915</v>
      </c>
      <c r="P1314" t="s">
        <v>2143</v>
      </c>
      <c r="Q1314" t="s">
        <v>770</v>
      </c>
      <c r="R1314" t="s">
        <v>5067</v>
      </c>
      <c r="S1314" t="s">
        <v>58</v>
      </c>
      <c r="T1314" t="s">
        <v>613</v>
      </c>
      <c r="U1314" t="s">
        <v>394</v>
      </c>
      <c r="V1314" t="s">
        <v>58</v>
      </c>
    </row>
    <row r="1315" spans="1:22" x14ac:dyDescent="0.3">
      <c r="A1315" t="s">
        <v>5068</v>
      </c>
      <c r="B1315" t="s">
        <v>3295</v>
      </c>
      <c r="C1315" t="s">
        <v>3296</v>
      </c>
      <c r="D1315" t="s">
        <v>3831</v>
      </c>
      <c r="E1315" t="s">
        <v>672</v>
      </c>
      <c r="F1315" t="s">
        <v>244</v>
      </c>
      <c r="G1315" t="s">
        <v>213</v>
      </c>
      <c r="H1315" t="s">
        <v>214</v>
      </c>
      <c r="I1315" t="s">
        <v>69</v>
      </c>
      <c r="J1315" t="s">
        <v>30</v>
      </c>
      <c r="K1315" t="s">
        <v>215</v>
      </c>
      <c r="L1315" t="s">
        <v>105</v>
      </c>
      <c r="M1315" t="s">
        <v>2176</v>
      </c>
      <c r="N1315" t="s">
        <v>735</v>
      </c>
      <c r="O1315" t="s">
        <v>1635</v>
      </c>
      <c r="P1315" t="s">
        <v>1383</v>
      </c>
      <c r="Q1315" t="s">
        <v>742</v>
      </c>
      <c r="R1315" t="s">
        <v>5069</v>
      </c>
      <c r="S1315" t="s">
        <v>97</v>
      </c>
      <c r="T1315" t="s">
        <v>695</v>
      </c>
      <c r="U1315" t="s">
        <v>472</v>
      </c>
      <c r="V1315" t="s">
        <v>79</v>
      </c>
    </row>
    <row r="1316" spans="1:22" x14ac:dyDescent="0.3">
      <c r="A1316" t="s">
        <v>5070</v>
      </c>
      <c r="B1316" t="s">
        <v>3204</v>
      </c>
      <c r="C1316" t="s">
        <v>3205</v>
      </c>
      <c r="D1316" t="s">
        <v>3813</v>
      </c>
      <c r="E1316" t="s">
        <v>417</v>
      </c>
      <c r="F1316" t="s">
        <v>134</v>
      </c>
      <c r="G1316" t="s">
        <v>48</v>
      </c>
      <c r="H1316" t="s">
        <v>88</v>
      </c>
      <c r="I1316" t="s">
        <v>69</v>
      </c>
      <c r="J1316" t="s">
        <v>70</v>
      </c>
      <c r="K1316" t="s">
        <v>71</v>
      </c>
      <c r="L1316" t="s">
        <v>1863</v>
      </c>
      <c r="M1316" t="s">
        <v>3156</v>
      </c>
      <c r="N1316" t="s">
        <v>1096</v>
      </c>
      <c r="O1316" t="s">
        <v>1157</v>
      </c>
      <c r="P1316" t="s">
        <v>3139</v>
      </c>
      <c r="Q1316" t="s">
        <v>2450</v>
      </c>
      <c r="R1316" t="s">
        <v>5071</v>
      </c>
      <c r="S1316" t="s">
        <v>97</v>
      </c>
      <c r="T1316" t="s">
        <v>92</v>
      </c>
      <c r="U1316" t="s">
        <v>472</v>
      </c>
      <c r="V1316" t="s">
        <v>58</v>
      </c>
    </row>
    <row r="1317" spans="1:22" x14ac:dyDescent="0.3">
      <c r="A1317" t="s">
        <v>5072</v>
      </c>
      <c r="B1317" t="s">
        <v>2846</v>
      </c>
      <c r="C1317" t="s">
        <v>2847</v>
      </c>
      <c r="D1317" t="s">
        <v>4569</v>
      </c>
      <c r="E1317" t="s">
        <v>26</v>
      </c>
      <c r="F1317" t="s">
        <v>26</v>
      </c>
      <c r="G1317" t="s">
        <v>103</v>
      </c>
      <c r="H1317" t="s">
        <v>229</v>
      </c>
      <c r="I1317" t="s">
        <v>69</v>
      </c>
      <c r="J1317" t="s">
        <v>257</v>
      </c>
      <c r="K1317" t="s">
        <v>50</v>
      </c>
      <c r="L1317" t="s">
        <v>487</v>
      </c>
      <c r="M1317" t="s">
        <v>3486</v>
      </c>
      <c r="N1317" t="s">
        <v>179</v>
      </c>
      <c r="O1317" t="s">
        <v>3486</v>
      </c>
      <c r="P1317" t="s">
        <v>2319</v>
      </c>
      <c r="Q1317" t="s">
        <v>110</v>
      </c>
      <c r="R1317" t="s">
        <v>937</v>
      </c>
      <c r="S1317" t="s">
        <v>126</v>
      </c>
      <c r="T1317" t="s">
        <v>142</v>
      </c>
      <c r="U1317" t="s">
        <v>407</v>
      </c>
      <c r="V1317" t="s">
        <v>82</v>
      </c>
    </row>
    <row r="1318" spans="1:22" x14ac:dyDescent="0.3">
      <c r="A1318" t="s">
        <v>5073</v>
      </c>
      <c r="B1318" t="s">
        <v>2187</v>
      </c>
      <c r="C1318" t="s">
        <v>2188</v>
      </c>
      <c r="D1318" t="s">
        <v>2127</v>
      </c>
      <c r="E1318" t="s">
        <v>893</v>
      </c>
      <c r="F1318" t="s">
        <v>188</v>
      </c>
      <c r="G1318" t="s">
        <v>118</v>
      </c>
      <c r="H1318" t="s">
        <v>28</v>
      </c>
      <c r="I1318" t="s">
        <v>69</v>
      </c>
      <c r="J1318" t="s">
        <v>30</v>
      </c>
      <c r="K1318" t="s">
        <v>245</v>
      </c>
      <c r="L1318" t="s">
        <v>428</v>
      </c>
      <c r="M1318" t="s">
        <v>1909</v>
      </c>
      <c r="N1318" t="s">
        <v>1099</v>
      </c>
      <c r="O1318" t="s">
        <v>1689</v>
      </c>
      <c r="P1318" t="s">
        <v>2902</v>
      </c>
      <c r="Q1318" t="s">
        <v>1303</v>
      </c>
      <c r="R1318" t="s">
        <v>5074</v>
      </c>
      <c r="S1318" t="s">
        <v>58</v>
      </c>
      <c r="T1318" t="s">
        <v>321</v>
      </c>
      <c r="U1318" t="s">
        <v>98</v>
      </c>
      <c r="V1318" t="s">
        <v>42</v>
      </c>
    </row>
    <row r="1319" spans="1:22" x14ac:dyDescent="0.3">
      <c r="A1319" t="s">
        <v>5075</v>
      </c>
      <c r="B1319" t="s">
        <v>1180</v>
      </c>
      <c r="C1319" t="s">
        <v>1181</v>
      </c>
      <c r="D1319" t="s">
        <v>3528</v>
      </c>
      <c r="E1319" t="s">
        <v>267</v>
      </c>
      <c r="F1319" t="s">
        <v>66</v>
      </c>
      <c r="G1319" t="s">
        <v>213</v>
      </c>
      <c r="H1319" t="s">
        <v>28</v>
      </c>
      <c r="I1319" t="s">
        <v>69</v>
      </c>
      <c r="J1319" t="s">
        <v>30</v>
      </c>
      <c r="K1319" t="s">
        <v>31</v>
      </c>
      <c r="L1319" t="s">
        <v>400</v>
      </c>
      <c r="M1319" t="s">
        <v>271</v>
      </c>
      <c r="N1319" t="s">
        <v>179</v>
      </c>
      <c r="O1319" t="s">
        <v>271</v>
      </c>
      <c r="P1319" t="s">
        <v>1420</v>
      </c>
      <c r="Q1319" t="s">
        <v>335</v>
      </c>
      <c r="R1319" t="s">
        <v>3153</v>
      </c>
      <c r="S1319" t="s">
        <v>182</v>
      </c>
      <c r="T1319" t="s">
        <v>770</v>
      </c>
      <c r="U1319" t="s">
        <v>300</v>
      </c>
      <c r="V1319" t="s">
        <v>42</v>
      </c>
    </row>
    <row r="1320" spans="1:22" x14ac:dyDescent="0.3">
      <c r="A1320" t="s">
        <v>5076</v>
      </c>
      <c r="B1320" t="s">
        <v>1251</v>
      </c>
      <c r="C1320" t="s">
        <v>1252</v>
      </c>
      <c r="D1320" t="s">
        <v>5077</v>
      </c>
      <c r="E1320" t="s">
        <v>87</v>
      </c>
      <c r="F1320" t="s">
        <v>26</v>
      </c>
      <c r="G1320" t="s">
        <v>213</v>
      </c>
      <c r="H1320" t="s">
        <v>68</v>
      </c>
      <c r="I1320" t="s">
        <v>69</v>
      </c>
      <c r="J1320" t="s">
        <v>257</v>
      </c>
      <c r="K1320" t="s">
        <v>31</v>
      </c>
      <c r="L1320" t="s">
        <v>663</v>
      </c>
      <c r="M1320" t="s">
        <v>5078</v>
      </c>
      <c r="N1320" t="s">
        <v>949</v>
      </c>
      <c r="O1320" t="s">
        <v>5079</v>
      </c>
      <c r="P1320" t="s">
        <v>2792</v>
      </c>
      <c r="Q1320" t="s">
        <v>497</v>
      </c>
      <c r="R1320" t="s">
        <v>5080</v>
      </c>
      <c r="S1320" t="s">
        <v>97</v>
      </c>
      <c r="T1320" t="s">
        <v>1420</v>
      </c>
      <c r="U1320" t="s">
        <v>362</v>
      </c>
      <c r="V1320" t="s">
        <v>79</v>
      </c>
    </row>
    <row r="1321" spans="1:22" x14ac:dyDescent="0.3">
      <c r="A1321" t="s">
        <v>5081</v>
      </c>
      <c r="B1321" t="s">
        <v>3949</v>
      </c>
      <c r="C1321" t="s">
        <v>3950</v>
      </c>
      <c r="D1321" t="s">
        <v>1743</v>
      </c>
      <c r="E1321" t="s">
        <v>161</v>
      </c>
      <c r="F1321" t="s">
        <v>161</v>
      </c>
      <c r="G1321" t="s">
        <v>118</v>
      </c>
      <c r="H1321" t="s">
        <v>229</v>
      </c>
      <c r="I1321" t="s">
        <v>69</v>
      </c>
      <c r="J1321" t="s">
        <v>162</v>
      </c>
      <c r="K1321" t="s">
        <v>200</v>
      </c>
      <c r="L1321" t="s">
        <v>663</v>
      </c>
      <c r="M1321" t="s">
        <v>881</v>
      </c>
      <c r="N1321" t="s">
        <v>621</v>
      </c>
      <c r="O1321" t="s">
        <v>836</v>
      </c>
      <c r="P1321" t="s">
        <v>55</v>
      </c>
      <c r="Q1321" t="s">
        <v>710</v>
      </c>
      <c r="R1321" t="s">
        <v>5082</v>
      </c>
      <c r="S1321" t="s">
        <v>97</v>
      </c>
      <c r="T1321" t="s">
        <v>321</v>
      </c>
      <c r="U1321" t="s">
        <v>394</v>
      </c>
      <c r="V1321" t="s">
        <v>42</v>
      </c>
    </row>
    <row r="1322" spans="1:22" x14ac:dyDescent="0.3">
      <c r="A1322" t="s">
        <v>5083</v>
      </c>
      <c r="B1322" t="s">
        <v>375</v>
      </c>
      <c r="C1322" t="s">
        <v>376</v>
      </c>
      <c r="D1322" t="s">
        <v>5084</v>
      </c>
      <c r="E1322" t="s">
        <v>399</v>
      </c>
      <c r="F1322" t="s">
        <v>188</v>
      </c>
      <c r="G1322" t="s">
        <v>580</v>
      </c>
      <c r="H1322" t="s">
        <v>214</v>
      </c>
      <c r="I1322" t="s">
        <v>69</v>
      </c>
      <c r="J1322" t="s">
        <v>30</v>
      </c>
      <c r="K1322" t="s">
        <v>50</v>
      </c>
      <c r="L1322" t="s">
        <v>269</v>
      </c>
      <c r="M1322" t="s">
        <v>5085</v>
      </c>
      <c r="N1322" t="s">
        <v>753</v>
      </c>
      <c r="O1322" t="s">
        <v>3157</v>
      </c>
      <c r="P1322" t="s">
        <v>2793</v>
      </c>
      <c r="Q1322" t="s">
        <v>183</v>
      </c>
      <c r="R1322" t="s">
        <v>5086</v>
      </c>
      <c r="S1322" t="s">
        <v>126</v>
      </c>
      <c r="T1322" t="s">
        <v>1569</v>
      </c>
      <c r="U1322" t="s">
        <v>128</v>
      </c>
      <c r="V1322" t="s">
        <v>79</v>
      </c>
    </row>
    <row r="1323" spans="1:22" x14ac:dyDescent="0.3">
      <c r="A1323" t="s">
        <v>5087</v>
      </c>
      <c r="B1323" t="s">
        <v>595</v>
      </c>
      <c r="C1323" t="s">
        <v>596</v>
      </c>
      <c r="D1323" t="s">
        <v>4584</v>
      </c>
      <c r="E1323" t="s">
        <v>634</v>
      </c>
      <c r="F1323" t="s">
        <v>228</v>
      </c>
      <c r="G1323" t="s">
        <v>580</v>
      </c>
      <c r="H1323" t="s">
        <v>68</v>
      </c>
      <c r="I1323" t="s">
        <v>29</v>
      </c>
      <c r="J1323" t="s">
        <v>30</v>
      </c>
      <c r="K1323" t="s">
        <v>230</v>
      </c>
      <c r="L1323" t="s">
        <v>974</v>
      </c>
      <c r="M1323" t="s">
        <v>5088</v>
      </c>
      <c r="N1323" t="s">
        <v>335</v>
      </c>
      <c r="O1323" t="s">
        <v>2360</v>
      </c>
      <c r="P1323" t="s">
        <v>1651</v>
      </c>
      <c r="Q1323" t="s">
        <v>643</v>
      </c>
      <c r="R1323" t="s">
        <v>1895</v>
      </c>
      <c r="S1323" t="s">
        <v>97</v>
      </c>
      <c r="T1323" t="s">
        <v>361</v>
      </c>
      <c r="U1323" t="s">
        <v>373</v>
      </c>
      <c r="V1323" t="s">
        <v>42</v>
      </c>
    </row>
    <row r="1324" spans="1:22" x14ac:dyDescent="0.3">
      <c r="A1324" t="s">
        <v>5089</v>
      </c>
      <c r="B1324" t="s">
        <v>2817</v>
      </c>
      <c r="C1324" t="s">
        <v>2818</v>
      </c>
      <c r="D1324" t="s">
        <v>2853</v>
      </c>
      <c r="E1324" t="s">
        <v>161</v>
      </c>
      <c r="F1324" t="s">
        <v>161</v>
      </c>
      <c r="G1324" t="s">
        <v>103</v>
      </c>
      <c r="H1324" t="s">
        <v>88</v>
      </c>
      <c r="I1324" t="s">
        <v>69</v>
      </c>
      <c r="J1324" t="s">
        <v>257</v>
      </c>
      <c r="K1324" t="s">
        <v>200</v>
      </c>
      <c r="L1324" t="s">
        <v>72</v>
      </c>
      <c r="M1324" t="s">
        <v>108</v>
      </c>
      <c r="N1324" t="s">
        <v>179</v>
      </c>
      <c r="O1324" t="s">
        <v>108</v>
      </c>
      <c r="P1324" t="s">
        <v>124</v>
      </c>
      <c r="Q1324" t="s">
        <v>1063</v>
      </c>
      <c r="R1324" t="s">
        <v>5090</v>
      </c>
      <c r="S1324" t="s">
        <v>182</v>
      </c>
      <c r="T1324" t="s">
        <v>237</v>
      </c>
      <c r="U1324" t="s">
        <v>171</v>
      </c>
      <c r="V1324" t="s">
        <v>114</v>
      </c>
    </row>
    <row r="1325" spans="1:22" x14ac:dyDescent="0.3">
      <c r="A1325" t="s">
        <v>5091</v>
      </c>
      <c r="B1325" t="s">
        <v>2064</v>
      </c>
      <c r="C1325" t="s">
        <v>2065</v>
      </c>
      <c r="D1325" t="s">
        <v>1072</v>
      </c>
      <c r="E1325" t="s">
        <v>1321</v>
      </c>
      <c r="F1325" t="s">
        <v>228</v>
      </c>
      <c r="G1325" t="s">
        <v>147</v>
      </c>
      <c r="H1325" t="s">
        <v>229</v>
      </c>
      <c r="I1325" t="s">
        <v>69</v>
      </c>
      <c r="J1325" t="s">
        <v>257</v>
      </c>
      <c r="K1325" t="s">
        <v>50</v>
      </c>
      <c r="L1325" t="s">
        <v>189</v>
      </c>
      <c r="M1325" t="s">
        <v>4082</v>
      </c>
      <c r="N1325" t="s">
        <v>179</v>
      </c>
      <c r="O1325" t="s">
        <v>4082</v>
      </c>
      <c r="P1325" t="s">
        <v>1406</v>
      </c>
      <c r="Q1325" t="s">
        <v>535</v>
      </c>
      <c r="R1325" t="s">
        <v>5092</v>
      </c>
      <c r="S1325" t="s">
        <v>182</v>
      </c>
      <c r="T1325" t="s">
        <v>1303</v>
      </c>
      <c r="U1325" t="s">
        <v>394</v>
      </c>
      <c r="V1325" t="s">
        <v>114</v>
      </c>
    </row>
    <row r="1326" spans="1:22" x14ac:dyDescent="0.3">
      <c r="A1326" t="s">
        <v>5093</v>
      </c>
      <c r="B1326" t="s">
        <v>2410</v>
      </c>
      <c r="C1326" t="s">
        <v>2411</v>
      </c>
      <c r="D1326" t="s">
        <v>1893</v>
      </c>
      <c r="E1326" t="s">
        <v>634</v>
      </c>
      <c r="F1326" t="s">
        <v>228</v>
      </c>
      <c r="G1326" t="s">
        <v>147</v>
      </c>
      <c r="H1326" t="s">
        <v>28</v>
      </c>
      <c r="I1326" t="s">
        <v>69</v>
      </c>
      <c r="J1326" t="s">
        <v>70</v>
      </c>
      <c r="K1326" t="s">
        <v>245</v>
      </c>
      <c r="L1326" t="s">
        <v>333</v>
      </c>
      <c r="M1326" t="s">
        <v>2764</v>
      </c>
      <c r="N1326" t="s">
        <v>179</v>
      </c>
      <c r="O1326" t="s">
        <v>2764</v>
      </c>
      <c r="P1326" t="s">
        <v>1490</v>
      </c>
      <c r="Q1326" t="s">
        <v>1402</v>
      </c>
      <c r="R1326" t="s">
        <v>2379</v>
      </c>
      <c r="S1326" t="s">
        <v>182</v>
      </c>
      <c r="T1326" t="s">
        <v>233</v>
      </c>
      <c r="U1326" t="s">
        <v>128</v>
      </c>
      <c r="V1326" t="s">
        <v>58</v>
      </c>
    </row>
    <row r="1327" spans="1:22" x14ac:dyDescent="0.3">
      <c r="A1327" t="s">
        <v>5094</v>
      </c>
      <c r="B1327" t="s">
        <v>2470</v>
      </c>
      <c r="C1327" t="s">
        <v>2471</v>
      </c>
      <c r="D1327" t="s">
        <v>2412</v>
      </c>
      <c r="E1327" t="s">
        <v>133</v>
      </c>
      <c r="F1327" t="s">
        <v>134</v>
      </c>
      <c r="G1327" t="s">
        <v>213</v>
      </c>
      <c r="H1327" t="s">
        <v>214</v>
      </c>
      <c r="I1327" t="s">
        <v>29</v>
      </c>
      <c r="J1327" t="s">
        <v>70</v>
      </c>
      <c r="K1327" t="s">
        <v>215</v>
      </c>
      <c r="L1327" t="s">
        <v>1022</v>
      </c>
      <c r="M1327" t="s">
        <v>232</v>
      </c>
      <c r="N1327" t="s">
        <v>179</v>
      </c>
      <c r="O1327" t="s">
        <v>232</v>
      </c>
      <c r="P1327" t="s">
        <v>784</v>
      </c>
      <c r="Q1327" t="s">
        <v>2077</v>
      </c>
      <c r="R1327" t="s">
        <v>5095</v>
      </c>
      <c r="T1327" t="s">
        <v>121</v>
      </c>
      <c r="U1327" t="s">
        <v>867</v>
      </c>
      <c r="V1327" t="s">
        <v>114</v>
      </c>
    </row>
    <row r="1328" spans="1:22" x14ac:dyDescent="0.3">
      <c r="A1328" t="s">
        <v>5096</v>
      </c>
      <c r="B1328" t="s">
        <v>2495</v>
      </c>
      <c r="C1328" t="s">
        <v>2496</v>
      </c>
      <c r="D1328" t="s">
        <v>1423</v>
      </c>
      <c r="E1328" t="s">
        <v>893</v>
      </c>
      <c r="F1328" t="s">
        <v>188</v>
      </c>
      <c r="G1328" t="s">
        <v>580</v>
      </c>
      <c r="H1328" t="s">
        <v>214</v>
      </c>
      <c r="I1328" t="s">
        <v>29</v>
      </c>
      <c r="J1328" t="s">
        <v>162</v>
      </c>
      <c r="K1328" t="s">
        <v>89</v>
      </c>
      <c r="L1328" t="s">
        <v>400</v>
      </c>
      <c r="M1328" t="s">
        <v>2740</v>
      </c>
      <c r="N1328" t="s">
        <v>499</v>
      </c>
      <c r="O1328" t="s">
        <v>3471</v>
      </c>
      <c r="P1328" t="s">
        <v>1000</v>
      </c>
      <c r="Q1328" t="s">
        <v>310</v>
      </c>
      <c r="R1328" t="s">
        <v>5097</v>
      </c>
      <c r="S1328" t="s">
        <v>79</v>
      </c>
      <c r="T1328" t="s">
        <v>621</v>
      </c>
      <c r="U1328" t="s">
        <v>394</v>
      </c>
      <c r="V1328" t="s">
        <v>58</v>
      </c>
    </row>
    <row r="1329" spans="1:22" x14ac:dyDescent="0.3">
      <c r="A1329" t="s">
        <v>5098</v>
      </c>
      <c r="B1329" t="s">
        <v>1409</v>
      </c>
      <c r="C1329" t="s">
        <v>1410</v>
      </c>
      <c r="D1329" t="s">
        <v>2256</v>
      </c>
      <c r="E1329" t="s">
        <v>282</v>
      </c>
      <c r="F1329" t="s">
        <v>282</v>
      </c>
      <c r="G1329" t="s">
        <v>118</v>
      </c>
      <c r="H1329" t="s">
        <v>68</v>
      </c>
      <c r="I1329" t="s">
        <v>29</v>
      </c>
      <c r="J1329" t="s">
        <v>30</v>
      </c>
      <c r="K1329" t="s">
        <v>245</v>
      </c>
      <c r="L1329" t="s">
        <v>663</v>
      </c>
      <c r="M1329" t="s">
        <v>1937</v>
      </c>
      <c r="N1329" t="s">
        <v>179</v>
      </c>
      <c r="O1329" t="s">
        <v>1937</v>
      </c>
      <c r="P1329" t="s">
        <v>1909</v>
      </c>
      <c r="Q1329" t="s">
        <v>985</v>
      </c>
      <c r="R1329" t="s">
        <v>1001</v>
      </c>
      <c r="S1329" t="s">
        <v>79</v>
      </c>
      <c r="T1329" t="s">
        <v>140</v>
      </c>
      <c r="U1329" t="s">
        <v>385</v>
      </c>
      <c r="V1329" t="s">
        <v>79</v>
      </c>
    </row>
    <row r="1330" spans="1:22" x14ac:dyDescent="0.3">
      <c r="A1330" t="s">
        <v>5099</v>
      </c>
      <c r="B1330" t="s">
        <v>1675</v>
      </c>
      <c r="C1330" t="s">
        <v>1676</v>
      </c>
      <c r="D1330" t="s">
        <v>5100</v>
      </c>
      <c r="E1330" t="s">
        <v>730</v>
      </c>
      <c r="F1330" t="s">
        <v>26</v>
      </c>
      <c r="G1330" t="s">
        <v>48</v>
      </c>
      <c r="H1330" t="s">
        <v>104</v>
      </c>
      <c r="I1330" t="s">
        <v>29</v>
      </c>
      <c r="J1330" t="s">
        <v>162</v>
      </c>
      <c r="K1330" t="s">
        <v>200</v>
      </c>
      <c r="L1330" t="s">
        <v>731</v>
      </c>
      <c r="M1330" t="s">
        <v>2325</v>
      </c>
      <c r="N1330" t="s">
        <v>321</v>
      </c>
      <c r="O1330" t="s">
        <v>2258</v>
      </c>
      <c r="P1330" t="s">
        <v>1527</v>
      </c>
      <c r="Q1330" t="s">
        <v>489</v>
      </c>
      <c r="R1330" t="s">
        <v>5101</v>
      </c>
      <c r="S1330" t="s">
        <v>58</v>
      </c>
      <c r="T1330" t="s">
        <v>677</v>
      </c>
      <c r="U1330" t="s">
        <v>362</v>
      </c>
      <c r="V1330" t="s">
        <v>82</v>
      </c>
    </row>
    <row r="1331" spans="1:22" x14ac:dyDescent="0.3">
      <c r="A1331" t="s">
        <v>5102</v>
      </c>
      <c r="B1331" t="s">
        <v>5103</v>
      </c>
      <c r="C1331" t="s">
        <v>5104</v>
      </c>
      <c r="D1331" t="s">
        <v>266</v>
      </c>
      <c r="E1331" t="s">
        <v>730</v>
      </c>
      <c r="F1331" t="s">
        <v>26</v>
      </c>
      <c r="G1331" t="s">
        <v>580</v>
      </c>
      <c r="H1331" t="s">
        <v>88</v>
      </c>
      <c r="I1331" t="s">
        <v>69</v>
      </c>
      <c r="J1331" t="s">
        <v>70</v>
      </c>
      <c r="K1331" t="s">
        <v>50</v>
      </c>
      <c r="L1331" t="s">
        <v>902</v>
      </c>
      <c r="M1331" t="s">
        <v>2285</v>
      </c>
      <c r="N1331" t="s">
        <v>179</v>
      </c>
      <c r="O1331" t="s">
        <v>2285</v>
      </c>
      <c r="P1331" t="s">
        <v>152</v>
      </c>
      <c r="Q1331" t="s">
        <v>977</v>
      </c>
      <c r="R1331" t="s">
        <v>5105</v>
      </c>
      <c r="S1331" t="s">
        <v>126</v>
      </c>
      <c r="T1331" t="s">
        <v>782</v>
      </c>
      <c r="U1331" t="s">
        <v>407</v>
      </c>
      <c r="V1331" t="s">
        <v>79</v>
      </c>
    </row>
    <row r="1332" spans="1:22" x14ac:dyDescent="0.3">
      <c r="A1332" t="s">
        <v>5106</v>
      </c>
      <c r="B1332" t="s">
        <v>2130</v>
      </c>
      <c r="C1332" t="s">
        <v>2131</v>
      </c>
      <c r="D1332" t="s">
        <v>4584</v>
      </c>
      <c r="E1332" t="s">
        <v>672</v>
      </c>
      <c r="F1332" t="s">
        <v>244</v>
      </c>
      <c r="G1332" t="s">
        <v>48</v>
      </c>
      <c r="H1332" t="s">
        <v>104</v>
      </c>
      <c r="I1332" t="s">
        <v>69</v>
      </c>
      <c r="J1332" t="s">
        <v>70</v>
      </c>
      <c r="K1332" t="s">
        <v>50</v>
      </c>
      <c r="L1332" t="s">
        <v>201</v>
      </c>
      <c r="M1332" t="s">
        <v>2541</v>
      </c>
      <c r="N1332" t="s">
        <v>179</v>
      </c>
      <c r="O1332" t="s">
        <v>2541</v>
      </c>
      <c r="P1332" t="s">
        <v>1039</v>
      </c>
      <c r="Q1332" t="s">
        <v>645</v>
      </c>
      <c r="R1332" t="s">
        <v>5107</v>
      </c>
      <c r="S1332" t="s">
        <v>39</v>
      </c>
      <c r="T1332" t="s">
        <v>140</v>
      </c>
      <c r="U1332" t="s">
        <v>128</v>
      </c>
      <c r="V1332" t="s">
        <v>114</v>
      </c>
    </row>
    <row r="1333" spans="1:22" x14ac:dyDescent="0.3">
      <c r="A1333" t="s">
        <v>5108</v>
      </c>
      <c r="B1333" t="s">
        <v>2928</v>
      </c>
      <c r="C1333" t="s">
        <v>2929</v>
      </c>
      <c r="D1333" t="s">
        <v>3552</v>
      </c>
      <c r="E1333" t="s">
        <v>65</v>
      </c>
      <c r="F1333" t="s">
        <v>66</v>
      </c>
      <c r="G1333" t="s">
        <v>48</v>
      </c>
      <c r="H1333" t="s">
        <v>229</v>
      </c>
      <c r="I1333" t="s">
        <v>69</v>
      </c>
      <c r="J1333" t="s">
        <v>70</v>
      </c>
      <c r="K1333" t="s">
        <v>89</v>
      </c>
      <c r="L1333" t="s">
        <v>135</v>
      </c>
      <c r="M1333" t="s">
        <v>401</v>
      </c>
      <c r="N1333" t="s">
        <v>127</v>
      </c>
      <c r="O1333" t="s">
        <v>4268</v>
      </c>
      <c r="P1333" t="s">
        <v>879</v>
      </c>
      <c r="Q1333" t="s">
        <v>959</v>
      </c>
      <c r="R1333" t="s">
        <v>5109</v>
      </c>
      <c r="S1333" t="s">
        <v>79</v>
      </c>
      <c r="T1333" t="s">
        <v>168</v>
      </c>
      <c r="U1333" t="s">
        <v>288</v>
      </c>
      <c r="V1333" t="s">
        <v>114</v>
      </c>
    </row>
    <row r="1334" spans="1:22" x14ac:dyDescent="0.3">
      <c r="A1334" t="s">
        <v>5110</v>
      </c>
      <c r="B1334" t="s">
        <v>3825</v>
      </c>
      <c r="C1334" t="s">
        <v>3826</v>
      </c>
      <c r="D1334" t="s">
        <v>5111</v>
      </c>
      <c r="E1334" t="s">
        <v>378</v>
      </c>
      <c r="F1334" t="s">
        <v>282</v>
      </c>
      <c r="G1334" t="s">
        <v>27</v>
      </c>
      <c r="H1334" t="s">
        <v>214</v>
      </c>
      <c r="I1334" t="s">
        <v>29</v>
      </c>
      <c r="J1334" t="s">
        <v>30</v>
      </c>
      <c r="K1334" t="s">
        <v>89</v>
      </c>
      <c r="L1334" t="s">
        <v>269</v>
      </c>
      <c r="M1334" t="s">
        <v>2236</v>
      </c>
      <c r="N1334" t="s">
        <v>675</v>
      </c>
      <c r="O1334" t="s">
        <v>91</v>
      </c>
      <c r="P1334" t="s">
        <v>1672</v>
      </c>
      <c r="Q1334" t="s">
        <v>1569</v>
      </c>
      <c r="R1334" t="s">
        <v>5112</v>
      </c>
      <c r="S1334" t="s">
        <v>97</v>
      </c>
      <c r="T1334" t="s">
        <v>276</v>
      </c>
      <c r="U1334" t="s">
        <v>373</v>
      </c>
      <c r="V1334" t="s">
        <v>79</v>
      </c>
    </row>
    <row r="1335" spans="1:22" x14ac:dyDescent="0.3">
      <c r="A1335" t="s">
        <v>5113</v>
      </c>
      <c r="B1335" t="s">
        <v>2317</v>
      </c>
      <c r="C1335" t="s">
        <v>2318</v>
      </c>
      <c r="D1335" t="s">
        <v>5114</v>
      </c>
      <c r="E1335" t="s">
        <v>354</v>
      </c>
      <c r="F1335" t="s">
        <v>134</v>
      </c>
      <c r="G1335" t="s">
        <v>118</v>
      </c>
      <c r="H1335" t="s">
        <v>214</v>
      </c>
      <c r="I1335" t="s">
        <v>69</v>
      </c>
      <c r="J1335" t="s">
        <v>30</v>
      </c>
      <c r="K1335" t="s">
        <v>215</v>
      </c>
      <c r="L1335" t="s">
        <v>2171</v>
      </c>
      <c r="M1335" t="s">
        <v>1011</v>
      </c>
      <c r="N1335" t="s">
        <v>59</v>
      </c>
      <c r="O1335" t="s">
        <v>138</v>
      </c>
      <c r="P1335" t="s">
        <v>2528</v>
      </c>
      <c r="Q1335" t="s">
        <v>261</v>
      </c>
      <c r="R1335" t="s">
        <v>3257</v>
      </c>
      <c r="S1335" t="s">
        <v>97</v>
      </c>
      <c r="T1335" t="s">
        <v>170</v>
      </c>
      <c r="U1335" t="s">
        <v>472</v>
      </c>
      <c r="V1335" t="s">
        <v>82</v>
      </c>
    </row>
    <row r="1336" spans="1:22" x14ac:dyDescent="0.3">
      <c r="A1336" t="s">
        <v>5115</v>
      </c>
      <c r="B1336" t="s">
        <v>1318</v>
      </c>
      <c r="C1336" t="s">
        <v>1319</v>
      </c>
      <c r="D1336" t="s">
        <v>3176</v>
      </c>
      <c r="E1336" t="s">
        <v>65</v>
      </c>
      <c r="F1336" t="s">
        <v>66</v>
      </c>
      <c r="G1336" t="s">
        <v>147</v>
      </c>
      <c r="H1336" t="s">
        <v>49</v>
      </c>
      <c r="I1336" t="s">
        <v>69</v>
      </c>
      <c r="J1336" t="s">
        <v>30</v>
      </c>
      <c r="K1336" t="s">
        <v>71</v>
      </c>
      <c r="L1336" t="s">
        <v>177</v>
      </c>
      <c r="M1336" t="s">
        <v>3522</v>
      </c>
      <c r="N1336" t="s">
        <v>140</v>
      </c>
      <c r="O1336" t="s">
        <v>1745</v>
      </c>
      <c r="P1336" t="s">
        <v>1051</v>
      </c>
      <c r="Q1336" t="s">
        <v>336</v>
      </c>
      <c r="R1336" t="s">
        <v>5116</v>
      </c>
      <c r="S1336" t="s">
        <v>126</v>
      </c>
      <c r="T1336" t="s">
        <v>328</v>
      </c>
      <c r="U1336" t="s">
        <v>394</v>
      </c>
      <c r="V1336" t="s">
        <v>58</v>
      </c>
    </row>
    <row r="1337" spans="1:22" x14ac:dyDescent="0.3">
      <c r="A1337" t="s">
        <v>5117</v>
      </c>
      <c r="B1337" t="s">
        <v>3867</v>
      </c>
      <c r="C1337" t="s">
        <v>3868</v>
      </c>
      <c r="D1337" t="s">
        <v>5118</v>
      </c>
      <c r="E1337" t="s">
        <v>893</v>
      </c>
      <c r="F1337" t="s">
        <v>188</v>
      </c>
      <c r="G1337" t="s">
        <v>67</v>
      </c>
      <c r="H1337" t="s">
        <v>214</v>
      </c>
      <c r="I1337" t="s">
        <v>69</v>
      </c>
      <c r="J1337" t="s">
        <v>162</v>
      </c>
      <c r="K1337" t="s">
        <v>230</v>
      </c>
      <c r="L1337" t="s">
        <v>1295</v>
      </c>
      <c r="M1337" t="s">
        <v>5119</v>
      </c>
      <c r="N1337" t="s">
        <v>721</v>
      </c>
      <c r="O1337" t="s">
        <v>5120</v>
      </c>
      <c r="P1337" t="s">
        <v>3292</v>
      </c>
      <c r="Q1337" t="s">
        <v>948</v>
      </c>
      <c r="R1337" t="s">
        <v>5121</v>
      </c>
      <c r="S1337" t="s">
        <v>97</v>
      </c>
      <c r="T1337" t="s">
        <v>77</v>
      </c>
      <c r="U1337" t="s">
        <v>41</v>
      </c>
      <c r="V1337" t="s">
        <v>79</v>
      </c>
    </row>
    <row r="1338" spans="1:22" x14ac:dyDescent="0.3">
      <c r="A1338" t="s">
        <v>5122</v>
      </c>
      <c r="B1338" t="s">
        <v>364</v>
      </c>
      <c r="C1338" t="s">
        <v>365</v>
      </c>
      <c r="D1338" t="s">
        <v>3701</v>
      </c>
      <c r="E1338" t="s">
        <v>65</v>
      </c>
      <c r="F1338" t="s">
        <v>66</v>
      </c>
      <c r="G1338" t="s">
        <v>48</v>
      </c>
      <c r="H1338" t="s">
        <v>268</v>
      </c>
      <c r="I1338" t="s">
        <v>29</v>
      </c>
      <c r="J1338" t="s">
        <v>30</v>
      </c>
      <c r="K1338" t="s">
        <v>71</v>
      </c>
      <c r="M1338" t="s">
        <v>52</v>
      </c>
      <c r="N1338" t="s">
        <v>179</v>
      </c>
      <c r="O1338" t="s">
        <v>52</v>
      </c>
      <c r="P1338" t="s">
        <v>335</v>
      </c>
      <c r="Q1338" t="s">
        <v>237</v>
      </c>
      <c r="R1338" t="s">
        <v>258</v>
      </c>
      <c r="S1338" t="s">
        <v>97</v>
      </c>
      <c r="T1338" t="s">
        <v>621</v>
      </c>
      <c r="U1338" t="s">
        <v>41</v>
      </c>
      <c r="V1338" t="s">
        <v>114</v>
      </c>
    </row>
    <row r="1339" spans="1:22" x14ac:dyDescent="0.3">
      <c r="A1339" t="s">
        <v>5123</v>
      </c>
      <c r="B1339" t="s">
        <v>2645</v>
      </c>
      <c r="C1339" t="s">
        <v>2646</v>
      </c>
      <c r="D1339" t="s">
        <v>4044</v>
      </c>
      <c r="E1339" t="s">
        <v>244</v>
      </c>
      <c r="F1339" t="s">
        <v>244</v>
      </c>
      <c r="G1339" t="s">
        <v>67</v>
      </c>
      <c r="H1339" t="s">
        <v>229</v>
      </c>
      <c r="I1339" t="s">
        <v>29</v>
      </c>
      <c r="J1339" t="s">
        <v>30</v>
      </c>
      <c r="K1339" t="s">
        <v>230</v>
      </c>
      <c r="L1339" t="s">
        <v>51</v>
      </c>
      <c r="M1339" t="s">
        <v>2378</v>
      </c>
      <c r="N1339" t="s">
        <v>142</v>
      </c>
      <c r="O1339" t="s">
        <v>2086</v>
      </c>
      <c r="P1339" t="s">
        <v>356</v>
      </c>
      <c r="Q1339" t="s">
        <v>3012</v>
      </c>
      <c r="R1339" t="s">
        <v>5124</v>
      </c>
      <c r="S1339" t="s">
        <v>97</v>
      </c>
      <c r="T1339" t="s">
        <v>137</v>
      </c>
      <c r="U1339" t="s">
        <v>472</v>
      </c>
      <c r="V1339" t="s">
        <v>58</v>
      </c>
    </row>
    <row r="1340" spans="1:22" x14ac:dyDescent="0.3">
      <c r="A1340" t="s">
        <v>5125</v>
      </c>
      <c r="B1340" t="s">
        <v>4308</v>
      </c>
      <c r="C1340" t="s">
        <v>4309</v>
      </c>
      <c r="D1340" t="s">
        <v>2607</v>
      </c>
      <c r="E1340" t="s">
        <v>160</v>
      </c>
      <c r="F1340" t="s">
        <v>161</v>
      </c>
      <c r="G1340" t="s">
        <v>213</v>
      </c>
      <c r="H1340" t="s">
        <v>229</v>
      </c>
      <c r="I1340" t="s">
        <v>69</v>
      </c>
      <c r="J1340" t="s">
        <v>257</v>
      </c>
      <c r="K1340" t="s">
        <v>71</v>
      </c>
      <c r="L1340" t="s">
        <v>163</v>
      </c>
      <c r="M1340" t="s">
        <v>205</v>
      </c>
      <c r="N1340" t="s">
        <v>782</v>
      </c>
      <c r="O1340" t="s">
        <v>516</v>
      </c>
      <c r="P1340" t="s">
        <v>2932</v>
      </c>
      <c r="Q1340" t="s">
        <v>77</v>
      </c>
      <c r="R1340" t="s">
        <v>5126</v>
      </c>
      <c r="S1340" t="s">
        <v>182</v>
      </c>
      <c r="T1340" t="s">
        <v>648</v>
      </c>
      <c r="U1340" t="s">
        <v>60</v>
      </c>
      <c r="V1340" t="s">
        <v>82</v>
      </c>
    </row>
    <row r="1341" spans="1:22" x14ac:dyDescent="0.3">
      <c r="A1341" t="s">
        <v>5127</v>
      </c>
      <c r="B1341" t="s">
        <v>660</v>
      </c>
      <c r="C1341" t="s">
        <v>661</v>
      </c>
      <c r="D1341" t="s">
        <v>5128</v>
      </c>
      <c r="E1341" t="s">
        <v>161</v>
      </c>
      <c r="F1341" t="s">
        <v>161</v>
      </c>
      <c r="G1341" t="s">
        <v>213</v>
      </c>
      <c r="H1341" t="s">
        <v>214</v>
      </c>
      <c r="I1341" t="s">
        <v>69</v>
      </c>
      <c r="J1341" t="s">
        <v>162</v>
      </c>
      <c r="K1341" t="s">
        <v>71</v>
      </c>
      <c r="L1341" t="s">
        <v>719</v>
      </c>
      <c r="M1341" t="s">
        <v>149</v>
      </c>
      <c r="N1341" t="s">
        <v>543</v>
      </c>
      <c r="O1341" t="s">
        <v>1634</v>
      </c>
      <c r="P1341" t="s">
        <v>774</v>
      </c>
      <c r="Q1341" t="s">
        <v>2528</v>
      </c>
      <c r="R1341" t="s">
        <v>3764</v>
      </c>
      <c r="S1341" t="s">
        <v>58</v>
      </c>
      <c r="T1341" t="s">
        <v>710</v>
      </c>
      <c r="U1341" t="s">
        <v>238</v>
      </c>
      <c r="V1341" t="s">
        <v>42</v>
      </c>
    </row>
    <row r="1342" spans="1:22" x14ac:dyDescent="0.3">
      <c r="A1342" t="s">
        <v>5129</v>
      </c>
      <c r="B1342" t="s">
        <v>3295</v>
      </c>
      <c r="C1342" t="s">
        <v>3296</v>
      </c>
      <c r="D1342" t="s">
        <v>5130</v>
      </c>
      <c r="E1342" t="s">
        <v>47</v>
      </c>
      <c r="F1342" t="s">
        <v>26</v>
      </c>
      <c r="G1342" t="s">
        <v>67</v>
      </c>
      <c r="H1342" t="s">
        <v>104</v>
      </c>
      <c r="I1342" t="s">
        <v>69</v>
      </c>
      <c r="J1342" t="s">
        <v>30</v>
      </c>
      <c r="K1342" t="s">
        <v>230</v>
      </c>
      <c r="L1342" t="s">
        <v>258</v>
      </c>
      <c r="M1342" t="s">
        <v>2590</v>
      </c>
      <c r="N1342" t="s">
        <v>179</v>
      </c>
      <c r="O1342" t="s">
        <v>2590</v>
      </c>
      <c r="P1342" t="s">
        <v>805</v>
      </c>
      <c r="Q1342" t="s">
        <v>1413</v>
      </c>
      <c r="R1342" t="s">
        <v>5131</v>
      </c>
      <c r="S1342" t="s">
        <v>97</v>
      </c>
      <c r="T1342" t="s">
        <v>369</v>
      </c>
      <c r="U1342" t="s">
        <v>385</v>
      </c>
      <c r="V1342" t="s">
        <v>114</v>
      </c>
    </row>
    <row r="1343" spans="1:22" x14ac:dyDescent="0.3">
      <c r="A1343" t="s">
        <v>5132</v>
      </c>
      <c r="B1343" t="s">
        <v>2552</v>
      </c>
      <c r="C1343" t="s">
        <v>2553</v>
      </c>
      <c r="D1343" t="s">
        <v>1610</v>
      </c>
      <c r="E1343" t="s">
        <v>893</v>
      </c>
      <c r="F1343" t="s">
        <v>188</v>
      </c>
      <c r="G1343" t="s">
        <v>103</v>
      </c>
      <c r="H1343" t="s">
        <v>229</v>
      </c>
      <c r="I1343" t="s">
        <v>69</v>
      </c>
      <c r="J1343" t="s">
        <v>70</v>
      </c>
      <c r="K1343" t="s">
        <v>293</v>
      </c>
      <c r="L1343" t="s">
        <v>333</v>
      </c>
      <c r="M1343" t="s">
        <v>149</v>
      </c>
      <c r="N1343" t="s">
        <v>150</v>
      </c>
      <c r="O1343" t="s">
        <v>151</v>
      </c>
      <c r="P1343" t="s">
        <v>1011</v>
      </c>
      <c r="Q1343" t="s">
        <v>1177</v>
      </c>
      <c r="R1343" t="s">
        <v>3607</v>
      </c>
      <c r="S1343" t="s">
        <v>97</v>
      </c>
      <c r="T1343" t="s">
        <v>499</v>
      </c>
      <c r="U1343" t="s">
        <v>927</v>
      </c>
      <c r="V1343" t="s">
        <v>42</v>
      </c>
    </row>
    <row r="1344" spans="1:22" x14ac:dyDescent="0.3">
      <c r="A1344" t="s">
        <v>5133</v>
      </c>
      <c r="B1344" t="s">
        <v>1754</v>
      </c>
      <c r="C1344" t="s">
        <v>1755</v>
      </c>
      <c r="D1344" t="s">
        <v>1375</v>
      </c>
      <c r="E1344" t="s">
        <v>161</v>
      </c>
      <c r="F1344" t="s">
        <v>161</v>
      </c>
      <c r="G1344" t="s">
        <v>27</v>
      </c>
      <c r="H1344" t="s">
        <v>88</v>
      </c>
      <c r="I1344" t="s">
        <v>69</v>
      </c>
      <c r="J1344" t="s">
        <v>30</v>
      </c>
      <c r="K1344" t="s">
        <v>215</v>
      </c>
      <c r="L1344" t="s">
        <v>135</v>
      </c>
      <c r="M1344" t="s">
        <v>3456</v>
      </c>
      <c r="N1344" t="s">
        <v>543</v>
      </c>
      <c r="O1344" t="s">
        <v>657</v>
      </c>
      <c r="P1344" t="s">
        <v>1522</v>
      </c>
      <c r="Q1344" t="s">
        <v>610</v>
      </c>
      <c r="R1344" t="s">
        <v>5134</v>
      </c>
      <c r="S1344" t="s">
        <v>58</v>
      </c>
      <c r="T1344" t="s">
        <v>321</v>
      </c>
      <c r="U1344" t="s">
        <v>508</v>
      </c>
      <c r="V1344" t="s">
        <v>58</v>
      </c>
    </row>
    <row r="1345" spans="1:22" x14ac:dyDescent="0.3">
      <c r="A1345" t="s">
        <v>5135</v>
      </c>
      <c r="B1345" t="s">
        <v>1530</v>
      </c>
      <c r="C1345" t="s">
        <v>1531</v>
      </c>
      <c r="D1345" t="s">
        <v>5136</v>
      </c>
      <c r="E1345" t="s">
        <v>133</v>
      </c>
      <c r="F1345" t="s">
        <v>134</v>
      </c>
      <c r="G1345" t="s">
        <v>103</v>
      </c>
      <c r="H1345" t="s">
        <v>214</v>
      </c>
      <c r="I1345" t="s">
        <v>29</v>
      </c>
      <c r="J1345" t="s">
        <v>70</v>
      </c>
      <c r="K1345" t="s">
        <v>71</v>
      </c>
      <c r="M1345" t="s">
        <v>391</v>
      </c>
      <c r="N1345" t="s">
        <v>328</v>
      </c>
      <c r="O1345" t="s">
        <v>3165</v>
      </c>
      <c r="P1345" t="s">
        <v>553</v>
      </c>
      <c r="Q1345" t="s">
        <v>1116</v>
      </c>
      <c r="R1345" t="s">
        <v>2300</v>
      </c>
      <c r="S1345" t="s">
        <v>79</v>
      </c>
      <c r="T1345" t="s">
        <v>695</v>
      </c>
      <c r="U1345" t="s">
        <v>472</v>
      </c>
      <c r="V1345" t="s">
        <v>42</v>
      </c>
    </row>
    <row r="1346" spans="1:22" x14ac:dyDescent="0.3">
      <c r="A1346" t="s">
        <v>5137</v>
      </c>
      <c r="B1346" t="s">
        <v>2585</v>
      </c>
      <c r="C1346" t="s">
        <v>2586</v>
      </c>
      <c r="D1346" t="s">
        <v>2027</v>
      </c>
      <c r="E1346" t="s">
        <v>267</v>
      </c>
      <c r="F1346" t="s">
        <v>66</v>
      </c>
      <c r="G1346" t="s">
        <v>27</v>
      </c>
      <c r="H1346" t="s">
        <v>68</v>
      </c>
      <c r="I1346" t="s">
        <v>69</v>
      </c>
      <c r="J1346" t="s">
        <v>70</v>
      </c>
      <c r="K1346" t="s">
        <v>89</v>
      </c>
      <c r="L1346" t="s">
        <v>719</v>
      </c>
      <c r="M1346" t="s">
        <v>4481</v>
      </c>
      <c r="N1346" t="s">
        <v>179</v>
      </c>
      <c r="O1346" t="s">
        <v>4481</v>
      </c>
      <c r="P1346" t="s">
        <v>1163</v>
      </c>
      <c r="Q1346" t="s">
        <v>1000</v>
      </c>
      <c r="R1346" t="s">
        <v>5138</v>
      </c>
      <c r="S1346" t="s">
        <v>182</v>
      </c>
      <c r="T1346" t="s">
        <v>170</v>
      </c>
      <c r="U1346" t="s">
        <v>362</v>
      </c>
      <c r="V1346" t="s">
        <v>82</v>
      </c>
    </row>
    <row r="1347" spans="1:22" x14ac:dyDescent="0.3">
      <c r="A1347" t="s">
        <v>5139</v>
      </c>
      <c r="B1347" t="s">
        <v>3236</v>
      </c>
      <c r="C1347" t="s">
        <v>3237</v>
      </c>
      <c r="D1347" t="s">
        <v>4061</v>
      </c>
      <c r="E1347" t="s">
        <v>672</v>
      </c>
      <c r="F1347" t="s">
        <v>244</v>
      </c>
      <c r="G1347" t="s">
        <v>580</v>
      </c>
      <c r="H1347" t="s">
        <v>104</v>
      </c>
      <c r="I1347" t="s">
        <v>29</v>
      </c>
      <c r="J1347" t="s">
        <v>30</v>
      </c>
      <c r="K1347" t="s">
        <v>31</v>
      </c>
      <c r="L1347" t="s">
        <v>177</v>
      </c>
      <c r="M1347" t="s">
        <v>1924</v>
      </c>
      <c r="N1347" t="s">
        <v>440</v>
      </c>
      <c r="O1347" t="s">
        <v>635</v>
      </c>
      <c r="P1347" t="s">
        <v>2160</v>
      </c>
      <c r="Q1347" t="s">
        <v>2765</v>
      </c>
      <c r="R1347" t="s">
        <v>2944</v>
      </c>
      <c r="S1347" t="s">
        <v>182</v>
      </c>
      <c r="T1347" t="s">
        <v>648</v>
      </c>
      <c r="U1347" t="s">
        <v>394</v>
      </c>
      <c r="V1347" t="s">
        <v>42</v>
      </c>
    </row>
    <row r="1348" spans="1:22" x14ac:dyDescent="0.3">
      <c r="A1348" t="s">
        <v>5140</v>
      </c>
      <c r="B1348" t="s">
        <v>1125</v>
      </c>
      <c r="C1348" t="s">
        <v>1126</v>
      </c>
      <c r="D1348" t="s">
        <v>5141</v>
      </c>
      <c r="E1348" t="s">
        <v>188</v>
      </c>
      <c r="F1348" t="s">
        <v>188</v>
      </c>
      <c r="G1348" t="s">
        <v>580</v>
      </c>
      <c r="H1348" t="s">
        <v>104</v>
      </c>
      <c r="I1348" t="s">
        <v>69</v>
      </c>
      <c r="J1348" t="s">
        <v>30</v>
      </c>
      <c r="K1348" t="s">
        <v>89</v>
      </c>
      <c r="L1348" t="s">
        <v>1394</v>
      </c>
      <c r="M1348" t="s">
        <v>382</v>
      </c>
      <c r="N1348" t="s">
        <v>179</v>
      </c>
      <c r="O1348" t="s">
        <v>382</v>
      </c>
      <c r="P1348" t="s">
        <v>1568</v>
      </c>
      <c r="Q1348" t="s">
        <v>529</v>
      </c>
      <c r="R1348" t="s">
        <v>5142</v>
      </c>
      <c r="S1348" t="s">
        <v>58</v>
      </c>
      <c r="T1348" t="s">
        <v>621</v>
      </c>
      <c r="U1348" t="s">
        <v>362</v>
      </c>
      <c r="V1348" t="s">
        <v>114</v>
      </c>
    </row>
    <row r="1349" spans="1:22" x14ac:dyDescent="0.3">
      <c r="A1349" t="s">
        <v>5143</v>
      </c>
      <c r="B1349" t="s">
        <v>2157</v>
      </c>
      <c r="C1349" t="s">
        <v>2158</v>
      </c>
      <c r="D1349" t="s">
        <v>803</v>
      </c>
      <c r="E1349" t="s">
        <v>87</v>
      </c>
      <c r="F1349" t="s">
        <v>26</v>
      </c>
      <c r="G1349" t="s">
        <v>147</v>
      </c>
      <c r="H1349" t="s">
        <v>28</v>
      </c>
      <c r="I1349" t="s">
        <v>69</v>
      </c>
      <c r="J1349" t="s">
        <v>30</v>
      </c>
      <c r="K1349" t="s">
        <v>31</v>
      </c>
      <c r="L1349" t="s">
        <v>682</v>
      </c>
      <c r="M1349" t="s">
        <v>2440</v>
      </c>
      <c r="N1349" t="s">
        <v>179</v>
      </c>
      <c r="O1349" t="s">
        <v>2440</v>
      </c>
      <c r="P1349" t="s">
        <v>371</v>
      </c>
      <c r="Q1349" t="s">
        <v>233</v>
      </c>
      <c r="R1349" t="s">
        <v>5144</v>
      </c>
      <c r="S1349" t="s">
        <v>39</v>
      </c>
      <c r="T1349" t="s">
        <v>308</v>
      </c>
      <c r="U1349" t="s">
        <v>373</v>
      </c>
      <c r="V1349" t="s">
        <v>79</v>
      </c>
    </row>
    <row r="1350" spans="1:22" x14ac:dyDescent="0.3">
      <c r="A1350" t="s">
        <v>5145</v>
      </c>
      <c r="B1350" t="s">
        <v>290</v>
      </c>
      <c r="C1350" t="s">
        <v>291</v>
      </c>
      <c r="D1350" t="s">
        <v>4976</v>
      </c>
      <c r="E1350" t="s">
        <v>417</v>
      </c>
      <c r="F1350" t="s">
        <v>134</v>
      </c>
      <c r="G1350" t="s">
        <v>48</v>
      </c>
      <c r="H1350" t="s">
        <v>268</v>
      </c>
      <c r="I1350" t="s">
        <v>69</v>
      </c>
      <c r="J1350" t="s">
        <v>257</v>
      </c>
      <c r="K1350" t="s">
        <v>245</v>
      </c>
      <c r="L1350" t="s">
        <v>135</v>
      </c>
      <c r="M1350" t="s">
        <v>3541</v>
      </c>
      <c r="N1350" t="s">
        <v>1230</v>
      </c>
      <c r="O1350" t="s">
        <v>379</v>
      </c>
      <c r="P1350" t="s">
        <v>804</v>
      </c>
      <c r="Q1350" t="s">
        <v>645</v>
      </c>
      <c r="R1350" t="s">
        <v>5146</v>
      </c>
      <c r="S1350" t="s">
        <v>58</v>
      </c>
      <c r="T1350" t="s">
        <v>95</v>
      </c>
      <c r="U1350" t="s">
        <v>362</v>
      </c>
      <c r="V1350" t="s">
        <v>114</v>
      </c>
    </row>
    <row r="1351" spans="1:22" x14ac:dyDescent="0.3">
      <c r="A1351" t="s">
        <v>5147</v>
      </c>
      <c r="B1351" t="s">
        <v>224</v>
      </c>
      <c r="C1351" t="s">
        <v>225</v>
      </c>
      <c r="D1351" t="s">
        <v>3050</v>
      </c>
      <c r="E1351" t="s">
        <v>438</v>
      </c>
      <c r="F1351" t="s">
        <v>188</v>
      </c>
      <c r="G1351" t="s">
        <v>67</v>
      </c>
      <c r="I1351" t="s">
        <v>69</v>
      </c>
      <c r="J1351" t="s">
        <v>30</v>
      </c>
      <c r="K1351" t="s">
        <v>50</v>
      </c>
      <c r="L1351" t="s">
        <v>766</v>
      </c>
      <c r="M1351" t="s">
        <v>948</v>
      </c>
      <c r="N1351" t="s">
        <v>677</v>
      </c>
      <c r="O1351" t="s">
        <v>1202</v>
      </c>
      <c r="P1351" t="s">
        <v>2997</v>
      </c>
      <c r="Q1351" t="s">
        <v>77</v>
      </c>
      <c r="R1351" t="s">
        <v>258</v>
      </c>
      <c r="S1351" t="s">
        <v>126</v>
      </c>
      <c r="T1351" t="s">
        <v>529</v>
      </c>
      <c r="U1351" t="s">
        <v>238</v>
      </c>
      <c r="V1351" t="s">
        <v>82</v>
      </c>
    </row>
    <row r="1352" spans="1:22" x14ac:dyDescent="0.3">
      <c r="A1352" t="s">
        <v>5148</v>
      </c>
      <c r="B1352" t="s">
        <v>1754</v>
      </c>
      <c r="C1352" t="s">
        <v>1755</v>
      </c>
      <c r="D1352" t="s">
        <v>4949</v>
      </c>
      <c r="E1352" t="s">
        <v>66</v>
      </c>
      <c r="F1352" t="s">
        <v>66</v>
      </c>
      <c r="G1352" t="s">
        <v>580</v>
      </c>
      <c r="H1352" t="s">
        <v>88</v>
      </c>
      <c r="I1352" t="s">
        <v>69</v>
      </c>
      <c r="J1352" t="s">
        <v>257</v>
      </c>
      <c r="K1352" t="s">
        <v>89</v>
      </c>
      <c r="L1352" t="s">
        <v>561</v>
      </c>
      <c r="M1352" t="s">
        <v>2258</v>
      </c>
      <c r="N1352" t="s">
        <v>440</v>
      </c>
      <c r="O1352" t="s">
        <v>2083</v>
      </c>
      <c r="P1352" t="s">
        <v>358</v>
      </c>
      <c r="Q1352" t="s">
        <v>986</v>
      </c>
      <c r="R1352" t="s">
        <v>2498</v>
      </c>
      <c r="S1352" t="s">
        <v>126</v>
      </c>
      <c r="T1352" t="s">
        <v>448</v>
      </c>
      <c r="U1352" t="s">
        <v>407</v>
      </c>
      <c r="V1352" t="s">
        <v>58</v>
      </c>
    </row>
    <row r="1353" spans="1:22" x14ac:dyDescent="0.3">
      <c r="A1353" t="s">
        <v>5149</v>
      </c>
      <c r="B1353" t="s">
        <v>2514</v>
      </c>
      <c r="C1353" t="s">
        <v>2515</v>
      </c>
      <c r="D1353" t="s">
        <v>2373</v>
      </c>
      <c r="E1353" t="s">
        <v>780</v>
      </c>
      <c r="F1353" t="s">
        <v>282</v>
      </c>
      <c r="G1353" t="s">
        <v>67</v>
      </c>
      <c r="H1353" t="s">
        <v>104</v>
      </c>
      <c r="I1353" t="s">
        <v>69</v>
      </c>
      <c r="J1353" t="s">
        <v>30</v>
      </c>
      <c r="K1353" t="s">
        <v>71</v>
      </c>
      <c r="L1353" t="s">
        <v>691</v>
      </c>
      <c r="M1353" t="s">
        <v>1004</v>
      </c>
      <c r="N1353" t="s">
        <v>165</v>
      </c>
      <c r="O1353" t="s">
        <v>555</v>
      </c>
      <c r="P1353" t="s">
        <v>1260</v>
      </c>
      <c r="Q1353" t="s">
        <v>610</v>
      </c>
      <c r="R1353" t="s">
        <v>5150</v>
      </c>
      <c r="S1353" t="s">
        <v>58</v>
      </c>
      <c r="T1353" t="s">
        <v>321</v>
      </c>
      <c r="U1353" t="s">
        <v>407</v>
      </c>
      <c r="V1353" t="s">
        <v>82</v>
      </c>
    </row>
    <row r="1354" spans="1:22" x14ac:dyDescent="0.3">
      <c r="A1354" t="s">
        <v>5151</v>
      </c>
      <c r="B1354" t="s">
        <v>2657</v>
      </c>
      <c r="C1354" t="s">
        <v>2658</v>
      </c>
      <c r="D1354" t="s">
        <v>3107</v>
      </c>
      <c r="E1354" t="s">
        <v>634</v>
      </c>
      <c r="F1354" t="s">
        <v>228</v>
      </c>
      <c r="G1354" t="s">
        <v>118</v>
      </c>
      <c r="H1354" t="s">
        <v>214</v>
      </c>
      <c r="I1354" t="s">
        <v>29</v>
      </c>
      <c r="J1354" t="s">
        <v>30</v>
      </c>
      <c r="K1354" t="s">
        <v>31</v>
      </c>
      <c r="L1354" t="s">
        <v>333</v>
      </c>
      <c r="M1354" t="s">
        <v>4740</v>
      </c>
      <c r="N1354" t="s">
        <v>392</v>
      </c>
      <c r="O1354" t="s">
        <v>1996</v>
      </c>
      <c r="P1354" t="s">
        <v>1322</v>
      </c>
      <c r="Q1354" t="s">
        <v>3471</v>
      </c>
      <c r="R1354" t="s">
        <v>5152</v>
      </c>
      <c r="S1354" t="s">
        <v>39</v>
      </c>
      <c r="T1354" t="s">
        <v>529</v>
      </c>
      <c r="U1354" t="s">
        <v>385</v>
      </c>
      <c r="V1354" t="s">
        <v>82</v>
      </c>
    </row>
    <row r="1355" spans="1:22" x14ac:dyDescent="0.3">
      <c r="A1355" t="s">
        <v>5153</v>
      </c>
      <c r="B1355" t="s">
        <v>1881</v>
      </c>
      <c r="C1355" t="s">
        <v>1882</v>
      </c>
      <c r="D1355" t="s">
        <v>4203</v>
      </c>
      <c r="E1355" t="s">
        <v>133</v>
      </c>
      <c r="F1355" t="s">
        <v>134</v>
      </c>
      <c r="G1355" t="s">
        <v>48</v>
      </c>
      <c r="H1355" t="s">
        <v>68</v>
      </c>
      <c r="I1355" t="s">
        <v>69</v>
      </c>
      <c r="J1355" t="s">
        <v>30</v>
      </c>
      <c r="K1355" t="s">
        <v>71</v>
      </c>
      <c r="L1355" t="s">
        <v>653</v>
      </c>
      <c r="M1355" t="s">
        <v>3007</v>
      </c>
      <c r="N1355" t="s">
        <v>179</v>
      </c>
      <c r="O1355" t="s">
        <v>3007</v>
      </c>
      <c r="P1355" t="s">
        <v>1383</v>
      </c>
      <c r="Q1355" t="s">
        <v>286</v>
      </c>
      <c r="R1355" t="s">
        <v>5154</v>
      </c>
      <c r="S1355" t="s">
        <v>79</v>
      </c>
      <c r="T1355" t="s">
        <v>170</v>
      </c>
      <c r="U1355" t="s">
        <v>98</v>
      </c>
      <c r="V1355" t="s">
        <v>58</v>
      </c>
    </row>
    <row r="1356" spans="1:22" x14ac:dyDescent="0.3">
      <c r="A1356" t="s">
        <v>5155</v>
      </c>
      <c r="B1356" t="s">
        <v>1904</v>
      </c>
      <c r="C1356" t="s">
        <v>1905</v>
      </c>
      <c r="D1356" t="s">
        <v>2142</v>
      </c>
      <c r="E1356" t="s">
        <v>1321</v>
      </c>
      <c r="F1356" t="s">
        <v>228</v>
      </c>
      <c r="G1356" t="s">
        <v>67</v>
      </c>
      <c r="H1356" t="s">
        <v>49</v>
      </c>
      <c r="I1356" t="s">
        <v>29</v>
      </c>
      <c r="J1356" t="s">
        <v>70</v>
      </c>
      <c r="K1356" t="s">
        <v>245</v>
      </c>
      <c r="L1356" t="s">
        <v>766</v>
      </c>
      <c r="M1356" t="s">
        <v>842</v>
      </c>
      <c r="N1356" t="s">
        <v>37</v>
      </c>
      <c r="O1356" t="s">
        <v>806</v>
      </c>
      <c r="P1356" t="s">
        <v>1434</v>
      </c>
      <c r="Q1356" t="s">
        <v>518</v>
      </c>
      <c r="R1356" t="s">
        <v>1983</v>
      </c>
      <c r="S1356" t="s">
        <v>126</v>
      </c>
      <c r="T1356" t="s">
        <v>74</v>
      </c>
      <c r="U1356" t="s">
        <v>60</v>
      </c>
      <c r="V1356" t="s">
        <v>79</v>
      </c>
    </row>
    <row r="1357" spans="1:22" x14ac:dyDescent="0.3">
      <c r="A1357" t="s">
        <v>5156</v>
      </c>
      <c r="B1357" t="s">
        <v>414</v>
      </c>
      <c r="C1357" t="s">
        <v>415</v>
      </c>
      <c r="D1357" t="s">
        <v>2574</v>
      </c>
      <c r="E1357" t="s">
        <v>65</v>
      </c>
      <c r="F1357" t="s">
        <v>66</v>
      </c>
      <c r="G1357" t="s">
        <v>118</v>
      </c>
      <c r="H1357" t="s">
        <v>214</v>
      </c>
      <c r="I1357" t="s">
        <v>69</v>
      </c>
      <c r="J1357" t="s">
        <v>30</v>
      </c>
      <c r="K1357" t="s">
        <v>230</v>
      </c>
      <c r="L1357" t="s">
        <v>902</v>
      </c>
      <c r="M1357" t="s">
        <v>1128</v>
      </c>
      <c r="N1357" t="s">
        <v>276</v>
      </c>
      <c r="O1357" t="s">
        <v>1114</v>
      </c>
      <c r="P1357" t="s">
        <v>2527</v>
      </c>
      <c r="Q1357" t="s">
        <v>165</v>
      </c>
      <c r="R1357" t="s">
        <v>5157</v>
      </c>
      <c r="S1357" t="s">
        <v>126</v>
      </c>
      <c r="T1357" t="s">
        <v>461</v>
      </c>
      <c r="U1357" t="s">
        <v>537</v>
      </c>
      <c r="V1357" t="s">
        <v>79</v>
      </c>
    </row>
    <row r="1358" spans="1:22" x14ac:dyDescent="0.3">
      <c r="A1358" t="s">
        <v>5158</v>
      </c>
      <c r="B1358" t="s">
        <v>1797</v>
      </c>
      <c r="C1358" t="s">
        <v>1798</v>
      </c>
      <c r="D1358" t="s">
        <v>5159</v>
      </c>
      <c r="E1358" t="s">
        <v>161</v>
      </c>
      <c r="F1358" t="s">
        <v>161</v>
      </c>
      <c r="G1358" t="s">
        <v>147</v>
      </c>
      <c r="H1358" t="s">
        <v>28</v>
      </c>
      <c r="I1358" t="s">
        <v>69</v>
      </c>
      <c r="J1358" t="s">
        <v>70</v>
      </c>
      <c r="K1358" t="s">
        <v>293</v>
      </c>
      <c r="L1358" t="s">
        <v>983</v>
      </c>
      <c r="M1358" t="s">
        <v>3847</v>
      </c>
      <c r="N1358" t="s">
        <v>986</v>
      </c>
      <c r="O1358" t="s">
        <v>703</v>
      </c>
      <c r="P1358" t="s">
        <v>1523</v>
      </c>
      <c r="Q1358" t="s">
        <v>524</v>
      </c>
      <c r="R1358" t="s">
        <v>4299</v>
      </c>
      <c r="S1358" t="s">
        <v>126</v>
      </c>
      <c r="T1358" t="s">
        <v>695</v>
      </c>
      <c r="U1358" t="s">
        <v>423</v>
      </c>
      <c r="V1358" t="s">
        <v>114</v>
      </c>
    </row>
    <row r="1359" spans="1:22" x14ac:dyDescent="0.3">
      <c r="A1359" t="s">
        <v>5160</v>
      </c>
      <c r="B1359" t="s">
        <v>1333</v>
      </c>
      <c r="C1359" t="s">
        <v>1334</v>
      </c>
      <c r="D1359" t="s">
        <v>4580</v>
      </c>
      <c r="E1359" t="s">
        <v>282</v>
      </c>
      <c r="F1359" t="s">
        <v>282</v>
      </c>
      <c r="G1359" t="s">
        <v>103</v>
      </c>
      <c r="H1359" t="s">
        <v>268</v>
      </c>
      <c r="I1359" t="s">
        <v>69</v>
      </c>
      <c r="J1359" t="s">
        <v>70</v>
      </c>
      <c r="K1359" t="s">
        <v>293</v>
      </c>
      <c r="L1359" t="s">
        <v>148</v>
      </c>
      <c r="M1359" t="s">
        <v>2237</v>
      </c>
      <c r="N1359" t="s">
        <v>433</v>
      </c>
      <c r="O1359" t="s">
        <v>873</v>
      </c>
      <c r="P1359" t="s">
        <v>949</v>
      </c>
      <c r="Q1359" t="s">
        <v>1096</v>
      </c>
      <c r="R1359" t="s">
        <v>3884</v>
      </c>
      <c r="S1359" t="s">
        <v>126</v>
      </c>
      <c r="T1359" t="s">
        <v>543</v>
      </c>
      <c r="U1359" t="s">
        <v>155</v>
      </c>
      <c r="V1359" t="s">
        <v>82</v>
      </c>
    </row>
    <row r="1360" spans="1:22" x14ac:dyDescent="0.3">
      <c r="A1360" t="s">
        <v>5161</v>
      </c>
      <c r="B1360" t="s">
        <v>5162</v>
      </c>
      <c r="C1360" t="s">
        <v>5163</v>
      </c>
      <c r="D1360" t="s">
        <v>4764</v>
      </c>
      <c r="E1360" t="s">
        <v>342</v>
      </c>
      <c r="F1360" t="s">
        <v>244</v>
      </c>
      <c r="G1360" t="s">
        <v>103</v>
      </c>
      <c r="H1360" t="s">
        <v>214</v>
      </c>
      <c r="I1360" t="s">
        <v>29</v>
      </c>
      <c r="J1360" t="s">
        <v>30</v>
      </c>
      <c r="K1360" t="s">
        <v>200</v>
      </c>
      <c r="L1360" t="s">
        <v>189</v>
      </c>
      <c r="M1360" t="s">
        <v>2261</v>
      </c>
      <c r="N1360" t="s">
        <v>518</v>
      </c>
      <c r="O1360" t="s">
        <v>1340</v>
      </c>
      <c r="P1360" t="s">
        <v>2285</v>
      </c>
      <c r="Q1360" t="s">
        <v>297</v>
      </c>
      <c r="R1360" t="s">
        <v>5164</v>
      </c>
      <c r="S1360" t="s">
        <v>126</v>
      </c>
      <c r="T1360" t="s">
        <v>710</v>
      </c>
      <c r="U1360" t="s">
        <v>98</v>
      </c>
      <c r="V1360" t="s">
        <v>42</v>
      </c>
    </row>
    <row r="1361" spans="1:22" x14ac:dyDescent="0.3">
      <c r="A1361" t="s">
        <v>5165</v>
      </c>
      <c r="B1361" t="s">
        <v>1638</v>
      </c>
      <c r="C1361" t="s">
        <v>1639</v>
      </c>
      <c r="D1361" t="s">
        <v>5166</v>
      </c>
      <c r="E1361" t="s">
        <v>730</v>
      </c>
      <c r="F1361" t="s">
        <v>26</v>
      </c>
      <c r="G1361" t="s">
        <v>147</v>
      </c>
      <c r="H1361" t="s">
        <v>28</v>
      </c>
      <c r="I1361" t="s">
        <v>29</v>
      </c>
      <c r="J1361" t="s">
        <v>70</v>
      </c>
      <c r="K1361" t="s">
        <v>215</v>
      </c>
      <c r="L1361" t="s">
        <v>691</v>
      </c>
      <c r="M1361" t="s">
        <v>1272</v>
      </c>
      <c r="N1361" t="s">
        <v>604</v>
      </c>
      <c r="O1361" t="s">
        <v>296</v>
      </c>
      <c r="P1361" t="s">
        <v>391</v>
      </c>
      <c r="Q1361" t="s">
        <v>54</v>
      </c>
      <c r="R1361" t="s">
        <v>5167</v>
      </c>
      <c r="S1361" t="s">
        <v>97</v>
      </c>
      <c r="T1361" t="s">
        <v>695</v>
      </c>
      <c r="U1361" t="s">
        <v>373</v>
      </c>
      <c r="V1361" t="s">
        <v>79</v>
      </c>
    </row>
    <row r="1362" spans="1:22" x14ac:dyDescent="0.3">
      <c r="A1362" t="s">
        <v>5168</v>
      </c>
      <c r="B1362" t="s">
        <v>2669</v>
      </c>
      <c r="C1362" t="s">
        <v>2670</v>
      </c>
      <c r="D1362" t="s">
        <v>266</v>
      </c>
      <c r="E1362" t="s">
        <v>134</v>
      </c>
      <c r="F1362" t="s">
        <v>134</v>
      </c>
      <c r="G1362" t="s">
        <v>118</v>
      </c>
      <c r="H1362" t="s">
        <v>268</v>
      </c>
      <c r="I1362" t="s">
        <v>29</v>
      </c>
      <c r="J1362" t="s">
        <v>30</v>
      </c>
      <c r="K1362" t="s">
        <v>200</v>
      </c>
      <c r="L1362" t="s">
        <v>766</v>
      </c>
      <c r="M1362" t="s">
        <v>1996</v>
      </c>
      <c r="N1362" t="s">
        <v>179</v>
      </c>
      <c r="O1362" t="s">
        <v>1996</v>
      </c>
      <c r="P1362" t="s">
        <v>2932</v>
      </c>
      <c r="Q1362" t="s">
        <v>1096</v>
      </c>
      <c r="R1362" t="s">
        <v>3125</v>
      </c>
      <c r="S1362" t="s">
        <v>182</v>
      </c>
      <c r="T1362" t="s">
        <v>573</v>
      </c>
      <c r="U1362" t="s">
        <v>113</v>
      </c>
      <c r="V1362" t="s">
        <v>82</v>
      </c>
    </row>
    <row r="1363" spans="1:22" x14ac:dyDescent="0.3">
      <c r="A1363" t="s">
        <v>5169</v>
      </c>
      <c r="B1363" t="s">
        <v>1311</v>
      </c>
      <c r="C1363" t="s">
        <v>1312</v>
      </c>
      <c r="D1363" t="s">
        <v>1393</v>
      </c>
      <c r="E1363" t="s">
        <v>378</v>
      </c>
      <c r="F1363" t="s">
        <v>282</v>
      </c>
      <c r="G1363" t="s">
        <v>27</v>
      </c>
      <c r="H1363" t="s">
        <v>229</v>
      </c>
      <c r="I1363" t="s">
        <v>29</v>
      </c>
      <c r="J1363" t="s">
        <v>30</v>
      </c>
      <c r="K1363" t="s">
        <v>245</v>
      </c>
      <c r="L1363" t="s">
        <v>1611</v>
      </c>
      <c r="M1363" t="s">
        <v>4481</v>
      </c>
      <c r="N1363" t="s">
        <v>276</v>
      </c>
      <c r="O1363" t="s">
        <v>5170</v>
      </c>
      <c r="P1363" t="s">
        <v>2716</v>
      </c>
      <c r="Q1363" t="s">
        <v>1177</v>
      </c>
      <c r="R1363" t="s">
        <v>3905</v>
      </c>
      <c r="S1363" t="s">
        <v>97</v>
      </c>
      <c r="T1363" t="s">
        <v>37</v>
      </c>
      <c r="U1363" t="s">
        <v>128</v>
      </c>
      <c r="V1363" t="s">
        <v>79</v>
      </c>
    </row>
    <row r="1364" spans="1:22" x14ac:dyDescent="0.3">
      <c r="A1364" t="s">
        <v>5171</v>
      </c>
      <c r="B1364" t="s">
        <v>3089</v>
      </c>
      <c r="C1364" t="s">
        <v>3090</v>
      </c>
      <c r="D1364" t="s">
        <v>803</v>
      </c>
      <c r="E1364" t="s">
        <v>228</v>
      </c>
      <c r="F1364" t="s">
        <v>228</v>
      </c>
      <c r="G1364" t="s">
        <v>580</v>
      </c>
      <c r="H1364" t="s">
        <v>49</v>
      </c>
      <c r="I1364" t="s">
        <v>29</v>
      </c>
      <c r="J1364" t="s">
        <v>30</v>
      </c>
      <c r="K1364" t="s">
        <v>230</v>
      </c>
      <c r="L1364" t="s">
        <v>362</v>
      </c>
      <c r="M1364" t="s">
        <v>879</v>
      </c>
      <c r="N1364" t="s">
        <v>518</v>
      </c>
      <c r="O1364" t="s">
        <v>752</v>
      </c>
      <c r="P1364" t="s">
        <v>1260</v>
      </c>
      <c r="Q1364" t="s">
        <v>77</v>
      </c>
      <c r="R1364" t="s">
        <v>5172</v>
      </c>
      <c r="S1364" t="s">
        <v>126</v>
      </c>
      <c r="T1364" t="s">
        <v>648</v>
      </c>
      <c r="U1364" t="s">
        <v>300</v>
      </c>
      <c r="V1364" t="s">
        <v>58</v>
      </c>
    </row>
    <row r="1365" spans="1:22" x14ac:dyDescent="0.3">
      <c r="A1365" t="s">
        <v>5173</v>
      </c>
      <c r="B1365" t="s">
        <v>1617</v>
      </c>
      <c r="C1365" t="s">
        <v>1618</v>
      </c>
      <c r="D1365" t="s">
        <v>377</v>
      </c>
      <c r="E1365" t="s">
        <v>66</v>
      </c>
      <c r="F1365" t="s">
        <v>66</v>
      </c>
      <c r="G1365" t="s">
        <v>27</v>
      </c>
      <c r="H1365" t="s">
        <v>229</v>
      </c>
      <c r="I1365" t="s">
        <v>69</v>
      </c>
      <c r="J1365" t="s">
        <v>70</v>
      </c>
      <c r="K1365" t="s">
        <v>230</v>
      </c>
      <c r="L1365" t="s">
        <v>119</v>
      </c>
      <c r="M1365" t="s">
        <v>975</v>
      </c>
      <c r="N1365" t="s">
        <v>170</v>
      </c>
      <c r="O1365" t="s">
        <v>976</v>
      </c>
      <c r="P1365" t="s">
        <v>1322</v>
      </c>
      <c r="Q1365" t="s">
        <v>206</v>
      </c>
      <c r="R1365" t="s">
        <v>5174</v>
      </c>
      <c r="S1365" t="s">
        <v>126</v>
      </c>
      <c r="T1365" t="s">
        <v>1162</v>
      </c>
      <c r="U1365" t="s">
        <v>300</v>
      </c>
      <c r="V1365" t="s">
        <v>79</v>
      </c>
    </row>
    <row r="1366" spans="1:22" x14ac:dyDescent="0.3">
      <c r="A1366" t="s">
        <v>5175</v>
      </c>
      <c r="B1366" t="s">
        <v>1804</v>
      </c>
      <c r="C1366" t="s">
        <v>1805</v>
      </c>
      <c r="D1366" t="s">
        <v>1901</v>
      </c>
      <c r="E1366" t="s">
        <v>417</v>
      </c>
      <c r="F1366" t="s">
        <v>134</v>
      </c>
      <c r="G1366" t="s">
        <v>118</v>
      </c>
      <c r="H1366" t="s">
        <v>49</v>
      </c>
      <c r="I1366" t="s">
        <v>29</v>
      </c>
      <c r="J1366" t="s">
        <v>30</v>
      </c>
      <c r="K1366" t="s">
        <v>245</v>
      </c>
      <c r="L1366" t="s">
        <v>2370</v>
      </c>
      <c r="M1366" t="s">
        <v>307</v>
      </c>
      <c r="N1366" t="s">
        <v>55</v>
      </c>
      <c r="O1366" t="s">
        <v>1335</v>
      </c>
      <c r="P1366" t="s">
        <v>1522</v>
      </c>
      <c r="Q1366" t="s">
        <v>535</v>
      </c>
      <c r="R1366" t="s">
        <v>5176</v>
      </c>
      <c r="S1366" t="s">
        <v>97</v>
      </c>
      <c r="T1366" t="s">
        <v>237</v>
      </c>
      <c r="U1366" t="s">
        <v>385</v>
      </c>
      <c r="V1366" t="s">
        <v>82</v>
      </c>
    </row>
    <row r="1367" spans="1:22" x14ac:dyDescent="0.3">
      <c r="A1367" t="s">
        <v>5177</v>
      </c>
      <c r="B1367" t="s">
        <v>1292</v>
      </c>
      <c r="C1367" t="s">
        <v>1293</v>
      </c>
      <c r="D1367" t="s">
        <v>3715</v>
      </c>
      <c r="E1367" t="s">
        <v>65</v>
      </c>
      <c r="F1367" t="s">
        <v>66</v>
      </c>
      <c r="G1367" t="s">
        <v>48</v>
      </c>
      <c r="H1367" t="s">
        <v>28</v>
      </c>
      <c r="I1367" t="s">
        <v>69</v>
      </c>
      <c r="J1367" t="s">
        <v>30</v>
      </c>
      <c r="K1367" t="s">
        <v>71</v>
      </c>
      <c r="L1367" t="s">
        <v>428</v>
      </c>
      <c r="M1367" t="s">
        <v>235</v>
      </c>
      <c r="N1367" t="s">
        <v>150</v>
      </c>
      <c r="O1367" t="s">
        <v>1096</v>
      </c>
      <c r="P1367" t="s">
        <v>565</v>
      </c>
      <c r="Q1367" t="s">
        <v>2629</v>
      </c>
      <c r="R1367" t="s">
        <v>5178</v>
      </c>
      <c r="S1367" t="s">
        <v>58</v>
      </c>
      <c r="T1367" t="s">
        <v>59</v>
      </c>
      <c r="U1367" t="s">
        <v>423</v>
      </c>
      <c r="V1367" t="s">
        <v>42</v>
      </c>
    </row>
    <row r="1368" spans="1:22" x14ac:dyDescent="0.3">
      <c r="A1368" t="s">
        <v>5179</v>
      </c>
      <c r="B1368" t="s">
        <v>3775</v>
      </c>
      <c r="C1368" t="s">
        <v>3776</v>
      </c>
      <c r="D1368" t="s">
        <v>3418</v>
      </c>
      <c r="E1368" t="s">
        <v>244</v>
      </c>
      <c r="F1368" t="s">
        <v>244</v>
      </c>
      <c r="G1368" t="s">
        <v>118</v>
      </c>
      <c r="H1368" t="s">
        <v>214</v>
      </c>
      <c r="I1368" t="s">
        <v>69</v>
      </c>
      <c r="J1368" t="s">
        <v>30</v>
      </c>
      <c r="K1368" t="s">
        <v>293</v>
      </c>
      <c r="L1368" t="s">
        <v>362</v>
      </c>
      <c r="M1368" t="s">
        <v>2449</v>
      </c>
      <c r="N1368" t="s">
        <v>179</v>
      </c>
      <c r="O1368" t="s">
        <v>2449</v>
      </c>
      <c r="P1368" t="s">
        <v>836</v>
      </c>
      <c r="Q1368" t="s">
        <v>406</v>
      </c>
      <c r="R1368" t="s">
        <v>2354</v>
      </c>
      <c r="S1368" t="s">
        <v>126</v>
      </c>
      <c r="T1368" t="s">
        <v>328</v>
      </c>
      <c r="U1368" t="s">
        <v>171</v>
      </c>
      <c r="V1368" t="s">
        <v>58</v>
      </c>
    </row>
    <row r="1369" spans="1:22" x14ac:dyDescent="0.3">
      <c r="A1369" t="s">
        <v>5180</v>
      </c>
      <c r="B1369" t="s">
        <v>2782</v>
      </c>
      <c r="C1369" t="s">
        <v>2783</v>
      </c>
      <c r="D1369" t="s">
        <v>1940</v>
      </c>
      <c r="E1369" t="s">
        <v>188</v>
      </c>
      <c r="F1369" t="s">
        <v>188</v>
      </c>
      <c r="G1369" t="s">
        <v>213</v>
      </c>
      <c r="H1369" t="s">
        <v>104</v>
      </c>
      <c r="I1369" t="s">
        <v>69</v>
      </c>
      <c r="J1369" t="s">
        <v>30</v>
      </c>
      <c r="K1369" t="s">
        <v>89</v>
      </c>
      <c r="L1369" t="s">
        <v>105</v>
      </c>
      <c r="M1369" t="s">
        <v>806</v>
      </c>
      <c r="N1369" t="s">
        <v>137</v>
      </c>
      <c r="O1369" t="s">
        <v>306</v>
      </c>
      <c r="P1369" t="s">
        <v>2037</v>
      </c>
      <c r="Q1369" t="s">
        <v>573</v>
      </c>
      <c r="R1369" t="s">
        <v>5181</v>
      </c>
      <c r="S1369" t="s">
        <v>182</v>
      </c>
      <c r="T1369" t="s">
        <v>369</v>
      </c>
      <c r="U1369" t="s">
        <v>238</v>
      </c>
      <c r="V1369" t="s">
        <v>79</v>
      </c>
    </row>
    <row r="1370" spans="1:22" x14ac:dyDescent="0.3">
      <c r="A1370" t="s">
        <v>5182</v>
      </c>
      <c r="B1370" t="s">
        <v>3903</v>
      </c>
      <c r="C1370" t="s">
        <v>3904</v>
      </c>
      <c r="D1370" t="s">
        <v>5183</v>
      </c>
      <c r="E1370" t="s">
        <v>354</v>
      </c>
      <c r="F1370" t="s">
        <v>134</v>
      </c>
      <c r="G1370" t="s">
        <v>580</v>
      </c>
      <c r="H1370" t="s">
        <v>68</v>
      </c>
      <c r="I1370" t="s">
        <v>69</v>
      </c>
      <c r="J1370" t="s">
        <v>70</v>
      </c>
      <c r="K1370" t="s">
        <v>200</v>
      </c>
      <c r="L1370" t="s">
        <v>2171</v>
      </c>
      <c r="M1370" t="s">
        <v>94</v>
      </c>
      <c r="N1370" t="s">
        <v>92</v>
      </c>
      <c r="O1370" t="s">
        <v>1302</v>
      </c>
      <c r="P1370" t="s">
        <v>646</v>
      </c>
      <c r="Q1370" t="s">
        <v>735</v>
      </c>
      <c r="R1370" t="s">
        <v>5184</v>
      </c>
      <c r="S1370" t="s">
        <v>97</v>
      </c>
      <c r="T1370" t="s">
        <v>567</v>
      </c>
      <c r="U1370" t="s">
        <v>171</v>
      </c>
      <c r="V1370" t="s">
        <v>82</v>
      </c>
    </row>
    <row r="1371" spans="1:22" x14ac:dyDescent="0.3">
      <c r="A1371" t="s">
        <v>5185</v>
      </c>
      <c r="B1371" t="s">
        <v>763</v>
      </c>
      <c r="C1371" t="s">
        <v>764</v>
      </c>
      <c r="D1371" t="s">
        <v>5128</v>
      </c>
      <c r="E1371" t="s">
        <v>730</v>
      </c>
      <c r="F1371" t="s">
        <v>26</v>
      </c>
      <c r="G1371" t="s">
        <v>147</v>
      </c>
      <c r="H1371" t="s">
        <v>28</v>
      </c>
      <c r="I1371" t="s">
        <v>29</v>
      </c>
      <c r="J1371" t="s">
        <v>30</v>
      </c>
      <c r="K1371" t="s">
        <v>215</v>
      </c>
      <c r="L1371" t="s">
        <v>1295</v>
      </c>
      <c r="M1371" t="s">
        <v>619</v>
      </c>
      <c r="N1371" t="s">
        <v>203</v>
      </c>
      <c r="O1371" t="s">
        <v>94</v>
      </c>
      <c r="P1371" t="s">
        <v>732</v>
      </c>
      <c r="Q1371" t="s">
        <v>5186</v>
      </c>
      <c r="R1371" t="s">
        <v>5187</v>
      </c>
      <c r="S1371" t="s">
        <v>182</v>
      </c>
      <c r="T1371" t="s">
        <v>165</v>
      </c>
      <c r="U1371" t="s">
        <v>98</v>
      </c>
      <c r="V1371" t="s">
        <v>82</v>
      </c>
    </row>
    <row r="1372" spans="1:22" x14ac:dyDescent="0.3">
      <c r="A1372" t="s">
        <v>5188</v>
      </c>
      <c r="B1372" t="s">
        <v>1153</v>
      </c>
      <c r="C1372" t="s">
        <v>1154</v>
      </c>
      <c r="D1372" t="s">
        <v>652</v>
      </c>
      <c r="E1372" t="s">
        <v>243</v>
      </c>
      <c r="F1372" t="s">
        <v>244</v>
      </c>
      <c r="G1372" t="s">
        <v>48</v>
      </c>
      <c r="H1372" t="s">
        <v>68</v>
      </c>
      <c r="I1372" t="s">
        <v>69</v>
      </c>
      <c r="J1372" t="s">
        <v>30</v>
      </c>
      <c r="K1372" t="s">
        <v>293</v>
      </c>
      <c r="L1372" t="s">
        <v>561</v>
      </c>
      <c r="M1372" t="s">
        <v>1553</v>
      </c>
      <c r="N1372" t="s">
        <v>782</v>
      </c>
      <c r="O1372" t="s">
        <v>3456</v>
      </c>
      <c r="P1372" t="s">
        <v>1396</v>
      </c>
      <c r="Q1372" t="s">
        <v>645</v>
      </c>
      <c r="R1372" t="s">
        <v>5189</v>
      </c>
      <c r="S1372" t="s">
        <v>126</v>
      </c>
      <c r="T1372" t="s">
        <v>499</v>
      </c>
      <c r="V1372" t="s">
        <v>114</v>
      </c>
    </row>
    <row r="1373" spans="1:22" x14ac:dyDescent="0.3">
      <c r="A1373" t="s">
        <v>5190</v>
      </c>
      <c r="B1373" t="s">
        <v>3204</v>
      </c>
      <c r="C1373" t="s">
        <v>3205</v>
      </c>
      <c r="D1373" t="s">
        <v>2412</v>
      </c>
      <c r="E1373" t="s">
        <v>438</v>
      </c>
      <c r="F1373" t="s">
        <v>188</v>
      </c>
      <c r="G1373" t="s">
        <v>213</v>
      </c>
      <c r="H1373" t="s">
        <v>49</v>
      </c>
      <c r="I1373" t="s">
        <v>69</v>
      </c>
      <c r="J1373" t="s">
        <v>70</v>
      </c>
      <c r="K1373" t="s">
        <v>31</v>
      </c>
      <c r="L1373" t="s">
        <v>428</v>
      </c>
      <c r="M1373" t="s">
        <v>3838</v>
      </c>
      <c r="N1373" t="s">
        <v>461</v>
      </c>
      <c r="O1373" t="s">
        <v>3966</v>
      </c>
      <c r="P1373" t="s">
        <v>2461</v>
      </c>
      <c r="Q1373" t="s">
        <v>1097</v>
      </c>
      <c r="R1373" t="s">
        <v>1518</v>
      </c>
      <c r="S1373" t="s">
        <v>79</v>
      </c>
      <c r="T1373" t="s">
        <v>392</v>
      </c>
      <c r="U1373" t="s">
        <v>867</v>
      </c>
      <c r="V1373" t="s">
        <v>114</v>
      </c>
    </row>
    <row r="1374" spans="1:22" x14ac:dyDescent="0.3">
      <c r="A1374" t="s">
        <v>5191</v>
      </c>
      <c r="B1374" t="s">
        <v>1195</v>
      </c>
      <c r="C1374" t="s">
        <v>1196</v>
      </c>
      <c r="D1374" t="s">
        <v>2249</v>
      </c>
      <c r="E1374" t="s">
        <v>66</v>
      </c>
      <c r="F1374" t="s">
        <v>66</v>
      </c>
      <c r="G1374" t="s">
        <v>213</v>
      </c>
      <c r="H1374" t="s">
        <v>229</v>
      </c>
      <c r="I1374" t="s">
        <v>29</v>
      </c>
      <c r="J1374" t="s">
        <v>30</v>
      </c>
      <c r="K1374" t="s">
        <v>293</v>
      </c>
      <c r="L1374" t="s">
        <v>1987</v>
      </c>
      <c r="M1374" t="s">
        <v>319</v>
      </c>
      <c r="N1374" t="s">
        <v>179</v>
      </c>
      <c r="O1374" t="s">
        <v>319</v>
      </c>
      <c r="P1374" t="s">
        <v>468</v>
      </c>
      <c r="Q1374" t="s">
        <v>361</v>
      </c>
      <c r="R1374" t="s">
        <v>5192</v>
      </c>
      <c r="S1374" t="s">
        <v>39</v>
      </c>
      <c r="T1374" t="s">
        <v>328</v>
      </c>
      <c r="U1374" t="s">
        <v>394</v>
      </c>
      <c r="V1374" t="s">
        <v>82</v>
      </c>
    </row>
    <row r="1375" spans="1:22" x14ac:dyDescent="0.3">
      <c r="A1375" t="s">
        <v>5193</v>
      </c>
      <c r="B1375" t="s">
        <v>4145</v>
      </c>
      <c r="C1375" t="s">
        <v>4146</v>
      </c>
      <c r="D1375" t="s">
        <v>4126</v>
      </c>
      <c r="E1375" t="s">
        <v>893</v>
      </c>
      <c r="F1375" t="s">
        <v>188</v>
      </c>
      <c r="G1375" t="s">
        <v>48</v>
      </c>
      <c r="H1375" t="s">
        <v>268</v>
      </c>
      <c r="I1375" t="s">
        <v>29</v>
      </c>
      <c r="J1375" t="s">
        <v>30</v>
      </c>
      <c r="K1375" t="s">
        <v>31</v>
      </c>
      <c r="L1375" t="s">
        <v>111</v>
      </c>
      <c r="M1375" t="s">
        <v>2527</v>
      </c>
      <c r="N1375" t="s">
        <v>179</v>
      </c>
      <c r="O1375" t="s">
        <v>2527</v>
      </c>
      <c r="P1375" t="s">
        <v>1694</v>
      </c>
      <c r="Q1375" t="s">
        <v>1000</v>
      </c>
      <c r="R1375" t="s">
        <v>4151</v>
      </c>
      <c r="S1375" t="s">
        <v>79</v>
      </c>
      <c r="T1375" t="s">
        <v>112</v>
      </c>
      <c r="U1375" t="s">
        <v>385</v>
      </c>
      <c r="V1375" t="s">
        <v>114</v>
      </c>
    </row>
    <row r="1376" spans="1:22" x14ac:dyDescent="0.3">
      <c r="A1376" t="s">
        <v>5194</v>
      </c>
      <c r="B1376" t="s">
        <v>2219</v>
      </c>
      <c r="C1376" t="s">
        <v>2220</v>
      </c>
      <c r="D1376" t="s">
        <v>1583</v>
      </c>
      <c r="E1376" t="s">
        <v>399</v>
      </c>
      <c r="F1376" t="s">
        <v>188</v>
      </c>
      <c r="G1376" t="s">
        <v>147</v>
      </c>
      <c r="H1376" t="s">
        <v>214</v>
      </c>
      <c r="I1376" t="s">
        <v>29</v>
      </c>
      <c r="J1376" t="s">
        <v>30</v>
      </c>
      <c r="K1376" t="s">
        <v>245</v>
      </c>
      <c r="L1376" t="s">
        <v>362</v>
      </c>
      <c r="M1376" t="s">
        <v>2968</v>
      </c>
      <c r="N1376" t="s">
        <v>180</v>
      </c>
      <c r="O1376" t="s">
        <v>3499</v>
      </c>
      <c r="P1376" t="s">
        <v>1982</v>
      </c>
      <c r="Q1376" t="s">
        <v>1909</v>
      </c>
      <c r="R1376" t="s">
        <v>5195</v>
      </c>
      <c r="S1376" t="s">
        <v>97</v>
      </c>
      <c r="T1376" t="s">
        <v>107</v>
      </c>
      <c r="U1376" t="s">
        <v>407</v>
      </c>
      <c r="V1376" t="s">
        <v>114</v>
      </c>
    </row>
    <row r="1377" spans="1:22" x14ac:dyDescent="0.3">
      <c r="A1377" t="s">
        <v>5196</v>
      </c>
      <c r="B1377" t="s">
        <v>2346</v>
      </c>
      <c r="C1377" t="s">
        <v>2347</v>
      </c>
      <c r="D1377" t="s">
        <v>2844</v>
      </c>
      <c r="E1377" t="s">
        <v>176</v>
      </c>
      <c r="F1377" t="s">
        <v>161</v>
      </c>
      <c r="G1377" t="s">
        <v>48</v>
      </c>
      <c r="H1377" t="s">
        <v>104</v>
      </c>
      <c r="I1377" t="s">
        <v>29</v>
      </c>
      <c r="J1377" t="s">
        <v>30</v>
      </c>
      <c r="K1377" t="s">
        <v>245</v>
      </c>
      <c r="L1377" t="s">
        <v>937</v>
      </c>
      <c r="M1377" t="s">
        <v>790</v>
      </c>
      <c r="N1377" t="s">
        <v>1116</v>
      </c>
      <c r="O1377" t="s">
        <v>4268</v>
      </c>
      <c r="P1377" t="s">
        <v>1651</v>
      </c>
      <c r="Q1377" t="s">
        <v>573</v>
      </c>
      <c r="R1377" t="s">
        <v>5197</v>
      </c>
      <c r="S1377" t="s">
        <v>39</v>
      </c>
      <c r="T1377" t="s">
        <v>770</v>
      </c>
      <c r="U1377" t="s">
        <v>60</v>
      </c>
      <c r="V1377" t="s">
        <v>114</v>
      </c>
    </row>
    <row r="1378" spans="1:22" x14ac:dyDescent="0.3">
      <c r="A1378" t="s">
        <v>5198</v>
      </c>
      <c r="B1378" t="s">
        <v>1587</v>
      </c>
      <c r="C1378" t="s">
        <v>1588</v>
      </c>
      <c r="D1378" t="s">
        <v>5199</v>
      </c>
      <c r="E1378" t="s">
        <v>87</v>
      </c>
      <c r="F1378" t="s">
        <v>26</v>
      </c>
      <c r="G1378" t="s">
        <v>118</v>
      </c>
      <c r="H1378" t="s">
        <v>28</v>
      </c>
      <c r="I1378" t="s">
        <v>29</v>
      </c>
      <c r="J1378" t="s">
        <v>162</v>
      </c>
      <c r="K1378" t="s">
        <v>89</v>
      </c>
      <c r="L1378" t="s">
        <v>719</v>
      </c>
      <c r="M1378" t="s">
        <v>1672</v>
      </c>
      <c r="N1378" t="s">
        <v>448</v>
      </c>
      <c r="O1378" t="s">
        <v>505</v>
      </c>
      <c r="P1378" t="s">
        <v>138</v>
      </c>
      <c r="Q1378" t="s">
        <v>604</v>
      </c>
      <c r="R1378" t="s">
        <v>5200</v>
      </c>
      <c r="S1378" t="s">
        <v>79</v>
      </c>
      <c r="T1378" t="s">
        <v>112</v>
      </c>
      <c r="U1378" t="s">
        <v>472</v>
      </c>
      <c r="V1378" t="s">
        <v>114</v>
      </c>
    </row>
    <row r="1379" spans="1:22" x14ac:dyDescent="0.3">
      <c r="A1379" t="s">
        <v>5201</v>
      </c>
      <c r="B1379" t="s">
        <v>1960</v>
      </c>
      <c r="C1379" t="s">
        <v>1961</v>
      </c>
      <c r="D1379" t="s">
        <v>5202</v>
      </c>
      <c r="E1379" t="s">
        <v>26</v>
      </c>
      <c r="F1379" t="s">
        <v>26</v>
      </c>
      <c r="G1379" t="s">
        <v>580</v>
      </c>
      <c r="H1379" t="s">
        <v>88</v>
      </c>
      <c r="I1379" t="s">
        <v>69</v>
      </c>
      <c r="J1379" t="s">
        <v>30</v>
      </c>
      <c r="K1379" t="s">
        <v>215</v>
      </c>
      <c r="L1379" t="s">
        <v>428</v>
      </c>
      <c r="M1379" t="s">
        <v>5203</v>
      </c>
      <c r="N1379" t="s">
        <v>74</v>
      </c>
      <c r="O1379" t="s">
        <v>4082</v>
      </c>
      <c r="P1379" t="s">
        <v>1990</v>
      </c>
      <c r="Q1379" t="s">
        <v>959</v>
      </c>
      <c r="R1379" t="s">
        <v>5204</v>
      </c>
      <c r="S1379" t="s">
        <v>39</v>
      </c>
      <c r="T1379" t="s">
        <v>714</v>
      </c>
      <c r="U1379" t="s">
        <v>472</v>
      </c>
      <c r="V1379" t="s">
        <v>79</v>
      </c>
    </row>
    <row r="1380" spans="1:22" x14ac:dyDescent="0.3">
      <c r="A1380" t="s">
        <v>5205</v>
      </c>
      <c r="B1380" t="s">
        <v>4222</v>
      </c>
      <c r="C1380" t="s">
        <v>4223</v>
      </c>
      <c r="D1380" t="s">
        <v>2072</v>
      </c>
      <c r="E1380" t="s">
        <v>161</v>
      </c>
      <c r="F1380" t="s">
        <v>161</v>
      </c>
      <c r="G1380" t="s">
        <v>27</v>
      </c>
      <c r="H1380" t="s">
        <v>28</v>
      </c>
      <c r="I1380" t="s">
        <v>69</v>
      </c>
      <c r="J1380" t="s">
        <v>30</v>
      </c>
      <c r="K1380" t="s">
        <v>215</v>
      </c>
      <c r="L1380" t="s">
        <v>189</v>
      </c>
      <c r="M1380" t="s">
        <v>2947</v>
      </c>
      <c r="N1380" t="s">
        <v>179</v>
      </c>
      <c r="O1380" t="s">
        <v>2947</v>
      </c>
      <c r="P1380" t="s">
        <v>732</v>
      </c>
      <c r="Q1380" t="s">
        <v>798</v>
      </c>
      <c r="R1380" t="s">
        <v>5206</v>
      </c>
      <c r="S1380" t="s">
        <v>97</v>
      </c>
      <c r="T1380" t="s">
        <v>721</v>
      </c>
      <c r="U1380" t="s">
        <v>394</v>
      </c>
      <c r="V1380" t="s">
        <v>82</v>
      </c>
    </row>
    <row r="1381" spans="1:22" x14ac:dyDescent="0.3">
      <c r="A1381" t="s">
        <v>5207</v>
      </c>
      <c r="B1381" t="s">
        <v>2563</v>
      </c>
      <c r="C1381" t="s">
        <v>2564</v>
      </c>
      <c r="D1381" t="s">
        <v>3264</v>
      </c>
      <c r="E1381" t="s">
        <v>134</v>
      </c>
      <c r="F1381" t="s">
        <v>134</v>
      </c>
      <c r="G1381" t="s">
        <v>67</v>
      </c>
      <c r="H1381" t="s">
        <v>229</v>
      </c>
      <c r="I1381" t="s">
        <v>69</v>
      </c>
      <c r="J1381" t="s">
        <v>162</v>
      </c>
      <c r="K1381" t="s">
        <v>200</v>
      </c>
      <c r="L1381" t="s">
        <v>663</v>
      </c>
      <c r="M1381" t="s">
        <v>5208</v>
      </c>
      <c r="N1381" t="s">
        <v>179</v>
      </c>
      <c r="O1381" t="s">
        <v>5208</v>
      </c>
      <c r="P1381" t="s">
        <v>3878</v>
      </c>
      <c r="Q1381" t="s">
        <v>1647</v>
      </c>
      <c r="R1381" t="s">
        <v>5209</v>
      </c>
      <c r="S1381" t="s">
        <v>39</v>
      </c>
      <c r="T1381" t="s">
        <v>1106</v>
      </c>
      <c r="U1381" t="s">
        <v>2798</v>
      </c>
      <c r="V1381" t="s">
        <v>114</v>
      </c>
    </row>
    <row r="1382" spans="1:22" x14ac:dyDescent="0.3">
      <c r="A1382" t="s">
        <v>5210</v>
      </c>
      <c r="B1382" t="s">
        <v>595</v>
      </c>
      <c r="C1382" t="s">
        <v>596</v>
      </c>
      <c r="D1382" t="s">
        <v>1271</v>
      </c>
      <c r="E1382" t="s">
        <v>133</v>
      </c>
      <c r="F1382" t="s">
        <v>134</v>
      </c>
      <c r="G1382" t="s">
        <v>213</v>
      </c>
      <c r="H1382" t="s">
        <v>214</v>
      </c>
      <c r="I1382" t="s">
        <v>29</v>
      </c>
      <c r="J1382" t="s">
        <v>30</v>
      </c>
      <c r="K1382" t="s">
        <v>293</v>
      </c>
      <c r="L1382" t="s">
        <v>32</v>
      </c>
      <c r="M1382" t="s">
        <v>4376</v>
      </c>
      <c r="N1382" t="s">
        <v>80</v>
      </c>
      <c r="O1382" t="s">
        <v>4784</v>
      </c>
      <c r="P1382" t="s">
        <v>1346</v>
      </c>
      <c r="Q1382" t="s">
        <v>822</v>
      </c>
      <c r="R1382" t="s">
        <v>5211</v>
      </c>
      <c r="S1382" t="s">
        <v>39</v>
      </c>
      <c r="T1382" t="s">
        <v>1043</v>
      </c>
      <c r="U1382" t="s">
        <v>537</v>
      </c>
      <c r="V1382" t="s">
        <v>42</v>
      </c>
    </row>
    <row r="1383" spans="1:22" x14ac:dyDescent="0.3">
      <c r="A1383" t="s">
        <v>5212</v>
      </c>
      <c r="B1383" t="s">
        <v>3041</v>
      </c>
      <c r="C1383" t="s">
        <v>3042</v>
      </c>
      <c r="D1383" t="s">
        <v>3058</v>
      </c>
      <c r="E1383" t="s">
        <v>354</v>
      </c>
      <c r="F1383" t="s">
        <v>134</v>
      </c>
      <c r="G1383" t="s">
        <v>213</v>
      </c>
      <c r="H1383" t="s">
        <v>28</v>
      </c>
      <c r="I1383" t="s">
        <v>69</v>
      </c>
      <c r="J1383" t="s">
        <v>30</v>
      </c>
      <c r="K1383" t="s">
        <v>230</v>
      </c>
      <c r="L1383" t="s">
        <v>663</v>
      </c>
      <c r="M1383" t="s">
        <v>784</v>
      </c>
      <c r="N1383" t="s">
        <v>448</v>
      </c>
      <c r="O1383" t="s">
        <v>886</v>
      </c>
      <c r="P1383" t="s">
        <v>1141</v>
      </c>
      <c r="Q1383" t="s">
        <v>203</v>
      </c>
      <c r="R1383" t="s">
        <v>5213</v>
      </c>
      <c r="S1383" t="s">
        <v>79</v>
      </c>
      <c r="T1383" t="s">
        <v>384</v>
      </c>
      <c r="U1383" t="s">
        <v>60</v>
      </c>
      <c r="V1383" t="s">
        <v>114</v>
      </c>
    </row>
    <row r="1384" spans="1:22" x14ac:dyDescent="0.3">
      <c r="A1384" t="s">
        <v>5214</v>
      </c>
      <c r="B1384" t="s">
        <v>1945</v>
      </c>
      <c r="C1384" t="s">
        <v>1946</v>
      </c>
      <c r="D1384" t="s">
        <v>2689</v>
      </c>
      <c r="E1384" t="s">
        <v>228</v>
      </c>
      <c r="F1384" t="s">
        <v>228</v>
      </c>
      <c r="G1384" t="s">
        <v>213</v>
      </c>
      <c r="H1384" t="s">
        <v>88</v>
      </c>
      <c r="I1384" t="s">
        <v>69</v>
      </c>
      <c r="J1384" t="s">
        <v>30</v>
      </c>
      <c r="K1384" t="s">
        <v>71</v>
      </c>
      <c r="L1384" t="s">
        <v>189</v>
      </c>
      <c r="M1384" t="s">
        <v>791</v>
      </c>
      <c r="N1384" t="s">
        <v>179</v>
      </c>
      <c r="O1384" t="s">
        <v>791</v>
      </c>
      <c r="P1384" t="s">
        <v>1680</v>
      </c>
      <c r="Q1384" t="s">
        <v>593</v>
      </c>
      <c r="R1384" t="s">
        <v>5215</v>
      </c>
      <c r="S1384" t="s">
        <v>58</v>
      </c>
      <c r="T1384" t="s">
        <v>40</v>
      </c>
      <c r="U1384" t="s">
        <v>3459</v>
      </c>
      <c r="V1384" t="s">
        <v>114</v>
      </c>
    </row>
    <row r="1385" spans="1:22" x14ac:dyDescent="0.3">
      <c r="A1385" t="s">
        <v>5216</v>
      </c>
      <c r="B1385" t="s">
        <v>5217</v>
      </c>
      <c r="C1385" t="s">
        <v>5218</v>
      </c>
      <c r="D1385" t="s">
        <v>1893</v>
      </c>
      <c r="E1385" t="s">
        <v>65</v>
      </c>
      <c r="F1385" t="s">
        <v>66</v>
      </c>
      <c r="G1385" t="s">
        <v>118</v>
      </c>
      <c r="H1385" t="s">
        <v>88</v>
      </c>
      <c r="I1385" t="s">
        <v>69</v>
      </c>
      <c r="J1385" t="s">
        <v>162</v>
      </c>
      <c r="K1385" t="s">
        <v>215</v>
      </c>
      <c r="L1385" t="s">
        <v>1049</v>
      </c>
      <c r="M1385" t="s">
        <v>3244</v>
      </c>
      <c r="N1385" t="s">
        <v>714</v>
      </c>
      <c r="O1385" t="s">
        <v>5219</v>
      </c>
      <c r="P1385" t="s">
        <v>2166</v>
      </c>
      <c r="Q1385" t="s">
        <v>310</v>
      </c>
      <c r="R1385" t="s">
        <v>5220</v>
      </c>
      <c r="S1385" t="s">
        <v>39</v>
      </c>
      <c r="T1385" t="s">
        <v>40</v>
      </c>
      <c r="U1385" t="s">
        <v>60</v>
      </c>
      <c r="V1385" t="s">
        <v>82</v>
      </c>
    </row>
    <row r="1386" spans="1:22" x14ac:dyDescent="0.3">
      <c r="A1386" t="s">
        <v>5221</v>
      </c>
      <c r="B1386" t="s">
        <v>688</v>
      </c>
      <c r="C1386" t="s">
        <v>689</v>
      </c>
      <c r="D1386" t="s">
        <v>5222</v>
      </c>
      <c r="E1386" t="s">
        <v>244</v>
      </c>
      <c r="F1386" t="s">
        <v>244</v>
      </c>
      <c r="G1386" t="s">
        <v>48</v>
      </c>
      <c r="H1386" t="s">
        <v>68</v>
      </c>
      <c r="I1386" t="s">
        <v>69</v>
      </c>
      <c r="J1386" t="s">
        <v>162</v>
      </c>
      <c r="K1386" t="s">
        <v>71</v>
      </c>
      <c r="L1386" t="s">
        <v>1211</v>
      </c>
      <c r="M1386" t="s">
        <v>2609</v>
      </c>
      <c r="N1386" t="s">
        <v>179</v>
      </c>
      <c r="O1386" t="s">
        <v>2609</v>
      </c>
      <c r="P1386" t="s">
        <v>2590</v>
      </c>
      <c r="Q1386" t="s">
        <v>881</v>
      </c>
      <c r="R1386" t="s">
        <v>5223</v>
      </c>
      <c r="S1386" t="s">
        <v>79</v>
      </c>
      <c r="T1386" t="s">
        <v>55</v>
      </c>
      <c r="U1386" t="s">
        <v>537</v>
      </c>
      <c r="V1386" t="s">
        <v>42</v>
      </c>
    </row>
    <row r="1387" spans="1:22" x14ac:dyDescent="0.3">
      <c r="A1387" t="s">
        <v>5224</v>
      </c>
      <c r="B1387" t="s">
        <v>3015</v>
      </c>
      <c r="C1387" t="s">
        <v>3016</v>
      </c>
      <c r="D1387" t="s">
        <v>2535</v>
      </c>
      <c r="E1387" t="s">
        <v>244</v>
      </c>
      <c r="F1387" t="s">
        <v>244</v>
      </c>
      <c r="G1387" t="s">
        <v>27</v>
      </c>
      <c r="H1387" t="s">
        <v>214</v>
      </c>
      <c r="I1387" t="s">
        <v>69</v>
      </c>
      <c r="J1387" t="s">
        <v>30</v>
      </c>
      <c r="K1387" t="s">
        <v>89</v>
      </c>
      <c r="L1387" t="s">
        <v>658</v>
      </c>
      <c r="M1387" t="s">
        <v>4231</v>
      </c>
      <c r="N1387" t="s">
        <v>881</v>
      </c>
      <c r="O1387" t="s">
        <v>3720</v>
      </c>
      <c r="P1387" t="s">
        <v>3180</v>
      </c>
      <c r="Q1387" t="s">
        <v>468</v>
      </c>
      <c r="R1387" t="s">
        <v>2197</v>
      </c>
      <c r="S1387" t="s">
        <v>58</v>
      </c>
      <c r="T1387" t="s">
        <v>183</v>
      </c>
      <c r="U1387" t="s">
        <v>394</v>
      </c>
      <c r="V1387" t="s">
        <v>79</v>
      </c>
    </row>
    <row r="1388" spans="1:22" x14ac:dyDescent="0.3">
      <c r="A1388" t="s">
        <v>5225</v>
      </c>
      <c r="B1388" t="s">
        <v>1662</v>
      </c>
      <c r="C1388" t="s">
        <v>1663</v>
      </c>
      <c r="D1388" t="s">
        <v>1448</v>
      </c>
      <c r="E1388" t="s">
        <v>780</v>
      </c>
      <c r="F1388" t="s">
        <v>282</v>
      </c>
      <c r="G1388" t="s">
        <v>67</v>
      </c>
      <c r="H1388" t="s">
        <v>68</v>
      </c>
      <c r="I1388" t="s">
        <v>29</v>
      </c>
      <c r="J1388" t="s">
        <v>30</v>
      </c>
      <c r="K1388" t="s">
        <v>293</v>
      </c>
      <c r="L1388" t="s">
        <v>362</v>
      </c>
      <c r="M1388" t="s">
        <v>419</v>
      </c>
      <c r="N1388" t="s">
        <v>179</v>
      </c>
      <c r="O1388" t="s">
        <v>419</v>
      </c>
      <c r="P1388" t="s">
        <v>2112</v>
      </c>
      <c r="Q1388" t="s">
        <v>1924</v>
      </c>
      <c r="R1388" t="s">
        <v>5226</v>
      </c>
      <c r="S1388" t="s">
        <v>126</v>
      </c>
      <c r="T1388" t="s">
        <v>2037</v>
      </c>
      <c r="U1388" t="s">
        <v>171</v>
      </c>
      <c r="V1388" t="s">
        <v>58</v>
      </c>
    </row>
    <row r="1389" spans="1:22" x14ac:dyDescent="0.3">
      <c r="A1389" t="s">
        <v>5227</v>
      </c>
      <c r="B1389" t="s">
        <v>1399</v>
      </c>
      <c r="C1389" t="s">
        <v>1400</v>
      </c>
      <c r="D1389" t="s">
        <v>2689</v>
      </c>
      <c r="E1389" t="s">
        <v>893</v>
      </c>
      <c r="F1389" t="s">
        <v>188</v>
      </c>
      <c r="G1389" t="s">
        <v>213</v>
      </c>
      <c r="H1389" t="s">
        <v>49</v>
      </c>
      <c r="I1389" t="s">
        <v>69</v>
      </c>
      <c r="J1389" t="s">
        <v>30</v>
      </c>
      <c r="K1389" t="s">
        <v>89</v>
      </c>
      <c r="L1389" t="s">
        <v>367</v>
      </c>
      <c r="M1389" t="s">
        <v>1202</v>
      </c>
      <c r="N1389" t="s">
        <v>80</v>
      </c>
      <c r="O1389" t="s">
        <v>752</v>
      </c>
      <c r="P1389" t="s">
        <v>2997</v>
      </c>
      <c r="Q1389" t="s">
        <v>675</v>
      </c>
      <c r="R1389" t="s">
        <v>5228</v>
      </c>
      <c r="S1389" t="s">
        <v>182</v>
      </c>
      <c r="T1389" t="s">
        <v>448</v>
      </c>
      <c r="U1389" t="s">
        <v>537</v>
      </c>
      <c r="V1389" t="s">
        <v>114</v>
      </c>
    </row>
    <row r="1390" spans="1:22" x14ac:dyDescent="0.3">
      <c r="A1390" t="s">
        <v>5229</v>
      </c>
      <c r="B1390" t="s">
        <v>2312</v>
      </c>
      <c r="C1390" t="s">
        <v>2313</v>
      </c>
      <c r="D1390" t="s">
        <v>1042</v>
      </c>
      <c r="E1390" t="s">
        <v>1321</v>
      </c>
      <c r="F1390" t="s">
        <v>228</v>
      </c>
      <c r="G1390" t="s">
        <v>67</v>
      </c>
      <c r="H1390" t="s">
        <v>104</v>
      </c>
      <c r="I1390" t="s">
        <v>29</v>
      </c>
      <c r="J1390" t="s">
        <v>70</v>
      </c>
      <c r="K1390" t="s">
        <v>89</v>
      </c>
      <c r="L1390" t="s">
        <v>294</v>
      </c>
      <c r="M1390" t="s">
        <v>3456</v>
      </c>
      <c r="N1390" t="s">
        <v>179</v>
      </c>
      <c r="O1390" t="s">
        <v>3456</v>
      </c>
      <c r="P1390" t="s">
        <v>271</v>
      </c>
      <c r="Q1390" t="s">
        <v>218</v>
      </c>
      <c r="R1390" t="s">
        <v>5230</v>
      </c>
      <c r="S1390" t="s">
        <v>79</v>
      </c>
      <c r="T1390" t="s">
        <v>237</v>
      </c>
      <c r="U1390" t="s">
        <v>362</v>
      </c>
      <c r="V1390" t="s">
        <v>114</v>
      </c>
    </row>
    <row r="1391" spans="1:22" x14ac:dyDescent="0.3">
      <c r="A1391" t="s">
        <v>5231</v>
      </c>
      <c r="B1391" t="s">
        <v>1804</v>
      </c>
      <c r="C1391" t="s">
        <v>1805</v>
      </c>
      <c r="D1391" t="s">
        <v>1042</v>
      </c>
      <c r="E1391" t="s">
        <v>65</v>
      </c>
      <c r="F1391" t="s">
        <v>66</v>
      </c>
      <c r="G1391" t="s">
        <v>67</v>
      </c>
      <c r="H1391" t="s">
        <v>68</v>
      </c>
      <c r="I1391" t="s">
        <v>29</v>
      </c>
      <c r="J1391" t="s">
        <v>30</v>
      </c>
      <c r="K1391" t="s">
        <v>230</v>
      </c>
      <c r="L1391" t="s">
        <v>902</v>
      </c>
      <c r="M1391" t="s">
        <v>545</v>
      </c>
      <c r="N1391" t="s">
        <v>179</v>
      </c>
      <c r="O1391" t="s">
        <v>545</v>
      </c>
      <c r="P1391" t="s">
        <v>52</v>
      </c>
      <c r="Q1391" t="s">
        <v>299</v>
      </c>
      <c r="R1391" t="s">
        <v>5232</v>
      </c>
      <c r="S1391" t="s">
        <v>126</v>
      </c>
      <c r="T1391" t="s">
        <v>321</v>
      </c>
      <c r="U1391" t="s">
        <v>277</v>
      </c>
      <c r="V1391" t="s">
        <v>79</v>
      </c>
    </row>
    <row r="1392" spans="1:22" x14ac:dyDescent="0.3">
      <c r="A1392" t="s">
        <v>5233</v>
      </c>
      <c r="B1392" t="s">
        <v>839</v>
      </c>
      <c r="C1392" t="s">
        <v>840</v>
      </c>
      <c r="D1392" t="s">
        <v>2574</v>
      </c>
      <c r="E1392" t="s">
        <v>399</v>
      </c>
      <c r="F1392" t="s">
        <v>188</v>
      </c>
      <c r="G1392" t="s">
        <v>147</v>
      </c>
      <c r="H1392" t="s">
        <v>49</v>
      </c>
      <c r="I1392" t="s">
        <v>69</v>
      </c>
      <c r="J1392" t="s">
        <v>70</v>
      </c>
      <c r="K1392" t="s">
        <v>293</v>
      </c>
      <c r="L1392" t="s">
        <v>90</v>
      </c>
      <c r="M1392" t="s">
        <v>2107</v>
      </c>
      <c r="N1392" t="s">
        <v>179</v>
      </c>
      <c r="O1392" t="s">
        <v>2107</v>
      </c>
      <c r="P1392" t="s">
        <v>1406</v>
      </c>
      <c r="Q1392" t="s">
        <v>468</v>
      </c>
      <c r="R1392" t="s">
        <v>5234</v>
      </c>
      <c r="S1392" t="s">
        <v>79</v>
      </c>
      <c r="T1392" t="s">
        <v>448</v>
      </c>
      <c r="U1392" t="s">
        <v>362</v>
      </c>
      <c r="V1392" t="s">
        <v>42</v>
      </c>
    </row>
    <row r="1393" spans="1:22" x14ac:dyDescent="0.3">
      <c r="A1393" t="s">
        <v>5235</v>
      </c>
      <c r="B1393" t="s">
        <v>2782</v>
      </c>
      <c r="C1393" t="s">
        <v>2783</v>
      </c>
      <c r="D1393" t="s">
        <v>1738</v>
      </c>
      <c r="E1393" t="s">
        <v>634</v>
      </c>
      <c r="F1393" t="s">
        <v>228</v>
      </c>
      <c r="G1393" t="s">
        <v>147</v>
      </c>
      <c r="H1393" t="s">
        <v>214</v>
      </c>
      <c r="I1393" t="s">
        <v>69</v>
      </c>
      <c r="J1393" t="s">
        <v>30</v>
      </c>
      <c r="K1393" t="s">
        <v>31</v>
      </c>
      <c r="L1393" t="s">
        <v>902</v>
      </c>
      <c r="M1393" t="s">
        <v>5236</v>
      </c>
      <c r="N1393" t="s">
        <v>371</v>
      </c>
      <c r="O1393" t="s">
        <v>5237</v>
      </c>
      <c r="P1393" t="s">
        <v>3139</v>
      </c>
      <c r="Q1393" t="s">
        <v>357</v>
      </c>
      <c r="R1393" t="s">
        <v>3961</v>
      </c>
      <c r="S1393" t="s">
        <v>58</v>
      </c>
      <c r="T1393" t="s">
        <v>724</v>
      </c>
      <c r="U1393" t="s">
        <v>423</v>
      </c>
      <c r="V1393" t="s">
        <v>82</v>
      </c>
    </row>
    <row r="1394" spans="1:22" x14ac:dyDescent="0.3">
      <c r="A1394" t="s">
        <v>5238</v>
      </c>
      <c r="B1394" t="s">
        <v>3448</v>
      </c>
      <c r="C1394" t="s">
        <v>3449</v>
      </c>
      <c r="D1394" t="s">
        <v>2023</v>
      </c>
      <c r="E1394" t="s">
        <v>133</v>
      </c>
      <c r="F1394" t="s">
        <v>134</v>
      </c>
      <c r="G1394" t="s">
        <v>580</v>
      </c>
      <c r="H1394" t="s">
        <v>268</v>
      </c>
      <c r="I1394" t="s">
        <v>69</v>
      </c>
      <c r="J1394" t="s">
        <v>30</v>
      </c>
      <c r="K1394" t="s">
        <v>200</v>
      </c>
      <c r="L1394" t="s">
        <v>749</v>
      </c>
      <c r="M1394" t="s">
        <v>2166</v>
      </c>
      <c r="N1394" t="s">
        <v>179</v>
      </c>
      <c r="O1394" t="s">
        <v>2166</v>
      </c>
      <c r="P1394" t="s">
        <v>1790</v>
      </c>
      <c r="Q1394" t="s">
        <v>805</v>
      </c>
      <c r="R1394" t="s">
        <v>5239</v>
      </c>
      <c r="S1394" t="s">
        <v>182</v>
      </c>
      <c r="T1394" t="s">
        <v>573</v>
      </c>
      <c r="U1394" t="s">
        <v>81</v>
      </c>
      <c r="V1394" t="s">
        <v>79</v>
      </c>
    </row>
    <row r="1395" spans="1:22" x14ac:dyDescent="0.3">
      <c r="A1395" t="s">
        <v>5240</v>
      </c>
      <c r="B1395" t="s">
        <v>1131</v>
      </c>
      <c r="C1395" t="s">
        <v>1132</v>
      </c>
      <c r="D1395" t="s">
        <v>2827</v>
      </c>
      <c r="E1395" t="s">
        <v>87</v>
      </c>
      <c r="F1395" t="s">
        <v>26</v>
      </c>
      <c r="G1395" t="s">
        <v>213</v>
      </c>
      <c r="H1395" t="s">
        <v>268</v>
      </c>
      <c r="I1395" t="s">
        <v>69</v>
      </c>
      <c r="J1395" t="s">
        <v>162</v>
      </c>
      <c r="K1395" t="s">
        <v>50</v>
      </c>
      <c r="L1395" t="s">
        <v>135</v>
      </c>
      <c r="M1395" t="s">
        <v>5241</v>
      </c>
      <c r="N1395" t="s">
        <v>1982</v>
      </c>
      <c r="O1395" t="s">
        <v>5242</v>
      </c>
      <c r="P1395" t="s">
        <v>3490</v>
      </c>
      <c r="Q1395" t="s">
        <v>543</v>
      </c>
      <c r="R1395" t="s">
        <v>5243</v>
      </c>
      <c r="S1395" t="s">
        <v>126</v>
      </c>
      <c r="T1395" t="s">
        <v>604</v>
      </c>
      <c r="U1395" t="s">
        <v>60</v>
      </c>
      <c r="V1395" t="s">
        <v>79</v>
      </c>
    </row>
    <row r="1396" spans="1:22" x14ac:dyDescent="0.3">
      <c r="A1396" t="s">
        <v>5244</v>
      </c>
      <c r="B1396" t="s">
        <v>539</v>
      </c>
      <c r="C1396" t="s">
        <v>540</v>
      </c>
      <c r="D1396" t="s">
        <v>5245</v>
      </c>
      <c r="E1396" t="s">
        <v>780</v>
      </c>
      <c r="F1396" t="s">
        <v>282</v>
      </c>
      <c r="G1396" t="s">
        <v>27</v>
      </c>
      <c r="H1396" t="s">
        <v>229</v>
      </c>
      <c r="I1396" t="s">
        <v>69</v>
      </c>
      <c r="J1396" t="s">
        <v>70</v>
      </c>
      <c r="K1396" t="s">
        <v>215</v>
      </c>
      <c r="L1396" t="s">
        <v>148</v>
      </c>
      <c r="M1396" t="s">
        <v>636</v>
      </c>
      <c r="N1396" t="s">
        <v>170</v>
      </c>
      <c r="O1396" t="s">
        <v>1449</v>
      </c>
      <c r="P1396" t="s">
        <v>235</v>
      </c>
      <c r="Q1396" t="s">
        <v>1096</v>
      </c>
      <c r="R1396" t="s">
        <v>5246</v>
      </c>
      <c r="S1396" t="s">
        <v>58</v>
      </c>
      <c r="T1396" t="s">
        <v>543</v>
      </c>
      <c r="U1396" t="s">
        <v>41</v>
      </c>
      <c r="V1396" t="s">
        <v>42</v>
      </c>
    </row>
    <row r="1397" spans="1:22" x14ac:dyDescent="0.3">
      <c r="A1397" t="s">
        <v>5247</v>
      </c>
      <c r="B1397" t="s">
        <v>3002</v>
      </c>
      <c r="C1397" t="s">
        <v>3003</v>
      </c>
      <c r="D1397" t="s">
        <v>4807</v>
      </c>
      <c r="E1397" t="s">
        <v>228</v>
      </c>
      <c r="F1397" t="s">
        <v>228</v>
      </c>
      <c r="G1397" t="s">
        <v>67</v>
      </c>
      <c r="H1397" t="s">
        <v>68</v>
      </c>
      <c r="I1397" t="s">
        <v>29</v>
      </c>
      <c r="J1397" t="s">
        <v>70</v>
      </c>
      <c r="K1397" t="s">
        <v>245</v>
      </c>
      <c r="L1397" t="s">
        <v>148</v>
      </c>
      <c r="M1397" t="s">
        <v>4481</v>
      </c>
      <c r="N1397" t="s">
        <v>1043</v>
      </c>
      <c r="O1397" t="s">
        <v>3065</v>
      </c>
      <c r="P1397" t="s">
        <v>1128</v>
      </c>
      <c r="Q1397" t="s">
        <v>770</v>
      </c>
      <c r="R1397" t="s">
        <v>4147</v>
      </c>
      <c r="S1397" t="s">
        <v>126</v>
      </c>
      <c r="T1397" t="s">
        <v>710</v>
      </c>
      <c r="U1397" t="s">
        <v>238</v>
      </c>
      <c r="V1397" t="s">
        <v>82</v>
      </c>
    </row>
    <row r="1398" spans="1:22" x14ac:dyDescent="0.3">
      <c r="A1398" t="s">
        <v>5248</v>
      </c>
      <c r="B1398" t="s">
        <v>3342</v>
      </c>
      <c r="C1398" t="s">
        <v>3343</v>
      </c>
      <c r="D1398" t="s">
        <v>789</v>
      </c>
      <c r="E1398" t="s">
        <v>378</v>
      </c>
      <c r="F1398" t="s">
        <v>282</v>
      </c>
      <c r="G1398" t="s">
        <v>213</v>
      </c>
      <c r="H1398" t="s">
        <v>28</v>
      </c>
      <c r="I1398" t="s">
        <v>69</v>
      </c>
      <c r="J1398" t="s">
        <v>257</v>
      </c>
      <c r="K1398" t="s">
        <v>89</v>
      </c>
      <c r="L1398" t="s">
        <v>362</v>
      </c>
      <c r="M1398" t="s">
        <v>665</v>
      </c>
      <c r="N1398" t="s">
        <v>237</v>
      </c>
      <c r="O1398" t="s">
        <v>1090</v>
      </c>
      <c r="P1398" t="s">
        <v>949</v>
      </c>
      <c r="Q1398" t="s">
        <v>770</v>
      </c>
      <c r="R1398" t="s">
        <v>5249</v>
      </c>
      <c r="S1398" t="s">
        <v>182</v>
      </c>
      <c r="T1398" t="s">
        <v>770</v>
      </c>
      <c r="U1398" t="s">
        <v>373</v>
      </c>
      <c r="V1398" t="s">
        <v>114</v>
      </c>
    </row>
    <row r="1399" spans="1:22" x14ac:dyDescent="0.3">
      <c r="A1399" t="s">
        <v>5250</v>
      </c>
      <c r="B1399" t="s">
        <v>1269</v>
      </c>
      <c r="C1399" t="s">
        <v>1270</v>
      </c>
      <c r="D1399" t="s">
        <v>3100</v>
      </c>
      <c r="E1399" t="s">
        <v>634</v>
      </c>
      <c r="F1399" t="s">
        <v>228</v>
      </c>
      <c r="G1399" t="s">
        <v>213</v>
      </c>
      <c r="H1399" t="s">
        <v>88</v>
      </c>
      <c r="I1399" t="s">
        <v>69</v>
      </c>
      <c r="J1399" t="s">
        <v>30</v>
      </c>
      <c r="K1399" t="s">
        <v>293</v>
      </c>
      <c r="L1399" t="s">
        <v>719</v>
      </c>
      <c r="M1399" t="s">
        <v>4797</v>
      </c>
      <c r="N1399" t="s">
        <v>441</v>
      </c>
      <c r="O1399" t="s">
        <v>4093</v>
      </c>
      <c r="P1399" t="s">
        <v>4051</v>
      </c>
      <c r="Q1399" t="s">
        <v>1064</v>
      </c>
      <c r="R1399" t="s">
        <v>2476</v>
      </c>
      <c r="S1399" t="s">
        <v>182</v>
      </c>
      <c r="T1399" t="s">
        <v>140</v>
      </c>
      <c r="U1399" t="s">
        <v>568</v>
      </c>
      <c r="V1399" t="s">
        <v>82</v>
      </c>
    </row>
    <row r="1400" spans="1:22" x14ac:dyDescent="0.3">
      <c r="A1400" t="s">
        <v>5251</v>
      </c>
      <c r="B1400" t="s">
        <v>5252</v>
      </c>
      <c r="C1400" t="s">
        <v>5253</v>
      </c>
      <c r="D1400" t="s">
        <v>377</v>
      </c>
      <c r="E1400" t="s">
        <v>134</v>
      </c>
      <c r="F1400" t="s">
        <v>134</v>
      </c>
      <c r="G1400" t="s">
        <v>213</v>
      </c>
      <c r="H1400" t="s">
        <v>49</v>
      </c>
      <c r="I1400" t="s">
        <v>69</v>
      </c>
      <c r="J1400" t="s">
        <v>30</v>
      </c>
      <c r="K1400" t="s">
        <v>71</v>
      </c>
      <c r="L1400" t="s">
        <v>719</v>
      </c>
      <c r="M1400" t="s">
        <v>1672</v>
      </c>
      <c r="N1400" t="s">
        <v>179</v>
      </c>
      <c r="O1400" t="s">
        <v>1672</v>
      </c>
      <c r="P1400" t="s">
        <v>1681</v>
      </c>
      <c r="Q1400" t="s">
        <v>735</v>
      </c>
      <c r="R1400" t="s">
        <v>163</v>
      </c>
      <c r="S1400" t="s">
        <v>97</v>
      </c>
      <c r="T1400" t="s">
        <v>369</v>
      </c>
      <c r="U1400" t="s">
        <v>98</v>
      </c>
      <c r="V1400" t="s">
        <v>114</v>
      </c>
    </row>
    <row r="1401" spans="1:22" x14ac:dyDescent="0.3">
      <c r="A1401" t="s">
        <v>5254</v>
      </c>
      <c r="B1401" t="s">
        <v>4091</v>
      </c>
      <c r="C1401" t="s">
        <v>4092</v>
      </c>
      <c r="D1401" t="s">
        <v>4428</v>
      </c>
      <c r="E1401" t="s">
        <v>161</v>
      </c>
      <c r="F1401" t="s">
        <v>161</v>
      </c>
      <c r="G1401" t="s">
        <v>67</v>
      </c>
      <c r="H1401" t="s">
        <v>28</v>
      </c>
      <c r="I1401" t="s">
        <v>29</v>
      </c>
      <c r="J1401" t="s">
        <v>257</v>
      </c>
      <c r="K1401" t="s">
        <v>293</v>
      </c>
      <c r="L1401" t="s">
        <v>731</v>
      </c>
      <c r="M1401" t="s">
        <v>52</v>
      </c>
      <c r="N1401" t="s">
        <v>179</v>
      </c>
      <c r="O1401" t="s">
        <v>52</v>
      </c>
      <c r="P1401" t="s">
        <v>1642</v>
      </c>
      <c r="Q1401" t="s">
        <v>369</v>
      </c>
      <c r="R1401" t="s">
        <v>871</v>
      </c>
      <c r="S1401" t="s">
        <v>182</v>
      </c>
      <c r="T1401" t="s">
        <v>1099</v>
      </c>
      <c r="U1401" t="s">
        <v>472</v>
      </c>
      <c r="V1401" t="s">
        <v>79</v>
      </c>
    </row>
    <row r="1402" spans="1:22" x14ac:dyDescent="0.3">
      <c r="A1402" t="s">
        <v>5255</v>
      </c>
      <c r="B1402" t="s">
        <v>1060</v>
      </c>
      <c r="C1402" t="s">
        <v>1061</v>
      </c>
      <c r="D1402" t="s">
        <v>4219</v>
      </c>
      <c r="E1402" t="s">
        <v>780</v>
      </c>
      <c r="F1402" t="s">
        <v>282</v>
      </c>
      <c r="G1402" t="s">
        <v>147</v>
      </c>
      <c r="H1402" t="s">
        <v>104</v>
      </c>
      <c r="I1402" t="s">
        <v>69</v>
      </c>
      <c r="J1402" t="s">
        <v>70</v>
      </c>
      <c r="K1402" t="s">
        <v>71</v>
      </c>
      <c r="L1402" t="s">
        <v>1295</v>
      </c>
      <c r="M1402" t="s">
        <v>2435</v>
      </c>
      <c r="N1402" t="s">
        <v>336</v>
      </c>
      <c r="O1402" t="s">
        <v>619</v>
      </c>
      <c r="P1402" t="s">
        <v>1402</v>
      </c>
      <c r="Q1402" t="s">
        <v>80</v>
      </c>
      <c r="R1402" t="s">
        <v>5256</v>
      </c>
      <c r="S1402" t="s">
        <v>126</v>
      </c>
      <c r="T1402" t="s">
        <v>499</v>
      </c>
      <c r="U1402" t="s">
        <v>60</v>
      </c>
      <c r="V1402" t="s">
        <v>58</v>
      </c>
    </row>
    <row r="1403" spans="1:22" x14ac:dyDescent="0.3">
      <c r="A1403" t="s">
        <v>5257</v>
      </c>
      <c r="B1403" t="s">
        <v>3236</v>
      </c>
      <c r="C1403" t="s">
        <v>3237</v>
      </c>
      <c r="D1403" t="s">
        <v>4224</v>
      </c>
      <c r="E1403" t="s">
        <v>65</v>
      </c>
      <c r="F1403" t="s">
        <v>66</v>
      </c>
      <c r="G1403" t="s">
        <v>213</v>
      </c>
      <c r="H1403" t="s">
        <v>68</v>
      </c>
      <c r="I1403" t="s">
        <v>29</v>
      </c>
      <c r="J1403" t="s">
        <v>30</v>
      </c>
      <c r="K1403" t="s">
        <v>89</v>
      </c>
      <c r="L1403" t="s">
        <v>231</v>
      </c>
      <c r="M1403" t="s">
        <v>52</v>
      </c>
      <c r="N1403" t="s">
        <v>499</v>
      </c>
      <c r="O1403" t="s">
        <v>180</v>
      </c>
      <c r="P1403" t="s">
        <v>553</v>
      </c>
      <c r="Q1403" t="s">
        <v>655</v>
      </c>
      <c r="R1403" t="s">
        <v>5258</v>
      </c>
      <c r="S1403" t="s">
        <v>58</v>
      </c>
      <c r="T1403" t="s">
        <v>499</v>
      </c>
      <c r="U1403" t="s">
        <v>179</v>
      </c>
      <c r="V1403" t="s">
        <v>114</v>
      </c>
    </row>
    <row r="1404" spans="1:22" x14ac:dyDescent="0.3">
      <c r="A1404" t="s">
        <v>5259</v>
      </c>
      <c r="B1404" t="s">
        <v>2675</v>
      </c>
      <c r="C1404" t="s">
        <v>2676</v>
      </c>
      <c r="D1404" t="s">
        <v>1552</v>
      </c>
      <c r="E1404" t="s">
        <v>133</v>
      </c>
      <c r="F1404" t="s">
        <v>134</v>
      </c>
      <c r="G1404" t="s">
        <v>103</v>
      </c>
      <c r="H1404" t="s">
        <v>229</v>
      </c>
      <c r="I1404" t="s">
        <v>69</v>
      </c>
      <c r="J1404" t="s">
        <v>30</v>
      </c>
      <c r="K1404" t="s">
        <v>200</v>
      </c>
      <c r="L1404" t="s">
        <v>983</v>
      </c>
      <c r="M1404" t="s">
        <v>151</v>
      </c>
      <c r="N1404" t="s">
        <v>237</v>
      </c>
      <c r="O1404" t="s">
        <v>381</v>
      </c>
      <c r="P1404" t="s">
        <v>359</v>
      </c>
      <c r="Q1404" t="s">
        <v>1000</v>
      </c>
      <c r="R1404" t="s">
        <v>5260</v>
      </c>
      <c r="S1404" t="s">
        <v>39</v>
      </c>
      <c r="T1404" t="s">
        <v>191</v>
      </c>
      <c r="U1404" t="s">
        <v>3459</v>
      </c>
      <c r="V1404" t="s">
        <v>114</v>
      </c>
    </row>
    <row r="1405" spans="1:22" x14ac:dyDescent="0.3">
      <c r="A1405" t="s">
        <v>5261</v>
      </c>
      <c r="B1405" t="s">
        <v>330</v>
      </c>
      <c r="C1405" t="s">
        <v>331</v>
      </c>
      <c r="D1405" t="s">
        <v>2985</v>
      </c>
      <c r="E1405" t="s">
        <v>267</v>
      </c>
      <c r="F1405" t="s">
        <v>66</v>
      </c>
      <c r="G1405" t="s">
        <v>213</v>
      </c>
      <c r="H1405" t="s">
        <v>49</v>
      </c>
      <c r="I1405" t="s">
        <v>29</v>
      </c>
      <c r="J1405" t="s">
        <v>70</v>
      </c>
      <c r="K1405" t="s">
        <v>89</v>
      </c>
      <c r="L1405" t="s">
        <v>663</v>
      </c>
      <c r="M1405" t="s">
        <v>4379</v>
      </c>
      <c r="N1405" t="s">
        <v>179</v>
      </c>
      <c r="O1405" t="s">
        <v>4379</v>
      </c>
      <c r="P1405" t="s">
        <v>791</v>
      </c>
      <c r="Q1405" t="s">
        <v>1011</v>
      </c>
      <c r="R1405" t="s">
        <v>5262</v>
      </c>
      <c r="S1405" t="s">
        <v>58</v>
      </c>
      <c r="T1405" t="s">
        <v>896</v>
      </c>
      <c r="U1405" t="s">
        <v>472</v>
      </c>
      <c r="V1405" t="s">
        <v>114</v>
      </c>
    </row>
    <row r="1406" spans="1:22" x14ac:dyDescent="0.3">
      <c r="A1406" t="s">
        <v>5263</v>
      </c>
      <c r="B1406" t="s">
        <v>910</v>
      </c>
      <c r="C1406" t="s">
        <v>911</v>
      </c>
      <c r="D1406" t="s">
        <v>681</v>
      </c>
      <c r="E1406" t="s">
        <v>267</v>
      </c>
      <c r="F1406" t="s">
        <v>66</v>
      </c>
      <c r="G1406" t="s">
        <v>67</v>
      </c>
      <c r="H1406" t="s">
        <v>104</v>
      </c>
      <c r="I1406" t="s">
        <v>69</v>
      </c>
      <c r="J1406" t="s">
        <v>70</v>
      </c>
      <c r="K1406" t="s">
        <v>293</v>
      </c>
      <c r="L1406" t="s">
        <v>294</v>
      </c>
      <c r="M1406" t="s">
        <v>52</v>
      </c>
      <c r="N1406" t="s">
        <v>179</v>
      </c>
      <c r="O1406" t="s">
        <v>52</v>
      </c>
      <c r="P1406" t="s">
        <v>326</v>
      </c>
      <c r="Q1406" t="s">
        <v>276</v>
      </c>
      <c r="R1406" t="s">
        <v>5264</v>
      </c>
      <c r="S1406" t="s">
        <v>97</v>
      </c>
      <c r="T1406" t="s">
        <v>621</v>
      </c>
      <c r="U1406" t="s">
        <v>472</v>
      </c>
      <c r="V1406" t="s">
        <v>58</v>
      </c>
    </row>
    <row r="1407" spans="1:22" x14ac:dyDescent="0.3">
      <c r="A1407" t="s">
        <v>5265</v>
      </c>
      <c r="B1407" t="s">
        <v>795</v>
      </c>
      <c r="C1407" t="s">
        <v>796</v>
      </c>
      <c r="D1407" t="s">
        <v>3058</v>
      </c>
      <c r="E1407" t="s">
        <v>282</v>
      </c>
      <c r="F1407" t="s">
        <v>282</v>
      </c>
      <c r="G1407" t="s">
        <v>580</v>
      </c>
      <c r="H1407" t="s">
        <v>68</v>
      </c>
      <c r="I1407" t="s">
        <v>29</v>
      </c>
      <c r="J1407" t="s">
        <v>30</v>
      </c>
      <c r="K1407" t="s">
        <v>245</v>
      </c>
      <c r="L1407" t="s">
        <v>367</v>
      </c>
      <c r="M1407" t="s">
        <v>357</v>
      </c>
      <c r="N1407" t="s">
        <v>237</v>
      </c>
      <c r="O1407" t="s">
        <v>2236</v>
      </c>
      <c r="P1407" t="s">
        <v>271</v>
      </c>
      <c r="Q1407" t="s">
        <v>1140</v>
      </c>
      <c r="R1407" t="s">
        <v>5266</v>
      </c>
      <c r="S1407" t="s">
        <v>39</v>
      </c>
      <c r="T1407" t="s">
        <v>321</v>
      </c>
      <c r="U1407" t="s">
        <v>394</v>
      </c>
      <c r="V1407" t="s">
        <v>82</v>
      </c>
    </row>
    <row r="1408" spans="1:22" x14ac:dyDescent="0.3">
      <c r="A1408" t="s">
        <v>5267</v>
      </c>
      <c r="B1408" t="s">
        <v>1298</v>
      </c>
      <c r="C1408" t="s">
        <v>1299</v>
      </c>
      <c r="D1408" t="s">
        <v>1027</v>
      </c>
      <c r="E1408" t="s">
        <v>65</v>
      </c>
      <c r="F1408" t="s">
        <v>66</v>
      </c>
      <c r="G1408" t="s">
        <v>48</v>
      </c>
      <c r="H1408" t="s">
        <v>68</v>
      </c>
      <c r="I1408" t="s">
        <v>29</v>
      </c>
      <c r="J1408" t="s">
        <v>30</v>
      </c>
      <c r="K1408" t="s">
        <v>230</v>
      </c>
      <c r="L1408" t="s">
        <v>1693</v>
      </c>
      <c r="M1408" t="s">
        <v>504</v>
      </c>
      <c r="N1408" t="s">
        <v>179</v>
      </c>
      <c r="O1408" t="s">
        <v>504</v>
      </c>
      <c r="P1408" t="s">
        <v>693</v>
      </c>
      <c r="Q1408" t="s">
        <v>985</v>
      </c>
      <c r="R1408" t="s">
        <v>2161</v>
      </c>
      <c r="S1408" t="s">
        <v>97</v>
      </c>
      <c r="T1408" t="s">
        <v>40</v>
      </c>
      <c r="U1408" t="s">
        <v>362</v>
      </c>
      <c r="V1408" t="s">
        <v>79</v>
      </c>
    </row>
    <row r="1409" spans="1:22" x14ac:dyDescent="0.3">
      <c r="A1409" t="s">
        <v>5268</v>
      </c>
      <c r="B1409" t="s">
        <v>2312</v>
      </c>
      <c r="C1409" t="s">
        <v>2313</v>
      </c>
      <c r="D1409" t="s">
        <v>3886</v>
      </c>
      <c r="E1409" t="s">
        <v>267</v>
      </c>
      <c r="F1409" t="s">
        <v>66</v>
      </c>
      <c r="G1409" t="s">
        <v>118</v>
      </c>
      <c r="H1409" t="s">
        <v>49</v>
      </c>
      <c r="I1409" t="s">
        <v>29</v>
      </c>
      <c r="J1409" t="s">
        <v>30</v>
      </c>
      <c r="K1409" t="s">
        <v>89</v>
      </c>
      <c r="L1409" t="s">
        <v>561</v>
      </c>
      <c r="M1409" t="s">
        <v>1681</v>
      </c>
      <c r="N1409" t="s">
        <v>137</v>
      </c>
      <c r="O1409" t="s">
        <v>1222</v>
      </c>
      <c r="P1409" t="s">
        <v>742</v>
      </c>
      <c r="Q1409" t="s">
        <v>392</v>
      </c>
      <c r="R1409" t="s">
        <v>5269</v>
      </c>
      <c r="S1409" t="s">
        <v>97</v>
      </c>
      <c r="T1409" t="s">
        <v>613</v>
      </c>
      <c r="U1409" t="s">
        <v>171</v>
      </c>
      <c r="V1409" t="s">
        <v>79</v>
      </c>
    </row>
    <row r="1410" spans="1:22" x14ac:dyDescent="0.3">
      <c r="A1410" t="s">
        <v>5270</v>
      </c>
      <c r="B1410" t="s">
        <v>738</v>
      </c>
      <c r="C1410" t="s">
        <v>739</v>
      </c>
      <c r="D1410" t="s">
        <v>4084</v>
      </c>
      <c r="E1410" t="s">
        <v>161</v>
      </c>
      <c r="F1410" t="s">
        <v>161</v>
      </c>
      <c r="G1410" t="s">
        <v>67</v>
      </c>
      <c r="H1410" t="s">
        <v>268</v>
      </c>
      <c r="I1410" t="s">
        <v>69</v>
      </c>
      <c r="J1410" t="s">
        <v>162</v>
      </c>
      <c r="K1410" t="s">
        <v>89</v>
      </c>
      <c r="L1410" t="s">
        <v>937</v>
      </c>
      <c r="M1410" t="s">
        <v>52</v>
      </c>
      <c r="N1410" t="s">
        <v>179</v>
      </c>
      <c r="O1410" t="s">
        <v>52</v>
      </c>
      <c r="P1410" t="s">
        <v>406</v>
      </c>
      <c r="Q1410" t="s">
        <v>107</v>
      </c>
      <c r="R1410" t="s">
        <v>5271</v>
      </c>
      <c r="S1410" t="s">
        <v>97</v>
      </c>
      <c r="T1410" t="s">
        <v>1162</v>
      </c>
      <c r="U1410" t="s">
        <v>113</v>
      </c>
      <c r="V1410" t="s">
        <v>58</v>
      </c>
    </row>
    <row r="1411" spans="1:22" x14ac:dyDescent="0.3">
      <c r="A1411" t="s">
        <v>5272</v>
      </c>
      <c r="B1411" t="s">
        <v>2163</v>
      </c>
      <c r="C1411" t="s">
        <v>2164</v>
      </c>
      <c r="D1411" t="s">
        <v>1015</v>
      </c>
      <c r="E1411" t="s">
        <v>188</v>
      </c>
      <c r="F1411" t="s">
        <v>188</v>
      </c>
      <c r="G1411" t="s">
        <v>147</v>
      </c>
      <c r="H1411" t="s">
        <v>104</v>
      </c>
      <c r="I1411" t="s">
        <v>69</v>
      </c>
      <c r="J1411" t="s">
        <v>257</v>
      </c>
      <c r="K1411" t="s">
        <v>230</v>
      </c>
      <c r="L1411" t="s">
        <v>1863</v>
      </c>
      <c r="M1411" t="s">
        <v>618</v>
      </c>
      <c r="N1411" t="s">
        <v>170</v>
      </c>
      <c r="O1411" t="s">
        <v>403</v>
      </c>
      <c r="P1411" t="s">
        <v>2824</v>
      </c>
      <c r="Q1411" t="s">
        <v>1112</v>
      </c>
      <c r="R1411" t="s">
        <v>2833</v>
      </c>
      <c r="S1411" t="s">
        <v>97</v>
      </c>
      <c r="T1411" t="s">
        <v>183</v>
      </c>
      <c r="U1411" t="s">
        <v>113</v>
      </c>
      <c r="V1411" t="s">
        <v>79</v>
      </c>
    </row>
    <row r="1412" spans="1:22" x14ac:dyDescent="0.3">
      <c r="A1412" t="s">
        <v>5273</v>
      </c>
      <c r="B1412" t="s">
        <v>2384</v>
      </c>
      <c r="C1412" t="s">
        <v>2385</v>
      </c>
      <c r="D1412" t="s">
        <v>3751</v>
      </c>
      <c r="E1412" t="s">
        <v>417</v>
      </c>
      <c r="F1412" t="s">
        <v>134</v>
      </c>
      <c r="G1412" t="s">
        <v>27</v>
      </c>
      <c r="H1412" t="s">
        <v>4966</v>
      </c>
      <c r="I1412" t="s">
        <v>69</v>
      </c>
      <c r="J1412" t="s">
        <v>30</v>
      </c>
      <c r="K1412" t="s">
        <v>31</v>
      </c>
      <c r="L1412" t="s">
        <v>1562</v>
      </c>
      <c r="M1412" t="s">
        <v>574</v>
      </c>
      <c r="N1412" t="s">
        <v>742</v>
      </c>
      <c r="O1412" t="s">
        <v>804</v>
      </c>
      <c r="P1412" t="s">
        <v>692</v>
      </c>
      <c r="Q1412" t="s">
        <v>1000</v>
      </c>
      <c r="R1412" t="s">
        <v>5274</v>
      </c>
      <c r="S1412" t="s">
        <v>182</v>
      </c>
      <c r="T1412" t="s">
        <v>37</v>
      </c>
      <c r="U1412" t="s">
        <v>300</v>
      </c>
      <c r="V1412" t="s">
        <v>58</v>
      </c>
    </row>
    <row r="1413" spans="1:22" x14ac:dyDescent="0.3">
      <c r="A1413" t="s">
        <v>5275</v>
      </c>
      <c r="B1413" t="s">
        <v>1034</v>
      </c>
      <c r="C1413" t="s">
        <v>1035</v>
      </c>
      <c r="D1413" t="s">
        <v>884</v>
      </c>
      <c r="E1413" t="s">
        <v>176</v>
      </c>
      <c r="F1413" t="s">
        <v>161</v>
      </c>
      <c r="G1413" t="s">
        <v>27</v>
      </c>
      <c r="H1413" t="s">
        <v>104</v>
      </c>
      <c r="I1413" t="s">
        <v>69</v>
      </c>
      <c r="J1413" t="s">
        <v>30</v>
      </c>
      <c r="K1413" t="s">
        <v>200</v>
      </c>
      <c r="L1413" t="s">
        <v>269</v>
      </c>
      <c r="M1413" t="s">
        <v>4079</v>
      </c>
      <c r="N1413" t="s">
        <v>448</v>
      </c>
      <c r="O1413" t="s">
        <v>618</v>
      </c>
      <c r="P1413" t="s">
        <v>1672</v>
      </c>
      <c r="Q1413" t="s">
        <v>714</v>
      </c>
      <c r="R1413" t="s">
        <v>2797</v>
      </c>
      <c r="S1413" t="s">
        <v>39</v>
      </c>
      <c r="T1413" t="s">
        <v>165</v>
      </c>
      <c r="U1413" t="s">
        <v>394</v>
      </c>
      <c r="V1413" t="s">
        <v>114</v>
      </c>
    </row>
    <row r="1414" spans="1:22" x14ac:dyDescent="0.3">
      <c r="A1414" t="s">
        <v>5276</v>
      </c>
      <c r="B1414" t="s">
        <v>2817</v>
      </c>
      <c r="C1414" t="s">
        <v>2818</v>
      </c>
      <c r="D1414" t="s">
        <v>4203</v>
      </c>
      <c r="E1414" t="s">
        <v>188</v>
      </c>
      <c r="F1414" t="s">
        <v>188</v>
      </c>
      <c r="G1414" t="s">
        <v>118</v>
      </c>
      <c r="I1414" t="s">
        <v>69</v>
      </c>
      <c r="J1414" t="s">
        <v>70</v>
      </c>
      <c r="K1414" t="s">
        <v>200</v>
      </c>
      <c r="L1414" t="s">
        <v>1693</v>
      </c>
      <c r="M1414" t="s">
        <v>562</v>
      </c>
      <c r="N1414" t="s">
        <v>179</v>
      </c>
      <c r="O1414" t="s">
        <v>562</v>
      </c>
      <c r="P1414" t="s">
        <v>1844</v>
      </c>
      <c r="Q1414" t="s">
        <v>646</v>
      </c>
      <c r="R1414" t="s">
        <v>5277</v>
      </c>
      <c r="S1414" t="s">
        <v>58</v>
      </c>
      <c r="T1414" t="s">
        <v>310</v>
      </c>
      <c r="U1414" t="s">
        <v>362</v>
      </c>
      <c r="V1414" t="s">
        <v>58</v>
      </c>
    </row>
    <row r="1415" spans="1:22" x14ac:dyDescent="0.3">
      <c r="A1415" t="s">
        <v>5278</v>
      </c>
      <c r="B1415" t="s">
        <v>4222</v>
      </c>
      <c r="C1415" t="s">
        <v>4223</v>
      </c>
      <c r="D1415" t="s">
        <v>3135</v>
      </c>
      <c r="E1415" t="s">
        <v>244</v>
      </c>
      <c r="F1415" t="s">
        <v>244</v>
      </c>
      <c r="G1415" t="s">
        <v>103</v>
      </c>
      <c r="H1415" t="s">
        <v>68</v>
      </c>
      <c r="I1415" t="s">
        <v>69</v>
      </c>
      <c r="J1415" t="s">
        <v>70</v>
      </c>
      <c r="K1415" t="s">
        <v>200</v>
      </c>
      <c r="L1415" t="s">
        <v>513</v>
      </c>
      <c r="M1415" t="s">
        <v>1680</v>
      </c>
      <c r="N1415" t="s">
        <v>92</v>
      </c>
      <c r="O1415" t="s">
        <v>2176</v>
      </c>
      <c r="P1415" t="s">
        <v>178</v>
      </c>
      <c r="Q1415" t="s">
        <v>441</v>
      </c>
      <c r="R1415" t="s">
        <v>5279</v>
      </c>
      <c r="S1415" t="s">
        <v>39</v>
      </c>
      <c r="T1415" t="s">
        <v>112</v>
      </c>
      <c r="U1415" t="s">
        <v>113</v>
      </c>
      <c r="V1415" t="s">
        <v>82</v>
      </c>
    </row>
    <row r="1416" spans="1:22" x14ac:dyDescent="0.3">
      <c r="A1416" t="s">
        <v>5280</v>
      </c>
      <c r="B1416" t="s">
        <v>5281</v>
      </c>
      <c r="C1416" t="s">
        <v>5282</v>
      </c>
      <c r="D1416" t="s">
        <v>2647</v>
      </c>
      <c r="E1416" t="s">
        <v>87</v>
      </c>
      <c r="F1416" t="s">
        <v>26</v>
      </c>
      <c r="G1416" t="s">
        <v>118</v>
      </c>
      <c r="H1416" t="s">
        <v>229</v>
      </c>
      <c r="I1416" t="s">
        <v>29</v>
      </c>
      <c r="J1416" t="s">
        <v>70</v>
      </c>
      <c r="K1416" t="s">
        <v>293</v>
      </c>
      <c r="L1416" t="s">
        <v>719</v>
      </c>
      <c r="M1416" t="s">
        <v>2641</v>
      </c>
      <c r="N1416" t="s">
        <v>489</v>
      </c>
      <c r="O1416" t="s">
        <v>1016</v>
      </c>
      <c r="P1416" t="s">
        <v>136</v>
      </c>
      <c r="Q1416" t="s">
        <v>1568</v>
      </c>
      <c r="R1416" t="s">
        <v>5283</v>
      </c>
      <c r="S1416" t="s">
        <v>126</v>
      </c>
      <c r="T1416" t="s">
        <v>567</v>
      </c>
      <c r="U1416" t="s">
        <v>128</v>
      </c>
      <c r="V1416" t="s">
        <v>114</v>
      </c>
    </row>
    <row r="1417" spans="1:22" x14ac:dyDescent="0.3">
      <c r="A1417" t="s">
        <v>5284</v>
      </c>
      <c r="B1417" t="s">
        <v>1446</v>
      </c>
      <c r="C1417" t="s">
        <v>1447</v>
      </c>
      <c r="D1417" t="s">
        <v>3478</v>
      </c>
      <c r="E1417" t="s">
        <v>267</v>
      </c>
      <c r="F1417" t="s">
        <v>66</v>
      </c>
      <c r="G1417" t="s">
        <v>67</v>
      </c>
      <c r="H1417" t="s">
        <v>68</v>
      </c>
      <c r="I1417" t="s">
        <v>69</v>
      </c>
      <c r="J1417" t="s">
        <v>30</v>
      </c>
      <c r="K1417" t="s">
        <v>215</v>
      </c>
      <c r="L1417" t="s">
        <v>927</v>
      </c>
      <c r="M1417" t="s">
        <v>4163</v>
      </c>
      <c r="N1417" t="s">
        <v>1303</v>
      </c>
      <c r="O1417" t="s">
        <v>3602</v>
      </c>
      <c r="P1417" t="s">
        <v>3534</v>
      </c>
      <c r="Q1417" t="s">
        <v>1090</v>
      </c>
      <c r="R1417" t="s">
        <v>5285</v>
      </c>
      <c r="S1417" t="s">
        <v>79</v>
      </c>
      <c r="T1417" t="s">
        <v>208</v>
      </c>
      <c r="U1417" t="s">
        <v>3459</v>
      </c>
      <c r="V1417" t="s">
        <v>58</v>
      </c>
    </row>
    <row r="1418" spans="1:22" x14ac:dyDescent="0.3">
      <c r="A1418" t="s">
        <v>5286</v>
      </c>
      <c r="B1418" t="s">
        <v>1945</v>
      </c>
      <c r="C1418" t="s">
        <v>1946</v>
      </c>
      <c r="D1418" t="s">
        <v>901</v>
      </c>
      <c r="E1418" t="s">
        <v>893</v>
      </c>
      <c r="F1418" t="s">
        <v>188</v>
      </c>
      <c r="G1418" t="s">
        <v>580</v>
      </c>
      <c r="H1418" t="s">
        <v>104</v>
      </c>
      <c r="I1418" t="s">
        <v>69</v>
      </c>
      <c r="J1418" t="s">
        <v>70</v>
      </c>
      <c r="K1418" t="s">
        <v>215</v>
      </c>
      <c r="L1418" t="s">
        <v>32</v>
      </c>
      <c r="M1418" t="s">
        <v>5287</v>
      </c>
      <c r="N1418" t="s">
        <v>3012</v>
      </c>
      <c r="O1418" t="s">
        <v>3429</v>
      </c>
      <c r="P1418" t="s">
        <v>2642</v>
      </c>
      <c r="Q1418" t="s">
        <v>1140</v>
      </c>
      <c r="R1418" t="s">
        <v>5288</v>
      </c>
      <c r="S1418" t="s">
        <v>126</v>
      </c>
      <c r="T1418" t="s">
        <v>1000</v>
      </c>
      <c r="U1418" t="s">
        <v>362</v>
      </c>
      <c r="V1418" t="s">
        <v>82</v>
      </c>
    </row>
    <row r="1419" spans="1:22" x14ac:dyDescent="0.3">
      <c r="A1419" t="s">
        <v>5289</v>
      </c>
      <c r="B1419" t="s">
        <v>2851</v>
      </c>
      <c r="C1419" t="s">
        <v>2852</v>
      </c>
      <c r="D1419" t="s">
        <v>5290</v>
      </c>
      <c r="E1419" t="s">
        <v>134</v>
      </c>
      <c r="F1419" t="s">
        <v>134</v>
      </c>
      <c r="G1419" t="s">
        <v>48</v>
      </c>
      <c r="H1419" t="s">
        <v>229</v>
      </c>
      <c r="I1419" t="s">
        <v>29</v>
      </c>
      <c r="J1419" t="s">
        <v>162</v>
      </c>
      <c r="K1419" t="s">
        <v>89</v>
      </c>
      <c r="L1419" t="s">
        <v>902</v>
      </c>
      <c r="M1419" t="s">
        <v>5291</v>
      </c>
      <c r="N1419" t="s">
        <v>261</v>
      </c>
      <c r="O1419" t="s">
        <v>2094</v>
      </c>
      <c r="P1419" t="s">
        <v>1924</v>
      </c>
      <c r="Q1419" t="s">
        <v>2279</v>
      </c>
      <c r="R1419" t="s">
        <v>5292</v>
      </c>
      <c r="S1419" t="s">
        <v>182</v>
      </c>
      <c r="T1419" t="s">
        <v>299</v>
      </c>
      <c r="U1419" t="s">
        <v>98</v>
      </c>
      <c r="V1419" t="s">
        <v>79</v>
      </c>
    </row>
    <row r="1420" spans="1:22" x14ac:dyDescent="0.3">
      <c r="A1420" t="s">
        <v>5293</v>
      </c>
      <c r="B1420" t="s">
        <v>2317</v>
      </c>
      <c r="C1420" t="s">
        <v>2318</v>
      </c>
      <c r="D1420" t="s">
        <v>3080</v>
      </c>
      <c r="E1420" t="s">
        <v>1321</v>
      </c>
      <c r="F1420" t="s">
        <v>228</v>
      </c>
      <c r="G1420" t="s">
        <v>118</v>
      </c>
      <c r="H1420" t="s">
        <v>229</v>
      </c>
      <c r="I1420" t="s">
        <v>69</v>
      </c>
      <c r="J1420" t="s">
        <v>30</v>
      </c>
      <c r="K1420" t="s">
        <v>31</v>
      </c>
      <c r="L1420" t="s">
        <v>333</v>
      </c>
      <c r="M1420" t="s">
        <v>1011</v>
      </c>
      <c r="N1420" t="s">
        <v>59</v>
      </c>
      <c r="O1420" t="s">
        <v>138</v>
      </c>
      <c r="P1420" t="s">
        <v>1141</v>
      </c>
      <c r="Q1420" t="s">
        <v>310</v>
      </c>
      <c r="R1420" t="s">
        <v>5294</v>
      </c>
      <c r="S1420" t="s">
        <v>58</v>
      </c>
      <c r="T1420" t="s">
        <v>1099</v>
      </c>
      <c r="U1420" t="s">
        <v>41</v>
      </c>
      <c r="V1420" t="s">
        <v>82</v>
      </c>
    </row>
    <row r="1421" spans="1:22" x14ac:dyDescent="0.3">
      <c r="A1421" t="s">
        <v>5295</v>
      </c>
      <c r="B1421" t="s">
        <v>4229</v>
      </c>
      <c r="C1421" t="s">
        <v>4230</v>
      </c>
      <c r="D1421" t="s">
        <v>878</v>
      </c>
      <c r="E1421" t="s">
        <v>634</v>
      </c>
      <c r="F1421" t="s">
        <v>228</v>
      </c>
      <c r="G1421" t="s">
        <v>67</v>
      </c>
      <c r="H1421" t="s">
        <v>68</v>
      </c>
      <c r="I1421" t="s">
        <v>29</v>
      </c>
      <c r="J1421" t="s">
        <v>30</v>
      </c>
      <c r="K1421" t="s">
        <v>293</v>
      </c>
      <c r="L1421" t="s">
        <v>812</v>
      </c>
      <c r="M1421" t="s">
        <v>4051</v>
      </c>
      <c r="N1421" t="s">
        <v>308</v>
      </c>
      <c r="O1421" t="s">
        <v>2881</v>
      </c>
      <c r="P1421" t="s">
        <v>842</v>
      </c>
      <c r="Q1421" t="s">
        <v>1604</v>
      </c>
      <c r="R1421" t="s">
        <v>2719</v>
      </c>
      <c r="S1421" t="s">
        <v>58</v>
      </c>
      <c r="T1421" t="s">
        <v>553</v>
      </c>
      <c r="U1421" t="s">
        <v>60</v>
      </c>
      <c r="V1421" t="s">
        <v>58</v>
      </c>
    </row>
    <row r="1422" spans="1:22" x14ac:dyDescent="0.3">
      <c r="A1422" t="s">
        <v>5296</v>
      </c>
      <c r="B1422" t="s">
        <v>5297</v>
      </c>
      <c r="C1422" t="s">
        <v>5298</v>
      </c>
      <c r="D1422" t="s">
        <v>2788</v>
      </c>
      <c r="E1422" t="s">
        <v>730</v>
      </c>
      <c r="F1422" t="s">
        <v>26</v>
      </c>
      <c r="G1422" t="s">
        <v>67</v>
      </c>
      <c r="H1422" t="s">
        <v>68</v>
      </c>
      <c r="I1422" t="s">
        <v>29</v>
      </c>
      <c r="J1422" t="s">
        <v>70</v>
      </c>
      <c r="K1422" t="s">
        <v>89</v>
      </c>
      <c r="L1422" t="s">
        <v>1382</v>
      </c>
      <c r="M1422" t="s">
        <v>5299</v>
      </c>
      <c r="N1422" t="s">
        <v>136</v>
      </c>
      <c r="O1422" t="s">
        <v>5300</v>
      </c>
      <c r="P1422" t="s">
        <v>5301</v>
      </c>
      <c r="Q1422" t="s">
        <v>1790</v>
      </c>
      <c r="R1422" t="s">
        <v>5302</v>
      </c>
      <c r="S1422" t="s">
        <v>97</v>
      </c>
      <c r="T1422" t="s">
        <v>735</v>
      </c>
      <c r="U1422" t="s">
        <v>568</v>
      </c>
      <c r="V1422" t="s">
        <v>82</v>
      </c>
    </row>
    <row r="1423" spans="1:22" x14ac:dyDescent="0.3">
      <c r="A1423" t="s">
        <v>5303</v>
      </c>
      <c r="B1423" t="s">
        <v>1468</v>
      </c>
      <c r="C1423" t="s">
        <v>1469</v>
      </c>
      <c r="D1423" t="s">
        <v>4341</v>
      </c>
      <c r="E1423" t="s">
        <v>438</v>
      </c>
      <c r="F1423" t="s">
        <v>188</v>
      </c>
      <c r="G1423" t="s">
        <v>27</v>
      </c>
      <c r="H1423" t="s">
        <v>229</v>
      </c>
      <c r="I1423" t="s">
        <v>69</v>
      </c>
      <c r="J1423" t="s">
        <v>30</v>
      </c>
      <c r="K1423" t="s">
        <v>200</v>
      </c>
      <c r="L1423" t="s">
        <v>2370</v>
      </c>
      <c r="M1423" t="s">
        <v>2434</v>
      </c>
      <c r="N1423" t="s">
        <v>1569</v>
      </c>
      <c r="O1423" t="s">
        <v>1455</v>
      </c>
      <c r="P1423" t="s">
        <v>750</v>
      </c>
      <c r="Q1423" t="s">
        <v>735</v>
      </c>
      <c r="R1423" t="s">
        <v>5304</v>
      </c>
      <c r="S1423" t="s">
        <v>79</v>
      </c>
      <c r="T1423" t="s">
        <v>721</v>
      </c>
      <c r="U1423" t="s">
        <v>277</v>
      </c>
      <c r="V1423" t="s">
        <v>79</v>
      </c>
    </row>
    <row r="1424" spans="1:22" x14ac:dyDescent="0.3">
      <c r="A1424" t="s">
        <v>5305</v>
      </c>
      <c r="B1424" t="s">
        <v>1530</v>
      </c>
      <c r="C1424" t="s">
        <v>1531</v>
      </c>
      <c r="D1424" t="s">
        <v>5306</v>
      </c>
      <c r="E1424" t="s">
        <v>243</v>
      </c>
      <c r="F1424" t="s">
        <v>244</v>
      </c>
      <c r="G1424" t="s">
        <v>147</v>
      </c>
      <c r="H1424" t="s">
        <v>214</v>
      </c>
      <c r="I1424" t="s">
        <v>29</v>
      </c>
      <c r="J1424" t="s">
        <v>70</v>
      </c>
      <c r="K1424" t="s">
        <v>71</v>
      </c>
      <c r="L1424" t="s">
        <v>551</v>
      </c>
      <c r="M1424" t="s">
        <v>1140</v>
      </c>
      <c r="N1424" t="s">
        <v>770</v>
      </c>
      <c r="O1424" t="s">
        <v>806</v>
      </c>
      <c r="P1424" t="s">
        <v>259</v>
      </c>
      <c r="Q1424" t="s">
        <v>384</v>
      </c>
      <c r="R1424" t="s">
        <v>5307</v>
      </c>
      <c r="S1424" t="s">
        <v>79</v>
      </c>
      <c r="T1424" t="s">
        <v>59</v>
      </c>
      <c r="U1424" t="s">
        <v>472</v>
      </c>
      <c r="V1424" t="s">
        <v>114</v>
      </c>
    </row>
    <row r="1425" spans="1:22" x14ac:dyDescent="0.3">
      <c r="A1425" t="s">
        <v>5308</v>
      </c>
      <c r="B1425" t="s">
        <v>2312</v>
      </c>
      <c r="C1425" t="s">
        <v>2313</v>
      </c>
      <c r="D1425" t="s">
        <v>4949</v>
      </c>
      <c r="E1425" t="s">
        <v>417</v>
      </c>
      <c r="F1425" t="s">
        <v>134</v>
      </c>
      <c r="G1425" t="s">
        <v>103</v>
      </c>
      <c r="H1425" t="s">
        <v>88</v>
      </c>
      <c r="I1425" t="s">
        <v>29</v>
      </c>
      <c r="J1425" t="s">
        <v>30</v>
      </c>
      <c r="K1425" t="s">
        <v>31</v>
      </c>
      <c r="L1425" t="s">
        <v>653</v>
      </c>
      <c r="M1425" t="s">
        <v>2230</v>
      </c>
      <c r="N1425" t="s">
        <v>233</v>
      </c>
      <c r="O1425" t="s">
        <v>992</v>
      </c>
      <c r="P1425" t="s">
        <v>842</v>
      </c>
      <c r="Q1425" t="s">
        <v>573</v>
      </c>
      <c r="R1425" t="s">
        <v>5309</v>
      </c>
      <c r="S1425" t="s">
        <v>182</v>
      </c>
      <c r="T1425" t="s">
        <v>140</v>
      </c>
      <c r="U1425" t="s">
        <v>867</v>
      </c>
      <c r="V1425" t="s">
        <v>79</v>
      </c>
    </row>
    <row r="1426" spans="1:22" x14ac:dyDescent="0.3">
      <c r="A1426" t="s">
        <v>5310</v>
      </c>
      <c r="B1426" t="s">
        <v>1368</v>
      </c>
      <c r="C1426" t="s">
        <v>1369</v>
      </c>
      <c r="D1426" t="s">
        <v>3946</v>
      </c>
      <c r="E1426" t="s">
        <v>282</v>
      </c>
      <c r="F1426" t="s">
        <v>282</v>
      </c>
      <c r="G1426" t="s">
        <v>48</v>
      </c>
      <c r="H1426" t="s">
        <v>68</v>
      </c>
      <c r="I1426" t="s">
        <v>69</v>
      </c>
      <c r="J1426" t="s">
        <v>257</v>
      </c>
      <c r="K1426" t="s">
        <v>50</v>
      </c>
      <c r="L1426" t="s">
        <v>682</v>
      </c>
      <c r="M1426" t="s">
        <v>2160</v>
      </c>
      <c r="N1426" t="s">
        <v>1013</v>
      </c>
      <c r="O1426" t="s">
        <v>880</v>
      </c>
      <c r="P1426" t="s">
        <v>382</v>
      </c>
      <c r="Q1426" t="s">
        <v>252</v>
      </c>
      <c r="R1426" t="s">
        <v>5311</v>
      </c>
      <c r="S1426" t="s">
        <v>182</v>
      </c>
      <c r="T1426" t="s">
        <v>770</v>
      </c>
      <c r="U1426" t="s">
        <v>288</v>
      </c>
      <c r="V1426" t="s">
        <v>58</v>
      </c>
    </row>
    <row r="1427" spans="1:22" x14ac:dyDescent="0.3">
      <c r="A1427" t="s">
        <v>5312</v>
      </c>
      <c r="B1427" t="s">
        <v>3448</v>
      </c>
      <c r="C1427" t="s">
        <v>3449</v>
      </c>
      <c r="D1427" t="s">
        <v>718</v>
      </c>
      <c r="E1427" t="s">
        <v>160</v>
      </c>
      <c r="F1427" t="s">
        <v>161</v>
      </c>
      <c r="G1427" t="s">
        <v>118</v>
      </c>
      <c r="H1427" t="s">
        <v>268</v>
      </c>
      <c r="I1427" t="s">
        <v>69</v>
      </c>
      <c r="J1427" t="s">
        <v>70</v>
      </c>
      <c r="K1427" t="s">
        <v>200</v>
      </c>
      <c r="L1427" t="s">
        <v>1562</v>
      </c>
      <c r="M1427" t="s">
        <v>1377</v>
      </c>
      <c r="N1427" t="s">
        <v>782</v>
      </c>
      <c r="O1427" t="s">
        <v>1655</v>
      </c>
      <c r="P1427" t="s">
        <v>2325</v>
      </c>
      <c r="Q1427" t="s">
        <v>297</v>
      </c>
      <c r="R1427" t="s">
        <v>5313</v>
      </c>
      <c r="S1427" t="s">
        <v>58</v>
      </c>
      <c r="T1427" t="s">
        <v>666</v>
      </c>
      <c r="U1427" t="s">
        <v>362</v>
      </c>
      <c r="V1427" t="s">
        <v>82</v>
      </c>
    </row>
    <row r="1428" spans="1:22" x14ac:dyDescent="0.3">
      <c r="A1428" t="s">
        <v>5314</v>
      </c>
      <c r="B1428" t="s">
        <v>4752</v>
      </c>
      <c r="C1428" t="s">
        <v>4753</v>
      </c>
      <c r="D1428" t="s">
        <v>2137</v>
      </c>
      <c r="E1428" t="s">
        <v>893</v>
      </c>
      <c r="F1428" t="s">
        <v>188</v>
      </c>
      <c r="G1428" t="s">
        <v>118</v>
      </c>
      <c r="H1428" t="s">
        <v>49</v>
      </c>
      <c r="I1428" t="s">
        <v>29</v>
      </c>
      <c r="J1428" t="s">
        <v>30</v>
      </c>
      <c r="K1428" t="s">
        <v>50</v>
      </c>
      <c r="L1428" t="s">
        <v>487</v>
      </c>
      <c r="M1428" t="s">
        <v>842</v>
      </c>
      <c r="O1428" t="s">
        <v>822</v>
      </c>
      <c r="P1428" t="s">
        <v>334</v>
      </c>
      <c r="Q1428" t="s">
        <v>392</v>
      </c>
      <c r="R1428" t="s">
        <v>5315</v>
      </c>
      <c r="S1428" t="s">
        <v>182</v>
      </c>
      <c r="T1428" t="s">
        <v>448</v>
      </c>
      <c r="U1428" t="s">
        <v>98</v>
      </c>
      <c r="V1428" t="s">
        <v>58</v>
      </c>
    </row>
    <row r="1429" spans="1:22" x14ac:dyDescent="0.3">
      <c r="A1429" t="s">
        <v>5316</v>
      </c>
      <c r="B1429" t="s">
        <v>1546</v>
      </c>
      <c r="C1429" t="s">
        <v>1547</v>
      </c>
      <c r="D1429" t="s">
        <v>5202</v>
      </c>
      <c r="E1429" t="s">
        <v>228</v>
      </c>
      <c r="F1429" t="s">
        <v>228</v>
      </c>
      <c r="G1429" t="s">
        <v>103</v>
      </c>
      <c r="H1429" t="s">
        <v>229</v>
      </c>
      <c r="I1429" t="s">
        <v>29</v>
      </c>
      <c r="J1429" t="s">
        <v>30</v>
      </c>
      <c r="K1429" t="s">
        <v>245</v>
      </c>
      <c r="L1429" t="s">
        <v>201</v>
      </c>
      <c r="M1429" t="s">
        <v>458</v>
      </c>
      <c r="N1429" t="s">
        <v>179</v>
      </c>
      <c r="O1429" t="s">
        <v>458</v>
      </c>
      <c r="P1429" t="s">
        <v>3486</v>
      </c>
      <c r="Q1429" t="s">
        <v>1112</v>
      </c>
      <c r="R1429" t="s">
        <v>3298</v>
      </c>
      <c r="S1429" t="s">
        <v>97</v>
      </c>
      <c r="T1429" t="s">
        <v>384</v>
      </c>
      <c r="U1429" t="s">
        <v>423</v>
      </c>
      <c r="V1429" t="s">
        <v>58</v>
      </c>
    </row>
    <row r="1430" spans="1:22" x14ac:dyDescent="0.3">
      <c r="A1430" t="s">
        <v>5317</v>
      </c>
      <c r="B1430" t="s">
        <v>706</v>
      </c>
      <c r="C1430" t="s">
        <v>707</v>
      </c>
      <c r="D1430" t="s">
        <v>2314</v>
      </c>
      <c r="E1430" t="s">
        <v>354</v>
      </c>
      <c r="F1430" t="s">
        <v>134</v>
      </c>
      <c r="G1430" t="s">
        <v>580</v>
      </c>
      <c r="H1430" t="s">
        <v>28</v>
      </c>
      <c r="I1430" t="s">
        <v>69</v>
      </c>
      <c r="J1430" t="s">
        <v>30</v>
      </c>
      <c r="K1430" t="s">
        <v>293</v>
      </c>
      <c r="L1430" t="s">
        <v>551</v>
      </c>
      <c r="M1430" t="s">
        <v>3145</v>
      </c>
      <c r="N1430" t="s">
        <v>74</v>
      </c>
      <c r="O1430" t="s">
        <v>2950</v>
      </c>
      <c r="P1430" t="s">
        <v>250</v>
      </c>
      <c r="Q1430" t="s">
        <v>2143</v>
      </c>
      <c r="R1430" t="s">
        <v>5318</v>
      </c>
      <c r="S1430" t="s">
        <v>39</v>
      </c>
      <c r="T1430" t="s">
        <v>92</v>
      </c>
      <c r="U1430" t="s">
        <v>385</v>
      </c>
      <c r="V1430" t="s">
        <v>114</v>
      </c>
    </row>
    <row r="1431" spans="1:22" x14ac:dyDescent="0.3">
      <c r="A1431" t="s">
        <v>5319</v>
      </c>
      <c r="B1431" t="s">
        <v>1708</v>
      </c>
      <c r="C1431" t="s">
        <v>1709</v>
      </c>
      <c r="D1431" t="s">
        <v>1923</v>
      </c>
      <c r="E1431" t="s">
        <v>243</v>
      </c>
      <c r="F1431" t="s">
        <v>244</v>
      </c>
      <c r="G1431" t="s">
        <v>580</v>
      </c>
      <c r="H1431" t="s">
        <v>68</v>
      </c>
      <c r="I1431" t="s">
        <v>69</v>
      </c>
      <c r="J1431" t="s">
        <v>70</v>
      </c>
      <c r="K1431" t="s">
        <v>50</v>
      </c>
      <c r="L1431" t="s">
        <v>119</v>
      </c>
      <c r="M1431" t="s">
        <v>2340</v>
      </c>
      <c r="N1431" t="s">
        <v>553</v>
      </c>
      <c r="O1431" t="s">
        <v>3007</v>
      </c>
      <c r="P1431" t="s">
        <v>886</v>
      </c>
      <c r="Q1431" t="s">
        <v>3165</v>
      </c>
      <c r="R1431" t="s">
        <v>5320</v>
      </c>
      <c r="S1431" t="s">
        <v>39</v>
      </c>
      <c r="T1431" t="s">
        <v>40</v>
      </c>
      <c r="U1431" t="s">
        <v>128</v>
      </c>
      <c r="V1431" t="s">
        <v>82</v>
      </c>
    </row>
    <row r="1432" spans="1:22" x14ac:dyDescent="0.3">
      <c r="A1432" t="s">
        <v>5321</v>
      </c>
      <c r="B1432" t="s">
        <v>2135</v>
      </c>
      <c r="C1432" t="s">
        <v>2136</v>
      </c>
      <c r="D1432" t="s">
        <v>5322</v>
      </c>
      <c r="E1432" t="s">
        <v>26</v>
      </c>
      <c r="F1432" t="s">
        <v>26</v>
      </c>
      <c r="G1432" t="s">
        <v>580</v>
      </c>
      <c r="H1432" t="s">
        <v>28</v>
      </c>
      <c r="I1432" t="s">
        <v>69</v>
      </c>
      <c r="J1432" t="s">
        <v>162</v>
      </c>
      <c r="K1432" t="s">
        <v>230</v>
      </c>
      <c r="L1432" t="s">
        <v>258</v>
      </c>
      <c r="M1432" t="s">
        <v>5323</v>
      </c>
      <c r="N1432" t="s">
        <v>2262</v>
      </c>
      <c r="O1432" t="s">
        <v>5324</v>
      </c>
      <c r="P1432" t="s">
        <v>5325</v>
      </c>
      <c r="Q1432" t="s">
        <v>206</v>
      </c>
      <c r="R1432" t="s">
        <v>5326</v>
      </c>
      <c r="S1432" t="s">
        <v>97</v>
      </c>
      <c r="T1432" t="s">
        <v>392</v>
      </c>
      <c r="U1432" t="s">
        <v>288</v>
      </c>
      <c r="V1432" t="s">
        <v>114</v>
      </c>
    </row>
    <row r="1433" spans="1:22" x14ac:dyDescent="0.3">
      <c r="A1433" t="s">
        <v>5327</v>
      </c>
      <c r="B1433" t="s">
        <v>2191</v>
      </c>
      <c r="C1433" t="s">
        <v>2192</v>
      </c>
      <c r="D1433" t="s">
        <v>2304</v>
      </c>
      <c r="E1433" t="s">
        <v>160</v>
      </c>
      <c r="F1433" t="s">
        <v>161</v>
      </c>
      <c r="G1433" t="s">
        <v>67</v>
      </c>
      <c r="H1433" t="s">
        <v>229</v>
      </c>
      <c r="I1433" t="s">
        <v>29</v>
      </c>
      <c r="J1433" t="s">
        <v>30</v>
      </c>
      <c r="K1433" t="s">
        <v>245</v>
      </c>
      <c r="L1433" t="s">
        <v>927</v>
      </c>
      <c r="M1433" t="s">
        <v>1527</v>
      </c>
      <c r="N1433" t="s">
        <v>751</v>
      </c>
      <c r="O1433" t="s">
        <v>1283</v>
      </c>
      <c r="P1433" t="s">
        <v>1396</v>
      </c>
      <c r="Q1433" t="s">
        <v>107</v>
      </c>
      <c r="R1433" t="s">
        <v>5328</v>
      </c>
      <c r="S1433" t="s">
        <v>79</v>
      </c>
      <c r="T1433" t="s">
        <v>440</v>
      </c>
      <c r="U1433" t="s">
        <v>155</v>
      </c>
      <c r="V1433" t="s">
        <v>58</v>
      </c>
    </row>
    <row r="1434" spans="1:22" x14ac:dyDescent="0.3">
      <c r="A1434" t="s">
        <v>5329</v>
      </c>
      <c r="B1434" t="s">
        <v>1459</v>
      </c>
      <c r="C1434" t="s">
        <v>1460</v>
      </c>
      <c r="D1434" t="s">
        <v>3485</v>
      </c>
      <c r="E1434" t="s">
        <v>160</v>
      </c>
      <c r="F1434" t="s">
        <v>161</v>
      </c>
      <c r="G1434" t="s">
        <v>147</v>
      </c>
      <c r="H1434" t="s">
        <v>229</v>
      </c>
      <c r="I1434" t="s">
        <v>29</v>
      </c>
      <c r="J1434" t="s">
        <v>162</v>
      </c>
      <c r="K1434" t="s">
        <v>215</v>
      </c>
      <c r="L1434" t="s">
        <v>90</v>
      </c>
      <c r="M1434" t="s">
        <v>4681</v>
      </c>
      <c r="N1434" t="s">
        <v>74</v>
      </c>
      <c r="O1434" t="s">
        <v>1907</v>
      </c>
      <c r="P1434" t="s">
        <v>712</v>
      </c>
      <c r="Q1434" t="s">
        <v>732</v>
      </c>
      <c r="R1434" t="s">
        <v>528</v>
      </c>
      <c r="S1434" t="s">
        <v>182</v>
      </c>
      <c r="T1434" t="s">
        <v>489</v>
      </c>
      <c r="U1434" t="s">
        <v>98</v>
      </c>
      <c r="V1434" t="s">
        <v>42</v>
      </c>
    </row>
    <row r="1435" spans="1:22" x14ac:dyDescent="0.3">
      <c r="A1435" t="s">
        <v>5330</v>
      </c>
      <c r="B1435" t="s">
        <v>1399</v>
      </c>
      <c r="C1435" t="s">
        <v>1400</v>
      </c>
      <c r="D1435" t="s">
        <v>199</v>
      </c>
      <c r="E1435" t="s">
        <v>47</v>
      </c>
      <c r="F1435" t="s">
        <v>26</v>
      </c>
      <c r="G1435" t="s">
        <v>103</v>
      </c>
      <c r="H1435" t="s">
        <v>49</v>
      </c>
      <c r="I1435" t="s">
        <v>69</v>
      </c>
      <c r="J1435" t="s">
        <v>30</v>
      </c>
      <c r="K1435" t="s">
        <v>50</v>
      </c>
      <c r="L1435" t="s">
        <v>871</v>
      </c>
      <c r="M1435" t="s">
        <v>5331</v>
      </c>
      <c r="N1435" t="s">
        <v>179</v>
      </c>
      <c r="O1435" t="s">
        <v>5331</v>
      </c>
      <c r="P1435" t="s">
        <v>4142</v>
      </c>
      <c r="Q1435" t="s">
        <v>856</v>
      </c>
      <c r="R1435" t="s">
        <v>5332</v>
      </c>
      <c r="S1435" t="s">
        <v>182</v>
      </c>
      <c r="T1435" t="s">
        <v>583</v>
      </c>
      <c r="U1435" t="s">
        <v>373</v>
      </c>
      <c r="V1435" t="s">
        <v>114</v>
      </c>
    </row>
    <row r="1436" spans="1:22" x14ac:dyDescent="0.3">
      <c r="A1436" t="s">
        <v>5333</v>
      </c>
      <c r="B1436" t="s">
        <v>4446</v>
      </c>
      <c r="C1436" t="s">
        <v>4447</v>
      </c>
      <c r="D1436" t="s">
        <v>2049</v>
      </c>
      <c r="E1436" t="s">
        <v>634</v>
      </c>
      <c r="F1436" t="s">
        <v>228</v>
      </c>
      <c r="G1436" t="s">
        <v>27</v>
      </c>
      <c r="H1436" t="s">
        <v>104</v>
      </c>
      <c r="I1436" t="s">
        <v>29</v>
      </c>
      <c r="J1436" t="s">
        <v>70</v>
      </c>
      <c r="K1436" t="s">
        <v>245</v>
      </c>
      <c r="L1436" t="s">
        <v>163</v>
      </c>
      <c r="M1436" t="s">
        <v>984</v>
      </c>
      <c r="N1436" t="s">
        <v>529</v>
      </c>
      <c r="O1436" t="s">
        <v>2073</v>
      </c>
      <c r="P1436" t="s">
        <v>139</v>
      </c>
      <c r="Q1436" t="s">
        <v>518</v>
      </c>
      <c r="R1436" t="s">
        <v>3039</v>
      </c>
      <c r="S1436" t="s">
        <v>58</v>
      </c>
      <c r="T1436" t="s">
        <v>621</v>
      </c>
      <c r="U1436" t="s">
        <v>238</v>
      </c>
      <c r="V1436" t="s">
        <v>58</v>
      </c>
    </row>
    <row r="1437" spans="1:22" x14ac:dyDescent="0.3">
      <c r="A1437" t="s">
        <v>5334</v>
      </c>
      <c r="B1437" t="s">
        <v>577</v>
      </c>
      <c r="C1437" t="s">
        <v>578</v>
      </c>
      <c r="D1437" t="s">
        <v>1088</v>
      </c>
      <c r="E1437" t="s">
        <v>176</v>
      </c>
      <c r="F1437" t="s">
        <v>161</v>
      </c>
      <c r="G1437" t="s">
        <v>118</v>
      </c>
      <c r="H1437" t="s">
        <v>68</v>
      </c>
      <c r="I1437" t="s">
        <v>69</v>
      </c>
      <c r="J1437" t="s">
        <v>70</v>
      </c>
      <c r="K1437" t="s">
        <v>200</v>
      </c>
      <c r="L1437" t="s">
        <v>1037</v>
      </c>
      <c r="M1437" t="s">
        <v>404</v>
      </c>
      <c r="N1437" t="s">
        <v>308</v>
      </c>
      <c r="O1437" t="s">
        <v>1222</v>
      </c>
      <c r="P1437" t="s">
        <v>1456</v>
      </c>
      <c r="Q1437" t="s">
        <v>2450</v>
      </c>
      <c r="R1437" t="s">
        <v>5335</v>
      </c>
      <c r="S1437" t="s">
        <v>39</v>
      </c>
      <c r="T1437" t="s">
        <v>543</v>
      </c>
      <c r="U1437" t="s">
        <v>423</v>
      </c>
      <c r="V1437" t="s">
        <v>82</v>
      </c>
    </row>
    <row r="1438" spans="1:22" x14ac:dyDescent="0.3">
      <c r="A1438" t="s">
        <v>5336</v>
      </c>
      <c r="B1438" t="s">
        <v>595</v>
      </c>
      <c r="C1438" t="s">
        <v>596</v>
      </c>
      <c r="D1438" t="s">
        <v>1811</v>
      </c>
      <c r="E1438" t="s">
        <v>399</v>
      </c>
      <c r="F1438" t="s">
        <v>188</v>
      </c>
      <c r="G1438" t="s">
        <v>27</v>
      </c>
      <c r="H1438" t="s">
        <v>68</v>
      </c>
      <c r="I1438" t="s">
        <v>29</v>
      </c>
      <c r="J1438" t="s">
        <v>162</v>
      </c>
      <c r="K1438" t="s">
        <v>200</v>
      </c>
      <c r="L1438" t="s">
        <v>177</v>
      </c>
      <c r="M1438" t="s">
        <v>2038</v>
      </c>
      <c r="N1438" t="s">
        <v>179</v>
      </c>
      <c r="O1438" t="s">
        <v>2038</v>
      </c>
      <c r="P1438" t="s">
        <v>2590</v>
      </c>
      <c r="Q1438" t="s">
        <v>286</v>
      </c>
      <c r="R1438" t="s">
        <v>5337</v>
      </c>
      <c r="S1438" t="s">
        <v>126</v>
      </c>
      <c r="T1438" t="s">
        <v>336</v>
      </c>
      <c r="U1438" t="s">
        <v>155</v>
      </c>
      <c r="V1438" t="s">
        <v>79</v>
      </c>
    </row>
    <row r="1439" spans="1:22" x14ac:dyDescent="0.3">
      <c r="A1439" t="s">
        <v>5338</v>
      </c>
      <c r="B1439" t="s">
        <v>5339</v>
      </c>
      <c r="C1439" t="s">
        <v>5340</v>
      </c>
      <c r="D1439" t="s">
        <v>3514</v>
      </c>
      <c r="E1439" t="s">
        <v>134</v>
      </c>
      <c r="F1439" t="s">
        <v>134</v>
      </c>
      <c r="G1439" t="s">
        <v>67</v>
      </c>
      <c r="H1439" t="s">
        <v>88</v>
      </c>
      <c r="I1439" t="s">
        <v>29</v>
      </c>
      <c r="J1439" t="s">
        <v>30</v>
      </c>
      <c r="K1439" t="s">
        <v>89</v>
      </c>
      <c r="L1439" t="s">
        <v>177</v>
      </c>
      <c r="M1439" t="s">
        <v>2073</v>
      </c>
      <c r="N1439" t="s">
        <v>448</v>
      </c>
      <c r="O1439" t="s">
        <v>646</v>
      </c>
      <c r="P1439" t="s">
        <v>153</v>
      </c>
      <c r="Q1439" t="s">
        <v>567</v>
      </c>
      <c r="R1439" t="s">
        <v>5341</v>
      </c>
      <c r="S1439" t="s">
        <v>182</v>
      </c>
      <c r="T1439" t="s">
        <v>1162</v>
      </c>
      <c r="U1439" t="s">
        <v>60</v>
      </c>
      <c r="V1439" t="s">
        <v>42</v>
      </c>
    </row>
    <row r="1440" spans="1:22" x14ac:dyDescent="0.3">
      <c r="A1440" t="s">
        <v>5342</v>
      </c>
      <c r="B1440" t="s">
        <v>1912</v>
      </c>
      <c r="C1440" t="s">
        <v>1913</v>
      </c>
      <c r="D1440" t="s">
        <v>3418</v>
      </c>
      <c r="E1440" t="s">
        <v>244</v>
      </c>
      <c r="F1440" t="s">
        <v>244</v>
      </c>
      <c r="G1440" t="s">
        <v>147</v>
      </c>
      <c r="H1440" t="s">
        <v>229</v>
      </c>
      <c r="I1440" t="s">
        <v>69</v>
      </c>
      <c r="J1440" t="s">
        <v>30</v>
      </c>
      <c r="K1440" t="s">
        <v>89</v>
      </c>
      <c r="L1440" t="s">
        <v>1562</v>
      </c>
      <c r="M1440" t="s">
        <v>5343</v>
      </c>
      <c r="N1440" t="s">
        <v>784</v>
      </c>
      <c r="O1440" t="s">
        <v>4991</v>
      </c>
      <c r="P1440" t="s">
        <v>5344</v>
      </c>
      <c r="Q1440" t="s">
        <v>136</v>
      </c>
      <c r="R1440" t="s">
        <v>3195</v>
      </c>
      <c r="S1440" t="s">
        <v>58</v>
      </c>
      <c r="T1440" t="s">
        <v>1539</v>
      </c>
      <c r="U1440" t="s">
        <v>300</v>
      </c>
      <c r="V1440" t="s">
        <v>82</v>
      </c>
    </row>
    <row r="1441" spans="1:22" x14ac:dyDescent="0.3">
      <c r="A1441" t="s">
        <v>5345</v>
      </c>
      <c r="B1441" t="s">
        <v>1960</v>
      </c>
      <c r="C1441" t="s">
        <v>1961</v>
      </c>
      <c r="D1441" t="s">
        <v>2175</v>
      </c>
      <c r="E1441" t="s">
        <v>342</v>
      </c>
      <c r="F1441" t="s">
        <v>244</v>
      </c>
      <c r="G1441" t="s">
        <v>103</v>
      </c>
      <c r="H1441" t="s">
        <v>214</v>
      </c>
      <c r="I1441" t="s">
        <v>69</v>
      </c>
      <c r="J1441" t="s">
        <v>162</v>
      </c>
      <c r="K1441" t="s">
        <v>215</v>
      </c>
      <c r="L1441" t="s">
        <v>1139</v>
      </c>
      <c r="M1441" t="s">
        <v>5346</v>
      </c>
      <c r="N1441" t="s">
        <v>1028</v>
      </c>
      <c r="O1441" t="s">
        <v>283</v>
      </c>
      <c r="P1441" t="s">
        <v>357</v>
      </c>
      <c r="Q1441" t="s">
        <v>382</v>
      </c>
      <c r="R1441" t="s">
        <v>5347</v>
      </c>
      <c r="S1441" t="s">
        <v>79</v>
      </c>
      <c r="T1441" t="s">
        <v>896</v>
      </c>
      <c r="U1441" t="s">
        <v>373</v>
      </c>
      <c r="V1441" t="s">
        <v>58</v>
      </c>
    </row>
    <row r="1442" spans="1:22" x14ac:dyDescent="0.3">
      <c r="A1442" t="s">
        <v>5348</v>
      </c>
      <c r="B1442" t="s">
        <v>951</v>
      </c>
      <c r="C1442" t="s">
        <v>952</v>
      </c>
      <c r="D1442" t="s">
        <v>2978</v>
      </c>
      <c r="E1442" t="s">
        <v>133</v>
      </c>
      <c r="F1442" t="s">
        <v>134</v>
      </c>
      <c r="G1442" t="s">
        <v>580</v>
      </c>
      <c r="H1442" t="s">
        <v>68</v>
      </c>
      <c r="I1442" t="s">
        <v>69</v>
      </c>
      <c r="J1442" t="s">
        <v>30</v>
      </c>
      <c r="K1442" t="s">
        <v>71</v>
      </c>
      <c r="L1442" t="s">
        <v>333</v>
      </c>
      <c r="M1442" t="s">
        <v>5349</v>
      </c>
      <c r="N1442" t="s">
        <v>735</v>
      </c>
      <c r="O1442" t="s">
        <v>5350</v>
      </c>
      <c r="P1442" t="s">
        <v>5351</v>
      </c>
      <c r="Q1442" t="s">
        <v>949</v>
      </c>
      <c r="R1442" t="s">
        <v>3313</v>
      </c>
      <c r="S1442" t="s">
        <v>182</v>
      </c>
      <c r="T1442" t="s">
        <v>553</v>
      </c>
      <c r="U1442" t="s">
        <v>362</v>
      </c>
      <c r="V1442" t="s">
        <v>114</v>
      </c>
    </row>
    <row r="1443" spans="1:22" x14ac:dyDescent="0.3">
      <c r="A1443" t="s">
        <v>5352</v>
      </c>
      <c r="B1443" t="s">
        <v>4446</v>
      </c>
      <c r="C1443" t="s">
        <v>4447</v>
      </c>
      <c r="D1443" t="s">
        <v>3129</v>
      </c>
      <c r="E1443" t="s">
        <v>282</v>
      </c>
      <c r="F1443" t="s">
        <v>282</v>
      </c>
      <c r="G1443" t="s">
        <v>67</v>
      </c>
      <c r="H1443" t="s">
        <v>268</v>
      </c>
      <c r="I1443" t="s">
        <v>29</v>
      </c>
      <c r="J1443" t="s">
        <v>162</v>
      </c>
      <c r="K1443" t="s">
        <v>293</v>
      </c>
      <c r="L1443" t="s">
        <v>246</v>
      </c>
      <c r="M1443" t="s">
        <v>2792</v>
      </c>
      <c r="N1443" t="s">
        <v>567</v>
      </c>
      <c r="O1443" t="s">
        <v>965</v>
      </c>
      <c r="P1443" t="s">
        <v>1777</v>
      </c>
      <c r="Q1443" t="s">
        <v>685</v>
      </c>
      <c r="R1443" t="s">
        <v>5353</v>
      </c>
      <c r="S1443" t="s">
        <v>39</v>
      </c>
      <c r="T1443" t="s">
        <v>452</v>
      </c>
      <c r="U1443" t="s">
        <v>171</v>
      </c>
      <c r="V1443" t="s">
        <v>82</v>
      </c>
    </row>
    <row r="1444" spans="1:22" x14ac:dyDescent="0.3">
      <c r="A1444" t="s">
        <v>5354</v>
      </c>
      <c r="B1444" t="s">
        <v>3118</v>
      </c>
      <c r="C1444" t="s">
        <v>3119</v>
      </c>
      <c r="D1444" t="s">
        <v>4852</v>
      </c>
      <c r="E1444" t="s">
        <v>1321</v>
      </c>
      <c r="F1444" t="s">
        <v>228</v>
      </c>
      <c r="G1444" t="s">
        <v>103</v>
      </c>
      <c r="H1444" t="s">
        <v>68</v>
      </c>
      <c r="I1444" t="s">
        <v>69</v>
      </c>
      <c r="J1444" t="s">
        <v>162</v>
      </c>
      <c r="K1444" t="s">
        <v>71</v>
      </c>
      <c r="L1444" t="s">
        <v>1156</v>
      </c>
      <c r="M1444" t="s">
        <v>1079</v>
      </c>
      <c r="N1444" t="s">
        <v>179</v>
      </c>
      <c r="O1444" t="s">
        <v>1079</v>
      </c>
      <c r="P1444" t="s">
        <v>2501</v>
      </c>
      <c r="Q1444" t="s">
        <v>710</v>
      </c>
      <c r="R1444" t="s">
        <v>2643</v>
      </c>
      <c r="S1444" t="s">
        <v>182</v>
      </c>
      <c r="T1444" t="s">
        <v>165</v>
      </c>
      <c r="U1444" t="s">
        <v>288</v>
      </c>
      <c r="V1444" t="s">
        <v>82</v>
      </c>
    </row>
    <row r="1445" spans="1:22" x14ac:dyDescent="0.3">
      <c r="A1445" t="s">
        <v>5355</v>
      </c>
      <c r="B1445" t="s">
        <v>501</v>
      </c>
      <c r="C1445" t="s">
        <v>502</v>
      </c>
      <c r="D1445" t="s">
        <v>5306</v>
      </c>
      <c r="E1445" t="s">
        <v>282</v>
      </c>
      <c r="F1445" t="s">
        <v>282</v>
      </c>
      <c r="G1445" t="s">
        <v>27</v>
      </c>
      <c r="H1445" t="s">
        <v>229</v>
      </c>
      <c r="I1445" t="s">
        <v>69</v>
      </c>
      <c r="J1445" t="s">
        <v>70</v>
      </c>
      <c r="K1445" t="s">
        <v>200</v>
      </c>
      <c r="L1445" t="s">
        <v>333</v>
      </c>
      <c r="M1445" t="s">
        <v>1554</v>
      </c>
      <c r="N1445" t="s">
        <v>1013</v>
      </c>
      <c r="O1445" t="s">
        <v>368</v>
      </c>
      <c r="P1445" t="s">
        <v>152</v>
      </c>
      <c r="Q1445" t="s">
        <v>150</v>
      </c>
      <c r="R1445" t="s">
        <v>5356</v>
      </c>
      <c r="S1445" t="s">
        <v>79</v>
      </c>
      <c r="T1445" t="s">
        <v>170</v>
      </c>
      <c r="U1445" t="s">
        <v>373</v>
      </c>
      <c r="V1445" t="s">
        <v>82</v>
      </c>
    </row>
    <row r="1446" spans="1:22" x14ac:dyDescent="0.3">
      <c r="A1446" t="s">
        <v>5357</v>
      </c>
      <c r="B1446" t="s">
        <v>4013</v>
      </c>
      <c r="C1446" t="s">
        <v>4014</v>
      </c>
      <c r="D1446" t="s">
        <v>3528</v>
      </c>
      <c r="E1446" t="s">
        <v>228</v>
      </c>
      <c r="F1446" t="s">
        <v>228</v>
      </c>
      <c r="G1446" t="s">
        <v>118</v>
      </c>
      <c r="H1446" t="s">
        <v>88</v>
      </c>
      <c r="I1446" t="s">
        <v>29</v>
      </c>
      <c r="J1446" t="s">
        <v>70</v>
      </c>
      <c r="K1446" t="s">
        <v>31</v>
      </c>
      <c r="L1446" t="s">
        <v>902</v>
      </c>
      <c r="M1446" t="s">
        <v>953</v>
      </c>
      <c r="N1446" t="s">
        <v>179</v>
      </c>
      <c r="O1446" t="s">
        <v>953</v>
      </c>
      <c r="P1446" t="s">
        <v>849</v>
      </c>
      <c r="Q1446" t="s">
        <v>686</v>
      </c>
      <c r="R1446" t="s">
        <v>5358</v>
      </c>
      <c r="S1446" t="s">
        <v>58</v>
      </c>
      <c r="T1446" t="s">
        <v>74</v>
      </c>
      <c r="U1446" t="s">
        <v>277</v>
      </c>
      <c r="V1446" t="s">
        <v>58</v>
      </c>
    </row>
    <row r="1447" spans="1:22" x14ac:dyDescent="0.3">
      <c r="A1447" t="s">
        <v>5359</v>
      </c>
      <c r="B1447" t="s">
        <v>2915</v>
      </c>
      <c r="C1447" t="s">
        <v>2916</v>
      </c>
      <c r="D1447" t="s">
        <v>1103</v>
      </c>
      <c r="E1447" t="s">
        <v>730</v>
      </c>
      <c r="F1447" t="s">
        <v>26</v>
      </c>
      <c r="G1447" t="s">
        <v>103</v>
      </c>
      <c r="H1447" t="s">
        <v>268</v>
      </c>
      <c r="I1447" t="s">
        <v>69</v>
      </c>
      <c r="J1447" t="s">
        <v>162</v>
      </c>
      <c r="K1447" t="s">
        <v>215</v>
      </c>
      <c r="L1447" t="s">
        <v>1156</v>
      </c>
      <c r="M1447" t="s">
        <v>3720</v>
      </c>
      <c r="N1447" t="s">
        <v>179</v>
      </c>
      <c r="O1447" t="s">
        <v>3720</v>
      </c>
      <c r="P1447" t="s">
        <v>2391</v>
      </c>
      <c r="Q1447" t="s">
        <v>908</v>
      </c>
      <c r="R1447" t="s">
        <v>5360</v>
      </c>
      <c r="S1447" t="s">
        <v>126</v>
      </c>
      <c r="T1447" t="s">
        <v>326</v>
      </c>
      <c r="U1447" t="s">
        <v>537</v>
      </c>
      <c r="V1447" t="s">
        <v>114</v>
      </c>
    </row>
    <row r="1448" spans="1:22" x14ac:dyDescent="0.3">
      <c r="A1448" t="s">
        <v>5361</v>
      </c>
      <c r="B1448" t="s">
        <v>1797</v>
      </c>
      <c r="C1448" t="s">
        <v>1798</v>
      </c>
      <c r="D1448" t="s">
        <v>2654</v>
      </c>
      <c r="E1448" t="s">
        <v>780</v>
      </c>
      <c r="F1448" t="s">
        <v>282</v>
      </c>
      <c r="G1448" t="s">
        <v>48</v>
      </c>
      <c r="H1448" t="s">
        <v>28</v>
      </c>
      <c r="I1448" t="s">
        <v>69</v>
      </c>
      <c r="J1448" t="s">
        <v>162</v>
      </c>
      <c r="K1448" t="s">
        <v>230</v>
      </c>
      <c r="L1448" t="s">
        <v>773</v>
      </c>
      <c r="M1448" t="s">
        <v>1140</v>
      </c>
      <c r="N1448" t="s">
        <v>179</v>
      </c>
      <c r="O1448" t="s">
        <v>1140</v>
      </c>
      <c r="P1448" t="s">
        <v>1539</v>
      </c>
      <c r="Q1448" t="s">
        <v>37</v>
      </c>
      <c r="R1448" t="s">
        <v>5362</v>
      </c>
      <c r="S1448" t="s">
        <v>58</v>
      </c>
      <c r="T1448" t="s">
        <v>751</v>
      </c>
      <c r="U1448" t="s">
        <v>867</v>
      </c>
      <c r="V1448" t="s">
        <v>42</v>
      </c>
    </row>
    <row r="1449" spans="1:22" x14ac:dyDescent="0.3">
      <c r="A1449" t="s">
        <v>5363</v>
      </c>
      <c r="B1449" t="s">
        <v>23</v>
      </c>
      <c r="C1449" t="s">
        <v>24</v>
      </c>
      <c r="D1449" t="s">
        <v>2165</v>
      </c>
      <c r="E1449" t="s">
        <v>780</v>
      </c>
      <c r="F1449" t="s">
        <v>282</v>
      </c>
      <c r="G1449" t="s">
        <v>48</v>
      </c>
      <c r="H1449" t="s">
        <v>268</v>
      </c>
      <c r="I1449" t="s">
        <v>29</v>
      </c>
      <c r="J1449" t="s">
        <v>30</v>
      </c>
      <c r="K1449" t="s">
        <v>89</v>
      </c>
      <c r="L1449" t="s">
        <v>177</v>
      </c>
      <c r="M1449" t="s">
        <v>2377</v>
      </c>
      <c r="N1449" t="s">
        <v>179</v>
      </c>
      <c r="O1449" t="s">
        <v>2377</v>
      </c>
      <c r="P1449" t="s">
        <v>2112</v>
      </c>
      <c r="Q1449" t="s">
        <v>3456</v>
      </c>
      <c r="R1449" t="s">
        <v>3699</v>
      </c>
      <c r="S1449" t="s">
        <v>58</v>
      </c>
      <c r="T1449" t="s">
        <v>735</v>
      </c>
      <c r="U1449" t="s">
        <v>394</v>
      </c>
      <c r="V1449" t="s">
        <v>82</v>
      </c>
    </row>
    <row r="1450" spans="1:22" x14ac:dyDescent="0.3">
      <c r="A1450" t="s">
        <v>5364</v>
      </c>
      <c r="B1450" t="s">
        <v>264</v>
      </c>
      <c r="C1450" t="s">
        <v>265</v>
      </c>
      <c r="D1450" t="s">
        <v>4855</v>
      </c>
      <c r="E1450" t="s">
        <v>243</v>
      </c>
      <c r="F1450" t="s">
        <v>244</v>
      </c>
      <c r="G1450" t="s">
        <v>213</v>
      </c>
      <c r="H1450" t="s">
        <v>229</v>
      </c>
      <c r="I1450" t="s">
        <v>69</v>
      </c>
      <c r="J1450" t="s">
        <v>162</v>
      </c>
      <c r="K1450" t="s">
        <v>31</v>
      </c>
      <c r="L1450" t="s">
        <v>72</v>
      </c>
      <c r="M1450" t="s">
        <v>3619</v>
      </c>
      <c r="N1450" t="s">
        <v>179</v>
      </c>
      <c r="O1450" t="s">
        <v>3619</v>
      </c>
      <c r="P1450" t="s">
        <v>2460</v>
      </c>
      <c r="Q1450" t="s">
        <v>1090</v>
      </c>
      <c r="R1450" t="s">
        <v>5315</v>
      </c>
      <c r="S1450" t="s">
        <v>97</v>
      </c>
      <c r="T1450" t="s">
        <v>593</v>
      </c>
      <c r="U1450" t="s">
        <v>171</v>
      </c>
      <c r="V1450" t="s">
        <v>42</v>
      </c>
    </row>
    <row r="1451" spans="1:22" x14ac:dyDescent="0.3">
      <c r="A1451" t="s">
        <v>5365</v>
      </c>
      <c r="B1451" t="s">
        <v>3972</v>
      </c>
      <c r="C1451" t="s">
        <v>3973</v>
      </c>
      <c r="D1451" t="s">
        <v>5366</v>
      </c>
      <c r="E1451" t="s">
        <v>244</v>
      </c>
      <c r="F1451" t="s">
        <v>244</v>
      </c>
      <c r="G1451" t="s">
        <v>48</v>
      </c>
      <c r="H1451" t="s">
        <v>68</v>
      </c>
      <c r="I1451" t="s">
        <v>29</v>
      </c>
      <c r="J1451" t="s">
        <v>30</v>
      </c>
      <c r="K1451" t="s">
        <v>200</v>
      </c>
      <c r="L1451" t="s">
        <v>598</v>
      </c>
      <c r="M1451" t="s">
        <v>4740</v>
      </c>
      <c r="N1451" t="s">
        <v>1491</v>
      </c>
      <c r="O1451" t="s">
        <v>1937</v>
      </c>
      <c r="P1451" t="s">
        <v>1202</v>
      </c>
      <c r="Q1451" t="s">
        <v>440</v>
      </c>
      <c r="R1451" t="s">
        <v>5367</v>
      </c>
      <c r="S1451" t="s">
        <v>182</v>
      </c>
      <c r="T1451" t="s">
        <v>604</v>
      </c>
      <c r="U1451" t="s">
        <v>362</v>
      </c>
      <c r="V1451" t="s">
        <v>82</v>
      </c>
    </row>
    <row r="1452" spans="1:22" x14ac:dyDescent="0.3">
      <c r="A1452" t="s">
        <v>5368</v>
      </c>
      <c r="B1452" t="s">
        <v>1630</v>
      </c>
      <c r="C1452" t="s">
        <v>1631</v>
      </c>
      <c r="D1452" t="s">
        <v>1375</v>
      </c>
      <c r="E1452" t="s">
        <v>342</v>
      </c>
      <c r="F1452" t="s">
        <v>244</v>
      </c>
      <c r="G1452" t="s">
        <v>118</v>
      </c>
      <c r="H1452" t="s">
        <v>104</v>
      </c>
      <c r="I1452" t="s">
        <v>29</v>
      </c>
      <c r="J1452" t="s">
        <v>162</v>
      </c>
      <c r="K1452" t="s">
        <v>245</v>
      </c>
      <c r="L1452" t="s">
        <v>1295</v>
      </c>
      <c r="M1452" t="s">
        <v>2600</v>
      </c>
      <c r="N1452" t="s">
        <v>179</v>
      </c>
      <c r="O1452" t="s">
        <v>2600</v>
      </c>
      <c r="P1452" t="s">
        <v>620</v>
      </c>
      <c r="Q1452" t="s">
        <v>1554</v>
      </c>
      <c r="R1452" t="s">
        <v>5369</v>
      </c>
      <c r="S1452" t="s">
        <v>97</v>
      </c>
      <c r="T1452" t="s">
        <v>55</v>
      </c>
      <c r="U1452" t="s">
        <v>407</v>
      </c>
      <c r="V1452" t="s">
        <v>114</v>
      </c>
    </row>
    <row r="1453" spans="1:22" x14ac:dyDescent="0.3">
      <c r="A1453" t="s">
        <v>5370</v>
      </c>
      <c r="B1453" t="s">
        <v>2293</v>
      </c>
      <c r="C1453" t="s">
        <v>2294</v>
      </c>
      <c r="D1453" t="s">
        <v>4796</v>
      </c>
      <c r="E1453" t="s">
        <v>780</v>
      </c>
      <c r="F1453" t="s">
        <v>282</v>
      </c>
      <c r="G1453" t="s">
        <v>103</v>
      </c>
      <c r="H1453" t="s">
        <v>104</v>
      </c>
      <c r="I1453" t="s">
        <v>29</v>
      </c>
      <c r="J1453" t="s">
        <v>30</v>
      </c>
      <c r="K1453" t="s">
        <v>293</v>
      </c>
      <c r="L1453" t="s">
        <v>90</v>
      </c>
      <c r="M1453" t="s">
        <v>2024</v>
      </c>
      <c r="N1453" t="s">
        <v>518</v>
      </c>
      <c r="O1453" t="s">
        <v>1128</v>
      </c>
      <c r="P1453" t="s">
        <v>250</v>
      </c>
      <c r="Q1453" t="s">
        <v>448</v>
      </c>
      <c r="R1453" t="s">
        <v>5371</v>
      </c>
      <c r="S1453" t="s">
        <v>126</v>
      </c>
      <c r="T1453" t="s">
        <v>299</v>
      </c>
      <c r="U1453" t="s">
        <v>98</v>
      </c>
      <c r="V1453" t="s">
        <v>42</v>
      </c>
    </row>
    <row r="1454" spans="1:22" x14ac:dyDescent="0.3">
      <c r="A1454" t="s">
        <v>5372</v>
      </c>
      <c r="B1454" t="s">
        <v>501</v>
      </c>
      <c r="C1454" t="s">
        <v>502</v>
      </c>
      <c r="D1454" t="s">
        <v>4214</v>
      </c>
      <c r="E1454" t="s">
        <v>133</v>
      </c>
      <c r="F1454" t="s">
        <v>134</v>
      </c>
      <c r="G1454" t="s">
        <v>118</v>
      </c>
      <c r="H1454" t="s">
        <v>28</v>
      </c>
      <c r="I1454" t="s">
        <v>69</v>
      </c>
      <c r="J1454" t="s">
        <v>257</v>
      </c>
      <c r="K1454" t="s">
        <v>71</v>
      </c>
      <c r="L1454" t="s">
        <v>135</v>
      </c>
      <c r="M1454" t="s">
        <v>5350</v>
      </c>
      <c r="N1454" t="s">
        <v>655</v>
      </c>
      <c r="O1454" t="s">
        <v>5373</v>
      </c>
      <c r="P1454" t="s">
        <v>205</v>
      </c>
      <c r="Q1454" t="s">
        <v>1029</v>
      </c>
      <c r="R1454" t="s">
        <v>5374</v>
      </c>
      <c r="S1454" t="s">
        <v>39</v>
      </c>
      <c r="T1454" t="s">
        <v>180</v>
      </c>
      <c r="U1454" t="s">
        <v>407</v>
      </c>
      <c r="V1454" t="s">
        <v>114</v>
      </c>
    </row>
    <row r="1455" spans="1:22" x14ac:dyDescent="0.3">
      <c r="A1455" t="s">
        <v>5375</v>
      </c>
      <c r="B1455" t="s">
        <v>240</v>
      </c>
      <c r="C1455" t="s">
        <v>241</v>
      </c>
      <c r="D1455" t="s">
        <v>3105</v>
      </c>
      <c r="E1455" t="s">
        <v>1321</v>
      </c>
      <c r="F1455" t="s">
        <v>228</v>
      </c>
      <c r="G1455" t="s">
        <v>67</v>
      </c>
      <c r="H1455" t="s">
        <v>49</v>
      </c>
      <c r="I1455" t="s">
        <v>69</v>
      </c>
      <c r="J1455" t="s">
        <v>162</v>
      </c>
      <c r="K1455" t="s">
        <v>230</v>
      </c>
      <c r="L1455" t="s">
        <v>598</v>
      </c>
      <c r="M1455" t="s">
        <v>1549</v>
      </c>
      <c r="N1455" t="s">
        <v>1106</v>
      </c>
      <c r="O1455" t="s">
        <v>5376</v>
      </c>
      <c r="P1455" t="s">
        <v>1169</v>
      </c>
      <c r="Q1455" t="s">
        <v>750</v>
      </c>
      <c r="R1455" t="s">
        <v>1115</v>
      </c>
      <c r="S1455" t="s">
        <v>97</v>
      </c>
      <c r="T1455" t="s">
        <v>56</v>
      </c>
      <c r="U1455" t="s">
        <v>867</v>
      </c>
      <c r="V1455" t="s">
        <v>82</v>
      </c>
    </row>
    <row r="1456" spans="1:22" x14ac:dyDescent="0.3">
      <c r="A1456" t="s">
        <v>5377</v>
      </c>
      <c r="B1456" t="s">
        <v>1245</v>
      </c>
      <c r="C1456" t="s">
        <v>1246</v>
      </c>
      <c r="D1456" t="s">
        <v>3318</v>
      </c>
      <c r="E1456" t="s">
        <v>161</v>
      </c>
      <c r="F1456" t="s">
        <v>161</v>
      </c>
      <c r="G1456" t="s">
        <v>67</v>
      </c>
      <c r="H1456" t="s">
        <v>49</v>
      </c>
      <c r="I1456" t="s">
        <v>69</v>
      </c>
      <c r="J1456" t="s">
        <v>70</v>
      </c>
      <c r="K1456" t="s">
        <v>200</v>
      </c>
      <c r="L1456" t="s">
        <v>766</v>
      </c>
      <c r="M1456" t="s">
        <v>5378</v>
      </c>
      <c r="N1456" t="s">
        <v>529</v>
      </c>
      <c r="O1456" t="s">
        <v>5379</v>
      </c>
      <c r="P1456" t="s">
        <v>2166</v>
      </c>
      <c r="Q1456" t="s">
        <v>3191</v>
      </c>
      <c r="R1456" t="s">
        <v>5380</v>
      </c>
      <c r="S1456" t="s">
        <v>58</v>
      </c>
      <c r="T1456" t="s">
        <v>836</v>
      </c>
      <c r="U1456" t="s">
        <v>394</v>
      </c>
      <c r="V1456" t="s">
        <v>82</v>
      </c>
    </row>
    <row r="1457" spans="1:22" x14ac:dyDescent="0.3">
      <c r="A1457" t="s">
        <v>5381</v>
      </c>
      <c r="B1457" t="s">
        <v>1754</v>
      </c>
      <c r="C1457" t="s">
        <v>1755</v>
      </c>
      <c r="D1457" t="s">
        <v>2272</v>
      </c>
      <c r="E1457" t="s">
        <v>672</v>
      </c>
      <c r="F1457" t="s">
        <v>244</v>
      </c>
      <c r="G1457" t="s">
        <v>213</v>
      </c>
      <c r="H1457" t="s">
        <v>49</v>
      </c>
      <c r="I1457" t="s">
        <v>69</v>
      </c>
      <c r="J1457" t="s">
        <v>30</v>
      </c>
      <c r="K1457" t="s">
        <v>200</v>
      </c>
      <c r="L1457" t="s">
        <v>927</v>
      </c>
      <c r="M1457" t="s">
        <v>2180</v>
      </c>
      <c r="N1457" t="s">
        <v>604</v>
      </c>
      <c r="O1457" t="s">
        <v>1079</v>
      </c>
      <c r="P1457" t="s">
        <v>565</v>
      </c>
      <c r="Q1457" t="s">
        <v>168</v>
      </c>
      <c r="R1457" t="s">
        <v>3920</v>
      </c>
      <c r="S1457" t="s">
        <v>39</v>
      </c>
      <c r="T1457" t="s">
        <v>695</v>
      </c>
      <c r="U1457" t="s">
        <v>927</v>
      </c>
      <c r="V1457" t="s">
        <v>42</v>
      </c>
    </row>
    <row r="1458" spans="1:22" x14ac:dyDescent="0.3">
      <c r="A1458" t="s">
        <v>5382</v>
      </c>
      <c r="B1458" t="s">
        <v>2224</v>
      </c>
      <c r="C1458" t="s">
        <v>2225</v>
      </c>
      <c r="D1458" t="s">
        <v>1799</v>
      </c>
      <c r="E1458" t="s">
        <v>87</v>
      </c>
      <c r="F1458" t="s">
        <v>26</v>
      </c>
      <c r="G1458" t="s">
        <v>213</v>
      </c>
      <c r="H1458" t="s">
        <v>268</v>
      </c>
      <c r="I1458" t="s">
        <v>29</v>
      </c>
      <c r="J1458" t="s">
        <v>30</v>
      </c>
      <c r="K1458" t="s">
        <v>89</v>
      </c>
      <c r="L1458" t="s">
        <v>561</v>
      </c>
      <c r="M1458" t="s">
        <v>1237</v>
      </c>
      <c r="N1458" t="s">
        <v>710</v>
      </c>
      <c r="O1458" t="s">
        <v>2086</v>
      </c>
      <c r="P1458" t="s">
        <v>3165</v>
      </c>
      <c r="Q1458" t="s">
        <v>1112</v>
      </c>
      <c r="R1458" t="s">
        <v>5383</v>
      </c>
      <c r="S1458" t="s">
        <v>97</v>
      </c>
      <c r="T1458" t="s">
        <v>121</v>
      </c>
      <c r="U1458" t="s">
        <v>60</v>
      </c>
      <c r="V1458" t="s">
        <v>79</v>
      </c>
    </row>
    <row r="1459" spans="1:22" x14ac:dyDescent="0.3">
      <c r="A1459" t="s">
        <v>5384</v>
      </c>
      <c r="B1459" t="s">
        <v>1816</v>
      </c>
      <c r="C1459" t="s">
        <v>1817</v>
      </c>
      <c r="D1459" t="s">
        <v>1818</v>
      </c>
      <c r="E1459" t="s">
        <v>65</v>
      </c>
      <c r="F1459" t="s">
        <v>66</v>
      </c>
      <c r="G1459" t="s">
        <v>27</v>
      </c>
      <c r="H1459" t="s">
        <v>104</v>
      </c>
      <c r="I1459" t="s">
        <v>69</v>
      </c>
      <c r="J1459" t="s">
        <v>162</v>
      </c>
      <c r="K1459" t="s">
        <v>230</v>
      </c>
      <c r="L1459" t="s">
        <v>663</v>
      </c>
      <c r="M1459" t="s">
        <v>1872</v>
      </c>
      <c r="N1459" t="s">
        <v>140</v>
      </c>
      <c r="O1459" t="s">
        <v>2307</v>
      </c>
      <c r="P1459" t="s">
        <v>359</v>
      </c>
      <c r="Q1459" t="s">
        <v>112</v>
      </c>
      <c r="R1459" t="s">
        <v>3279</v>
      </c>
      <c r="S1459" t="s">
        <v>58</v>
      </c>
      <c r="T1459" t="s">
        <v>328</v>
      </c>
      <c r="U1459" t="s">
        <v>373</v>
      </c>
      <c r="V1459" t="s">
        <v>114</v>
      </c>
    </row>
    <row r="1460" spans="1:22" x14ac:dyDescent="0.3">
      <c r="A1460" t="s">
        <v>5385</v>
      </c>
      <c r="B1460" t="s">
        <v>1180</v>
      </c>
      <c r="C1460" t="s">
        <v>1181</v>
      </c>
      <c r="D1460" t="s">
        <v>1439</v>
      </c>
      <c r="E1460" t="s">
        <v>26</v>
      </c>
      <c r="F1460" t="s">
        <v>26</v>
      </c>
      <c r="G1460" t="s">
        <v>580</v>
      </c>
      <c r="H1460" t="s">
        <v>214</v>
      </c>
      <c r="I1460" t="s">
        <v>69</v>
      </c>
      <c r="J1460" t="s">
        <v>30</v>
      </c>
      <c r="K1460" t="s">
        <v>31</v>
      </c>
      <c r="L1460" t="s">
        <v>135</v>
      </c>
      <c r="M1460" t="s">
        <v>123</v>
      </c>
      <c r="N1460" t="s">
        <v>179</v>
      </c>
      <c r="O1460" t="s">
        <v>123</v>
      </c>
      <c r="P1460" t="s">
        <v>611</v>
      </c>
      <c r="Q1460" t="s">
        <v>1430</v>
      </c>
      <c r="R1460" t="s">
        <v>5386</v>
      </c>
      <c r="S1460" t="s">
        <v>39</v>
      </c>
      <c r="T1460" t="s">
        <v>310</v>
      </c>
      <c r="U1460" t="s">
        <v>423</v>
      </c>
      <c r="V1460" t="s">
        <v>42</v>
      </c>
    </row>
    <row r="1461" spans="1:22" x14ac:dyDescent="0.3">
      <c r="A1461" t="s">
        <v>5387</v>
      </c>
      <c r="B1461" t="s">
        <v>494</v>
      </c>
      <c r="C1461" t="s">
        <v>495</v>
      </c>
      <c r="D1461" t="s">
        <v>1963</v>
      </c>
      <c r="E1461" t="s">
        <v>134</v>
      </c>
      <c r="F1461" t="s">
        <v>134</v>
      </c>
      <c r="G1461" t="s">
        <v>103</v>
      </c>
      <c r="H1461" t="s">
        <v>28</v>
      </c>
      <c r="I1461" t="s">
        <v>29</v>
      </c>
      <c r="J1461" t="s">
        <v>30</v>
      </c>
      <c r="K1461" t="s">
        <v>71</v>
      </c>
      <c r="L1461" t="s">
        <v>731</v>
      </c>
      <c r="M1461" t="s">
        <v>1996</v>
      </c>
      <c r="N1461" t="s">
        <v>384</v>
      </c>
      <c r="O1461" t="s">
        <v>1248</v>
      </c>
      <c r="P1461" t="s">
        <v>1128</v>
      </c>
      <c r="Q1461" t="s">
        <v>1116</v>
      </c>
      <c r="R1461" t="s">
        <v>5388</v>
      </c>
      <c r="S1461" t="s">
        <v>182</v>
      </c>
      <c r="T1461" t="s">
        <v>37</v>
      </c>
      <c r="U1461" t="s">
        <v>98</v>
      </c>
      <c r="V1461" t="s">
        <v>82</v>
      </c>
    </row>
    <row r="1462" spans="1:22" x14ac:dyDescent="0.3">
      <c r="A1462" t="s">
        <v>5389</v>
      </c>
      <c r="B1462" t="s">
        <v>3041</v>
      </c>
      <c r="C1462" t="s">
        <v>3042</v>
      </c>
      <c r="D1462" t="s">
        <v>3888</v>
      </c>
      <c r="E1462" t="s">
        <v>282</v>
      </c>
      <c r="F1462" t="s">
        <v>282</v>
      </c>
      <c r="G1462" t="s">
        <v>103</v>
      </c>
      <c r="H1462" t="s">
        <v>49</v>
      </c>
      <c r="I1462" t="s">
        <v>69</v>
      </c>
      <c r="J1462" t="s">
        <v>30</v>
      </c>
      <c r="K1462" t="s">
        <v>245</v>
      </c>
      <c r="L1462" t="s">
        <v>163</v>
      </c>
      <c r="M1462" t="s">
        <v>1254</v>
      </c>
      <c r="N1462" t="s">
        <v>751</v>
      </c>
      <c r="O1462" t="s">
        <v>2716</v>
      </c>
      <c r="P1462" t="s">
        <v>356</v>
      </c>
      <c r="Q1462" t="s">
        <v>600</v>
      </c>
      <c r="R1462" t="s">
        <v>5390</v>
      </c>
      <c r="S1462" t="s">
        <v>97</v>
      </c>
      <c r="T1462" t="s">
        <v>461</v>
      </c>
      <c r="U1462" t="s">
        <v>300</v>
      </c>
      <c r="V1462" t="s">
        <v>82</v>
      </c>
    </row>
    <row r="1463" spans="1:22" x14ac:dyDescent="0.3">
      <c r="A1463" t="s">
        <v>5391</v>
      </c>
      <c r="B1463" t="s">
        <v>2410</v>
      </c>
      <c r="C1463" t="s">
        <v>2411</v>
      </c>
      <c r="D1463" t="s">
        <v>811</v>
      </c>
      <c r="E1463" t="s">
        <v>243</v>
      </c>
      <c r="F1463" t="s">
        <v>244</v>
      </c>
      <c r="G1463" t="s">
        <v>213</v>
      </c>
      <c r="H1463" t="s">
        <v>229</v>
      </c>
      <c r="I1463" t="s">
        <v>69</v>
      </c>
      <c r="J1463" t="s">
        <v>30</v>
      </c>
      <c r="K1463" t="s">
        <v>71</v>
      </c>
      <c r="L1463" t="s">
        <v>428</v>
      </c>
      <c r="M1463" t="s">
        <v>52</v>
      </c>
      <c r="N1463" t="s">
        <v>1230</v>
      </c>
      <c r="O1463" t="s">
        <v>2037</v>
      </c>
      <c r="P1463" t="s">
        <v>742</v>
      </c>
      <c r="Q1463" t="s">
        <v>1013</v>
      </c>
      <c r="R1463" t="s">
        <v>5392</v>
      </c>
      <c r="S1463" t="s">
        <v>58</v>
      </c>
      <c r="T1463" t="s">
        <v>142</v>
      </c>
      <c r="V1463" t="s">
        <v>114</v>
      </c>
    </row>
    <row r="1464" spans="1:22" x14ac:dyDescent="0.3">
      <c r="A1464" t="s">
        <v>5393</v>
      </c>
      <c r="B1464" t="s">
        <v>2675</v>
      </c>
      <c r="C1464" t="s">
        <v>2676</v>
      </c>
      <c r="D1464" t="s">
        <v>86</v>
      </c>
      <c r="E1464" t="s">
        <v>244</v>
      </c>
      <c r="F1464" t="s">
        <v>244</v>
      </c>
      <c r="G1464" t="s">
        <v>103</v>
      </c>
      <c r="H1464" t="s">
        <v>68</v>
      </c>
      <c r="I1464" t="s">
        <v>69</v>
      </c>
      <c r="J1464" t="s">
        <v>162</v>
      </c>
      <c r="K1464" t="s">
        <v>71</v>
      </c>
      <c r="L1464" t="s">
        <v>812</v>
      </c>
      <c r="M1464" t="s">
        <v>3283</v>
      </c>
      <c r="N1464" t="s">
        <v>233</v>
      </c>
      <c r="O1464" t="s">
        <v>4376</v>
      </c>
      <c r="P1464" t="s">
        <v>2641</v>
      </c>
      <c r="Q1464" t="s">
        <v>1997</v>
      </c>
      <c r="R1464" t="s">
        <v>5394</v>
      </c>
      <c r="S1464" t="s">
        <v>97</v>
      </c>
      <c r="T1464" t="s">
        <v>2262</v>
      </c>
      <c r="U1464" t="s">
        <v>60</v>
      </c>
      <c r="V1464" t="s">
        <v>114</v>
      </c>
    </row>
    <row r="1465" spans="1:22" x14ac:dyDescent="0.3">
      <c r="A1465" t="s">
        <v>5395</v>
      </c>
      <c r="B1465" t="s">
        <v>2959</v>
      </c>
      <c r="C1465" t="s">
        <v>2960</v>
      </c>
      <c r="D1465" t="s">
        <v>5396</v>
      </c>
      <c r="E1465" t="s">
        <v>188</v>
      </c>
      <c r="F1465" t="s">
        <v>188</v>
      </c>
      <c r="G1465" t="s">
        <v>103</v>
      </c>
      <c r="H1465" t="s">
        <v>268</v>
      </c>
      <c r="I1465" t="s">
        <v>69</v>
      </c>
      <c r="J1465" t="s">
        <v>162</v>
      </c>
      <c r="K1465" t="s">
        <v>293</v>
      </c>
      <c r="L1465" t="s">
        <v>1328</v>
      </c>
      <c r="M1465" t="s">
        <v>535</v>
      </c>
      <c r="N1465" t="s">
        <v>896</v>
      </c>
      <c r="O1465" t="s">
        <v>880</v>
      </c>
      <c r="P1465" t="s">
        <v>1302</v>
      </c>
      <c r="Q1465" t="s">
        <v>610</v>
      </c>
      <c r="R1465" t="s">
        <v>5397</v>
      </c>
      <c r="T1465" t="s">
        <v>499</v>
      </c>
      <c r="U1465" t="s">
        <v>98</v>
      </c>
      <c r="V1465" t="s">
        <v>114</v>
      </c>
    </row>
    <row r="1466" spans="1:22" x14ac:dyDescent="0.3">
      <c r="A1466" t="s">
        <v>5398</v>
      </c>
      <c r="B1466" t="s">
        <v>3048</v>
      </c>
      <c r="C1466" t="s">
        <v>3049</v>
      </c>
      <c r="D1466" t="s">
        <v>2659</v>
      </c>
      <c r="E1466" t="s">
        <v>228</v>
      </c>
      <c r="F1466" t="s">
        <v>228</v>
      </c>
      <c r="G1466" t="s">
        <v>48</v>
      </c>
      <c r="H1466" t="s">
        <v>88</v>
      </c>
      <c r="I1466" t="s">
        <v>69</v>
      </c>
      <c r="J1466" t="s">
        <v>30</v>
      </c>
      <c r="K1466" t="s">
        <v>293</v>
      </c>
      <c r="L1466" t="s">
        <v>1022</v>
      </c>
      <c r="M1466" t="s">
        <v>5331</v>
      </c>
      <c r="N1466" t="s">
        <v>179</v>
      </c>
      <c r="O1466" t="s">
        <v>5331</v>
      </c>
      <c r="P1466" t="s">
        <v>946</v>
      </c>
      <c r="Q1466" t="s">
        <v>2295</v>
      </c>
      <c r="R1466" t="s">
        <v>5399</v>
      </c>
      <c r="S1466" t="s">
        <v>182</v>
      </c>
      <c r="T1466" t="s">
        <v>259</v>
      </c>
      <c r="U1466" t="s">
        <v>373</v>
      </c>
      <c r="V1466" t="s">
        <v>114</v>
      </c>
    </row>
    <row r="1467" spans="1:22" x14ac:dyDescent="0.3">
      <c r="A1467" t="s">
        <v>5400</v>
      </c>
      <c r="B1467" t="s">
        <v>414</v>
      </c>
      <c r="C1467" t="s">
        <v>415</v>
      </c>
      <c r="D1467" t="s">
        <v>4926</v>
      </c>
      <c r="E1467" t="s">
        <v>893</v>
      </c>
      <c r="F1467" t="s">
        <v>188</v>
      </c>
      <c r="G1467" t="s">
        <v>147</v>
      </c>
      <c r="H1467" t="s">
        <v>28</v>
      </c>
      <c r="I1467" t="s">
        <v>69</v>
      </c>
      <c r="J1467" t="s">
        <v>162</v>
      </c>
      <c r="K1467" t="s">
        <v>71</v>
      </c>
      <c r="L1467" t="s">
        <v>534</v>
      </c>
      <c r="M1467" t="s">
        <v>857</v>
      </c>
      <c r="N1467" t="s">
        <v>677</v>
      </c>
      <c r="O1467" t="s">
        <v>178</v>
      </c>
      <c r="P1467" t="s">
        <v>733</v>
      </c>
      <c r="Q1467" t="s">
        <v>121</v>
      </c>
      <c r="R1467" t="s">
        <v>5401</v>
      </c>
      <c r="S1467" t="s">
        <v>39</v>
      </c>
      <c r="T1467" t="s">
        <v>1162</v>
      </c>
      <c r="U1467" t="s">
        <v>744</v>
      </c>
      <c r="V1467" t="s">
        <v>58</v>
      </c>
    </row>
    <row r="1468" spans="1:22" x14ac:dyDescent="0.3">
      <c r="A1468" t="s">
        <v>5402</v>
      </c>
      <c r="B1468" t="s">
        <v>1417</v>
      </c>
      <c r="C1468" t="s">
        <v>1418</v>
      </c>
      <c r="D1468" t="s">
        <v>5403</v>
      </c>
      <c r="E1468" t="s">
        <v>244</v>
      </c>
      <c r="F1468" t="s">
        <v>244</v>
      </c>
      <c r="G1468" t="s">
        <v>27</v>
      </c>
      <c r="H1468" t="s">
        <v>88</v>
      </c>
      <c r="I1468" t="s">
        <v>69</v>
      </c>
      <c r="J1468" t="s">
        <v>162</v>
      </c>
      <c r="K1468" t="s">
        <v>89</v>
      </c>
      <c r="L1468" t="s">
        <v>269</v>
      </c>
      <c r="M1468" t="s">
        <v>334</v>
      </c>
      <c r="N1468" t="s">
        <v>2673</v>
      </c>
      <c r="O1468" t="s">
        <v>977</v>
      </c>
      <c r="P1468" t="s">
        <v>2037</v>
      </c>
      <c r="Q1468" t="s">
        <v>896</v>
      </c>
      <c r="R1468" t="s">
        <v>3298</v>
      </c>
      <c r="S1468" t="s">
        <v>97</v>
      </c>
      <c r="T1468" t="s">
        <v>59</v>
      </c>
      <c r="U1468" t="s">
        <v>362</v>
      </c>
      <c r="V1468" t="s">
        <v>79</v>
      </c>
    </row>
    <row r="1469" spans="1:22" x14ac:dyDescent="0.3">
      <c r="A1469" t="s">
        <v>5404</v>
      </c>
      <c r="B1469" t="s">
        <v>2464</v>
      </c>
      <c r="C1469" t="s">
        <v>2465</v>
      </c>
      <c r="D1469" t="s">
        <v>1095</v>
      </c>
      <c r="E1469" t="s">
        <v>160</v>
      </c>
      <c r="F1469" t="s">
        <v>161</v>
      </c>
      <c r="G1469" t="s">
        <v>103</v>
      </c>
      <c r="H1469" t="s">
        <v>214</v>
      </c>
      <c r="I1469" t="s">
        <v>29</v>
      </c>
      <c r="J1469" t="s">
        <v>30</v>
      </c>
      <c r="K1469" t="s">
        <v>200</v>
      </c>
      <c r="L1469" t="s">
        <v>812</v>
      </c>
      <c r="M1469" t="s">
        <v>2549</v>
      </c>
      <c r="N1469" t="s">
        <v>142</v>
      </c>
      <c r="O1469" t="s">
        <v>822</v>
      </c>
      <c r="P1469" t="s">
        <v>459</v>
      </c>
      <c r="Q1469" t="s">
        <v>1434</v>
      </c>
      <c r="R1469" t="s">
        <v>5405</v>
      </c>
      <c r="S1469" t="s">
        <v>182</v>
      </c>
      <c r="T1469" t="s">
        <v>1013</v>
      </c>
      <c r="U1469" t="s">
        <v>394</v>
      </c>
      <c r="V1469" t="s">
        <v>82</v>
      </c>
    </row>
    <row r="1470" spans="1:22" x14ac:dyDescent="0.3">
      <c r="A1470" t="s">
        <v>5406</v>
      </c>
      <c r="B1470" t="s">
        <v>1512</v>
      </c>
      <c r="C1470" t="s">
        <v>1513</v>
      </c>
      <c r="D1470" t="s">
        <v>4010</v>
      </c>
      <c r="E1470" t="s">
        <v>893</v>
      </c>
      <c r="F1470" t="s">
        <v>188</v>
      </c>
      <c r="G1470" t="s">
        <v>580</v>
      </c>
      <c r="H1470" t="s">
        <v>229</v>
      </c>
      <c r="I1470" t="s">
        <v>69</v>
      </c>
      <c r="J1470" t="s">
        <v>162</v>
      </c>
      <c r="K1470" t="s">
        <v>245</v>
      </c>
      <c r="L1470" t="s">
        <v>561</v>
      </c>
      <c r="M1470" t="s">
        <v>52</v>
      </c>
      <c r="N1470" t="s">
        <v>621</v>
      </c>
      <c r="O1470" t="s">
        <v>77</v>
      </c>
      <c r="P1470" t="s">
        <v>714</v>
      </c>
      <c r="Q1470" t="s">
        <v>121</v>
      </c>
      <c r="R1470" t="s">
        <v>5407</v>
      </c>
      <c r="S1470" t="s">
        <v>79</v>
      </c>
      <c r="T1470" t="s">
        <v>59</v>
      </c>
      <c r="U1470" t="s">
        <v>128</v>
      </c>
      <c r="V1470" t="s">
        <v>114</v>
      </c>
    </row>
    <row r="1471" spans="1:22" x14ac:dyDescent="0.3">
      <c r="A1471" t="s">
        <v>5408</v>
      </c>
      <c r="B1471" t="s">
        <v>615</v>
      </c>
      <c r="C1471" t="s">
        <v>616</v>
      </c>
      <c r="D1471" t="s">
        <v>2196</v>
      </c>
      <c r="E1471" t="s">
        <v>66</v>
      </c>
      <c r="F1471" t="s">
        <v>66</v>
      </c>
      <c r="G1471" t="s">
        <v>118</v>
      </c>
      <c r="H1471" t="s">
        <v>88</v>
      </c>
      <c r="I1471" t="s">
        <v>69</v>
      </c>
      <c r="J1471" t="s">
        <v>257</v>
      </c>
      <c r="K1471" t="s">
        <v>200</v>
      </c>
      <c r="L1471" t="s">
        <v>105</v>
      </c>
      <c r="M1471" t="s">
        <v>1128</v>
      </c>
      <c r="N1471" t="s">
        <v>179</v>
      </c>
      <c r="O1471" t="s">
        <v>1128</v>
      </c>
      <c r="P1471" t="s">
        <v>371</v>
      </c>
      <c r="Q1471" t="s">
        <v>180</v>
      </c>
      <c r="R1471" t="s">
        <v>5409</v>
      </c>
      <c r="S1471" t="s">
        <v>58</v>
      </c>
      <c r="T1471" t="s">
        <v>1162</v>
      </c>
      <c r="U1471" t="s">
        <v>362</v>
      </c>
      <c r="V1471" t="s">
        <v>82</v>
      </c>
    </row>
    <row r="1472" spans="1:22" x14ac:dyDescent="0.3">
      <c r="A1472" t="s">
        <v>5410</v>
      </c>
      <c r="B1472" t="s">
        <v>2687</v>
      </c>
      <c r="C1472" t="s">
        <v>2688</v>
      </c>
      <c r="D1472" t="s">
        <v>1610</v>
      </c>
      <c r="E1472" t="s">
        <v>227</v>
      </c>
      <c r="F1472" t="s">
        <v>228</v>
      </c>
      <c r="G1472" t="s">
        <v>48</v>
      </c>
      <c r="H1472" t="s">
        <v>68</v>
      </c>
      <c r="I1472" t="s">
        <v>29</v>
      </c>
      <c r="J1472" t="s">
        <v>70</v>
      </c>
      <c r="K1472" t="s">
        <v>200</v>
      </c>
      <c r="L1472" t="s">
        <v>1915</v>
      </c>
      <c r="M1472" t="s">
        <v>644</v>
      </c>
      <c r="N1472" t="s">
        <v>583</v>
      </c>
      <c r="O1472" t="s">
        <v>1909</v>
      </c>
      <c r="P1472" t="s">
        <v>347</v>
      </c>
      <c r="Q1472" t="s">
        <v>468</v>
      </c>
      <c r="R1472" t="s">
        <v>5411</v>
      </c>
      <c r="S1472" t="s">
        <v>97</v>
      </c>
      <c r="T1472" t="s">
        <v>461</v>
      </c>
      <c r="U1472" t="s">
        <v>98</v>
      </c>
      <c r="V1472" t="s">
        <v>82</v>
      </c>
    </row>
    <row r="1473" spans="1:22" x14ac:dyDescent="0.3">
      <c r="A1473" t="s">
        <v>5412</v>
      </c>
      <c r="B1473" t="s">
        <v>1830</v>
      </c>
      <c r="C1473" t="s">
        <v>1831</v>
      </c>
      <c r="D1473" t="s">
        <v>3995</v>
      </c>
      <c r="E1473" t="s">
        <v>354</v>
      </c>
      <c r="F1473" t="s">
        <v>134</v>
      </c>
      <c r="G1473" t="s">
        <v>580</v>
      </c>
      <c r="H1473" t="s">
        <v>28</v>
      </c>
      <c r="I1473" t="s">
        <v>69</v>
      </c>
      <c r="J1473" t="s">
        <v>30</v>
      </c>
      <c r="K1473" t="s">
        <v>200</v>
      </c>
      <c r="L1473" t="s">
        <v>513</v>
      </c>
      <c r="M1473" t="s">
        <v>3486</v>
      </c>
      <c r="N1473" t="s">
        <v>604</v>
      </c>
      <c r="O1473" t="s">
        <v>2740</v>
      </c>
      <c r="P1473" t="s">
        <v>138</v>
      </c>
      <c r="Q1473" t="s">
        <v>80</v>
      </c>
      <c r="R1473" t="s">
        <v>5413</v>
      </c>
      <c r="S1473" t="s">
        <v>58</v>
      </c>
      <c r="T1473" t="s">
        <v>369</v>
      </c>
      <c r="U1473" t="s">
        <v>373</v>
      </c>
      <c r="V1473" t="s">
        <v>82</v>
      </c>
    </row>
    <row r="1474" spans="1:22" x14ac:dyDescent="0.3">
      <c r="A1474" t="s">
        <v>5414</v>
      </c>
      <c r="B1474" t="s">
        <v>1904</v>
      </c>
      <c r="C1474" t="s">
        <v>1905</v>
      </c>
      <c r="D1474" t="s">
        <v>2917</v>
      </c>
      <c r="E1474" t="s">
        <v>893</v>
      </c>
      <c r="F1474" t="s">
        <v>188</v>
      </c>
      <c r="G1474" t="s">
        <v>103</v>
      </c>
      <c r="H1474" t="s">
        <v>49</v>
      </c>
      <c r="I1474" t="s">
        <v>29</v>
      </c>
      <c r="J1474" t="s">
        <v>30</v>
      </c>
      <c r="K1474" t="s">
        <v>200</v>
      </c>
      <c r="L1474" t="s">
        <v>719</v>
      </c>
      <c r="M1474" t="s">
        <v>1554</v>
      </c>
      <c r="N1474" t="s">
        <v>40</v>
      </c>
      <c r="O1474" t="s">
        <v>1931</v>
      </c>
      <c r="P1474" t="s">
        <v>2449</v>
      </c>
      <c r="Q1474" t="s">
        <v>461</v>
      </c>
      <c r="R1474" t="s">
        <v>5415</v>
      </c>
      <c r="S1474" t="s">
        <v>97</v>
      </c>
      <c r="T1474" t="s">
        <v>613</v>
      </c>
      <c r="U1474" t="s">
        <v>362</v>
      </c>
      <c r="V1474" t="s">
        <v>114</v>
      </c>
    </row>
    <row r="1475" spans="1:22" x14ac:dyDescent="0.3">
      <c r="A1475" t="s">
        <v>5416</v>
      </c>
      <c r="B1475" t="s">
        <v>3078</v>
      </c>
      <c r="C1475" t="s">
        <v>3079</v>
      </c>
      <c r="D1475" t="s">
        <v>1042</v>
      </c>
      <c r="E1475" t="s">
        <v>354</v>
      </c>
      <c r="F1475" t="s">
        <v>134</v>
      </c>
      <c r="G1475" t="s">
        <v>118</v>
      </c>
      <c r="H1475" t="s">
        <v>268</v>
      </c>
      <c r="I1475" t="s">
        <v>2154</v>
      </c>
      <c r="J1475" t="s">
        <v>162</v>
      </c>
      <c r="K1475" t="s">
        <v>215</v>
      </c>
      <c r="L1475" t="s">
        <v>428</v>
      </c>
      <c r="M1475" t="s">
        <v>52</v>
      </c>
      <c r="N1475" t="s">
        <v>621</v>
      </c>
      <c r="O1475" t="s">
        <v>77</v>
      </c>
      <c r="P1475" t="s">
        <v>1303</v>
      </c>
      <c r="Q1475" t="s">
        <v>735</v>
      </c>
      <c r="R1475" t="s">
        <v>4607</v>
      </c>
      <c r="S1475" t="s">
        <v>79</v>
      </c>
      <c r="T1475" t="s">
        <v>321</v>
      </c>
      <c r="U1475" t="s">
        <v>867</v>
      </c>
      <c r="V1475" t="s">
        <v>79</v>
      </c>
    </row>
    <row r="1476" spans="1:22" x14ac:dyDescent="0.3">
      <c r="A1476" t="s">
        <v>5417</v>
      </c>
      <c r="B1476" t="s">
        <v>688</v>
      </c>
      <c r="C1476" t="s">
        <v>689</v>
      </c>
      <c r="D1476" t="s">
        <v>3107</v>
      </c>
      <c r="E1476" t="s">
        <v>634</v>
      </c>
      <c r="F1476" t="s">
        <v>228</v>
      </c>
      <c r="G1476" t="s">
        <v>48</v>
      </c>
      <c r="H1476" t="s">
        <v>88</v>
      </c>
      <c r="I1476" t="s">
        <v>69</v>
      </c>
      <c r="J1476" t="s">
        <v>70</v>
      </c>
      <c r="K1476" t="s">
        <v>50</v>
      </c>
      <c r="L1476" t="s">
        <v>105</v>
      </c>
      <c r="M1476" t="s">
        <v>3818</v>
      </c>
      <c r="N1476" t="s">
        <v>628</v>
      </c>
      <c r="O1476" t="s">
        <v>2753</v>
      </c>
      <c r="P1476" t="s">
        <v>2263</v>
      </c>
      <c r="Q1476" t="s">
        <v>382</v>
      </c>
      <c r="R1476" t="s">
        <v>5418</v>
      </c>
      <c r="S1476" t="s">
        <v>79</v>
      </c>
      <c r="T1476" t="s">
        <v>675</v>
      </c>
      <c r="U1476" t="s">
        <v>98</v>
      </c>
      <c r="V1476" t="s">
        <v>114</v>
      </c>
    </row>
    <row r="1477" spans="1:22" x14ac:dyDescent="0.3">
      <c r="A1477" t="s">
        <v>5419</v>
      </c>
      <c r="B1477" t="s">
        <v>2585</v>
      </c>
      <c r="C1477" t="s">
        <v>2586</v>
      </c>
      <c r="D1477" t="s">
        <v>5420</v>
      </c>
      <c r="E1477" t="s">
        <v>399</v>
      </c>
      <c r="F1477" t="s">
        <v>188</v>
      </c>
      <c r="G1477" t="s">
        <v>213</v>
      </c>
      <c r="H1477" t="s">
        <v>214</v>
      </c>
      <c r="I1477" t="s">
        <v>69</v>
      </c>
      <c r="J1477" t="s">
        <v>162</v>
      </c>
      <c r="K1477" t="s">
        <v>200</v>
      </c>
      <c r="L1477" t="s">
        <v>90</v>
      </c>
      <c r="M1477" t="s">
        <v>2401</v>
      </c>
      <c r="N1477" t="s">
        <v>179</v>
      </c>
      <c r="O1477" t="s">
        <v>2401</v>
      </c>
      <c r="P1477" t="s">
        <v>849</v>
      </c>
      <c r="Q1477" t="s">
        <v>2800</v>
      </c>
      <c r="R1477" t="s">
        <v>5421</v>
      </c>
      <c r="S1477" t="s">
        <v>39</v>
      </c>
      <c r="T1477" t="s">
        <v>610</v>
      </c>
      <c r="U1477" t="s">
        <v>238</v>
      </c>
      <c r="V1477" t="s">
        <v>114</v>
      </c>
    </row>
    <row r="1478" spans="1:22" x14ac:dyDescent="0.3">
      <c r="A1478" t="s">
        <v>5422</v>
      </c>
      <c r="B1478" t="s">
        <v>2938</v>
      </c>
      <c r="C1478" t="s">
        <v>2939</v>
      </c>
      <c r="D1478" t="s">
        <v>4708</v>
      </c>
      <c r="E1478" t="s">
        <v>160</v>
      </c>
      <c r="F1478" t="s">
        <v>161</v>
      </c>
      <c r="G1478" t="s">
        <v>213</v>
      </c>
      <c r="H1478" t="s">
        <v>28</v>
      </c>
      <c r="I1478" t="s">
        <v>69</v>
      </c>
      <c r="J1478" t="s">
        <v>30</v>
      </c>
      <c r="K1478" t="s">
        <v>71</v>
      </c>
      <c r="L1478" t="s">
        <v>189</v>
      </c>
      <c r="M1478" t="s">
        <v>1699</v>
      </c>
      <c r="N1478" t="s">
        <v>361</v>
      </c>
      <c r="O1478" t="s">
        <v>2083</v>
      </c>
      <c r="P1478" t="s">
        <v>1106</v>
      </c>
      <c r="Q1478" t="s">
        <v>1302</v>
      </c>
      <c r="R1478" t="s">
        <v>5423</v>
      </c>
      <c r="S1478" t="s">
        <v>182</v>
      </c>
      <c r="T1478" t="s">
        <v>92</v>
      </c>
      <c r="U1478" t="s">
        <v>60</v>
      </c>
      <c r="V1478" t="s">
        <v>114</v>
      </c>
    </row>
    <row r="1479" spans="1:22" x14ac:dyDescent="0.3">
      <c r="A1479" t="s">
        <v>5424</v>
      </c>
      <c r="B1479" t="s">
        <v>2504</v>
      </c>
      <c r="C1479" t="s">
        <v>2505</v>
      </c>
      <c r="D1479" t="s">
        <v>5425</v>
      </c>
      <c r="E1479" t="s">
        <v>227</v>
      </c>
      <c r="F1479" t="s">
        <v>228</v>
      </c>
      <c r="G1479" t="s">
        <v>580</v>
      </c>
      <c r="H1479" t="s">
        <v>229</v>
      </c>
      <c r="I1479" t="s">
        <v>69</v>
      </c>
      <c r="J1479" t="s">
        <v>30</v>
      </c>
      <c r="K1479" t="s">
        <v>245</v>
      </c>
      <c r="L1479" t="s">
        <v>362</v>
      </c>
      <c r="M1479" t="s">
        <v>1485</v>
      </c>
      <c r="N1479" t="s">
        <v>573</v>
      </c>
      <c r="O1479" t="s">
        <v>505</v>
      </c>
      <c r="P1479" t="s">
        <v>54</v>
      </c>
      <c r="Q1479" t="s">
        <v>637</v>
      </c>
      <c r="R1479" t="s">
        <v>5426</v>
      </c>
      <c r="S1479" t="s">
        <v>182</v>
      </c>
      <c r="T1479" t="s">
        <v>321</v>
      </c>
      <c r="U1479" t="s">
        <v>300</v>
      </c>
      <c r="V1479" t="s">
        <v>58</v>
      </c>
    </row>
    <row r="1480" spans="1:22" x14ac:dyDescent="0.3">
      <c r="A1480" t="s">
        <v>5427</v>
      </c>
      <c r="B1480" t="s">
        <v>2426</v>
      </c>
      <c r="C1480" t="s">
        <v>2427</v>
      </c>
      <c r="D1480" t="s">
        <v>2978</v>
      </c>
      <c r="E1480" t="s">
        <v>244</v>
      </c>
      <c r="F1480" t="s">
        <v>244</v>
      </c>
      <c r="G1480" t="s">
        <v>147</v>
      </c>
      <c r="H1480" t="s">
        <v>229</v>
      </c>
      <c r="I1480" t="s">
        <v>69</v>
      </c>
      <c r="J1480" t="s">
        <v>30</v>
      </c>
      <c r="K1480" t="s">
        <v>89</v>
      </c>
      <c r="L1480" t="s">
        <v>163</v>
      </c>
      <c r="M1480" t="s">
        <v>5428</v>
      </c>
      <c r="N1480" t="s">
        <v>544</v>
      </c>
      <c r="O1480" t="s">
        <v>701</v>
      </c>
      <c r="P1480" t="s">
        <v>2325</v>
      </c>
      <c r="Q1480" t="s">
        <v>136</v>
      </c>
      <c r="R1480" t="s">
        <v>5429</v>
      </c>
      <c r="S1480" t="s">
        <v>39</v>
      </c>
      <c r="T1480" t="s">
        <v>489</v>
      </c>
      <c r="U1480" t="s">
        <v>362</v>
      </c>
      <c r="V1480" t="s">
        <v>82</v>
      </c>
    </row>
    <row r="1481" spans="1:22" x14ac:dyDescent="0.3">
      <c r="A1481" t="s">
        <v>5430</v>
      </c>
      <c r="B1481" t="s">
        <v>4091</v>
      </c>
      <c r="C1481" t="s">
        <v>4092</v>
      </c>
      <c r="D1481" t="s">
        <v>3291</v>
      </c>
      <c r="E1481" t="s">
        <v>188</v>
      </c>
      <c r="F1481" t="s">
        <v>188</v>
      </c>
      <c r="G1481" t="s">
        <v>118</v>
      </c>
      <c r="H1481" t="s">
        <v>229</v>
      </c>
      <c r="I1481" t="s">
        <v>29</v>
      </c>
      <c r="J1481" t="s">
        <v>30</v>
      </c>
      <c r="K1481" t="s">
        <v>31</v>
      </c>
      <c r="L1481" t="s">
        <v>682</v>
      </c>
      <c r="M1481" t="s">
        <v>3211</v>
      </c>
      <c r="N1481" t="s">
        <v>233</v>
      </c>
      <c r="O1481" t="s">
        <v>5431</v>
      </c>
      <c r="P1481" t="s">
        <v>2401</v>
      </c>
      <c r="Q1481" t="s">
        <v>3522</v>
      </c>
      <c r="R1481" t="s">
        <v>5432</v>
      </c>
      <c r="S1481" t="s">
        <v>182</v>
      </c>
      <c r="T1481" t="s">
        <v>110</v>
      </c>
      <c r="U1481" t="s">
        <v>288</v>
      </c>
      <c r="V1481" t="s">
        <v>79</v>
      </c>
    </row>
    <row r="1482" spans="1:22" x14ac:dyDescent="0.3">
      <c r="A1482" t="s">
        <v>5433</v>
      </c>
      <c r="B1482" t="s">
        <v>1166</v>
      </c>
      <c r="C1482" t="s">
        <v>1167</v>
      </c>
      <c r="D1482" t="s">
        <v>2769</v>
      </c>
      <c r="E1482" t="s">
        <v>282</v>
      </c>
      <c r="F1482" t="s">
        <v>282</v>
      </c>
      <c r="H1482" t="s">
        <v>68</v>
      </c>
      <c r="I1482" t="s">
        <v>69</v>
      </c>
      <c r="J1482" t="s">
        <v>30</v>
      </c>
      <c r="K1482" t="s">
        <v>71</v>
      </c>
      <c r="L1482" t="s">
        <v>216</v>
      </c>
      <c r="M1482" t="s">
        <v>527</v>
      </c>
      <c r="N1482" t="s">
        <v>179</v>
      </c>
      <c r="O1482" t="s">
        <v>527</v>
      </c>
      <c r="P1482" t="s">
        <v>2501</v>
      </c>
      <c r="Q1482" t="s">
        <v>553</v>
      </c>
      <c r="R1482" t="s">
        <v>5434</v>
      </c>
      <c r="S1482" t="s">
        <v>79</v>
      </c>
      <c r="T1482" t="s">
        <v>751</v>
      </c>
      <c r="U1482" t="s">
        <v>113</v>
      </c>
      <c r="V1482" t="s">
        <v>79</v>
      </c>
    </row>
    <row r="1483" spans="1:22" x14ac:dyDescent="0.3">
      <c r="A1483" t="s">
        <v>5435</v>
      </c>
      <c r="B1483" t="s">
        <v>3204</v>
      </c>
      <c r="C1483" t="s">
        <v>3205</v>
      </c>
      <c r="D1483" t="s">
        <v>2607</v>
      </c>
      <c r="E1483" t="s">
        <v>730</v>
      </c>
      <c r="F1483" t="s">
        <v>26</v>
      </c>
      <c r="G1483" t="s">
        <v>67</v>
      </c>
      <c r="H1483" t="s">
        <v>49</v>
      </c>
      <c r="I1483" t="s">
        <v>69</v>
      </c>
      <c r="J1483" t="s">
        <v>30</v>
      </c>
      <c r="K1483" t="s">
        <v>200</v>
      </c>
      <c r="L1483" t="s">
        <v>179</v>
      </c>
      <c r="M1483" t="s">
        <v>4177</v>
      </c>
      <c r="N1483" t="s">
        <v>179</v>
      </c>
      <c r="O1483" t="s">
        <v>4177</v>
      </c>
      <c r="P1483" t="s">
        <v>2176</v>
      </c>
      <c r="Q1483" t="s">
        <v>798</v>
      </c>
      <c r="R1483" t="s">
        <v>5436</v>
      </c>
      <c r="S1483" t="s">
        <v>39</v>
      </c>
      <c r="T1483" t="s">
        <v>95</v>
      </c>
      <c r="U1483" t="s">
        <v>128</v>
      </c>
      <c r="V1483" t="s">
        <v>114</v>
      </c>
    </row>
    <row r="1484" spans="1:22" x14ac:dyDescent="0.3">
      <c r="A1484" t="s">
        <v>5437</v>
      </c>
      <c r="B1484" t="s">
        <v>1546</v>
      </c>
      <c r="C1484" t="s">
        <v>1547</v>
      </c>
      <c r="D1484" t="s">
        <v>2472</v>
      </c>
      <c r="E1484" t="s">
        <v>780</v>
      </c>
      <c r="F1484" t="s">
        <v>282</v>
      </c>
      <c r="G1484" t="s">
        <v>48</v>
      </c>
      <c r="H1484" t="s">
        <v>214</v>
      </c>
      <c r="I1484" t="s">
        <v>29</v>
      </c>
      <c r="J1484" t="s">
        <v>162</v>
      </c>
      <c r="K1484" t="s">
        <v>71</v>
      </c>
      <c r="L1484" t="s">
        <v>551</v>
      </c>
      <c r="M1484" t="s">
        <v>1826</v>
      </c>
      <c r="N1484" t="s">
        <v>179</v>
      </c>
      <c r="O1484" t="s">
        <v>1826</v>
      </c>
      <c r="P1484" t="s">
        <v>1266</v>
      </c>
      <c r="Q1484" t="s">
        <v>167</v>
      </c>
      <c r="R1484" t="s">
        <v>5438</v>
      </c>
      <c r="S1484" t="s">
        <v>79</v>
      </c>
      <c r="T1484" t="s">
        <v>1224</v>
      </c>
      <c r="U1484" t="s">
        <v>300</v>
      </c>
      <c r="V1484" t="s">
        <v>42</v>
      </c>
    </row>
    <row r="1485" spans="1:22" x14ac:dyDescent="0.3">
      <c r="A1485" t="s">
        <v>5439</v>
      </c>
      <c r="B1485" t="s">
        <v>4635</v>
      </c>
      <c r="C1485" t="s">
        <v>4636</v>
      </c>
      <c r="D1485" t="s">
        <v>642</v>
      </c>
      <c r="E1485" t="s">
        <v>188</v>
      </c>
      <c r="F1485" t="s">
        <v>188</v>
      </c>
      <c r="G1485" t="s">
        <v>580</v>
      </c>
      <c r="H1485" t="s">
        <v>229</v>
      </c>
      <c r="I1485" t="s">
        <v>69</v>
      </c>
      <c r="J1485" t="s">
        <v>30</v>
      </c>
      <c r="K1485" t="s">
        <v>71</v>
      </c>
      <c r="L1485" t="s">
        <v>658</v>
      </c>
      <c r="M1485" t="s">
        <v>2537</v>
      </c>
      <c r="N1485" t="s">
        <v>276</v>
      </c>
      <c r="O1485" t="s">
        <v>470</v>
      </c>
      <c r="P1485" t="s">
        <v>880</v>
      </c>
      <c r="Q1485" t="s">
        <v>2125</v>
      </c>
      <c r="R1485" t="s">
        <v>5440</v>
      </c>
      <c r="S1485" t="s">
        <v>126</v>
      </c>
      <c r="T1485" t="s">
        <v>448</v>
      </c>
      <c r="U1485" t="s">
        <v>277</v>
      </c>
      <c r="V1485" t="s">
        <v>42</v>
      </c>
    </row>
    <row r="1486" spans="1:22" x14ac:dyDescent="0.3">
      <c r="A1486" t="s">
        <v>5441</v>
      </c>
      <c r="B1486" t="s">
        <v>1109</v>
      </c>
      <c r="C1486" t="s">
        <v>1110</v>
      </c>
      <c r="D1486" t="s">
        <v>2256</v>
      </c>
      <c r="E1486" t="s">
        <v>399</v>
      </c>
      <c r="F1486" t="s">
        <v>188</v>
      </c>
      <c r="G1486" t="s">
        <v>213</v>
      </c>
      <c r="H1486" t="s">
        <v>104</v>
      </c>
      <c r="I1486" t="s">
        <v>29</v>
      </c>
      <c r="J1486" t="s">
        <v>70</v>
      </c>
      <c r="K1486" t="s">
        <v>71</v>
      </c>
      <c r="L1486" t="s">
        <v>466</v>
      </c>
      <c r="M1486" t="s">
        <v>1414</v>
      </c>
      <c r="N1486" t="s">
        <v>896</v>
      </c>
      <c r="O1486" t="s">
        <v>368</v>
      </c>
      <c r="P1486" t="s">
        <v>164</v>
      </c>
      <c r="Q1486" t="s">
        <v>433</v>
      </c>
      <c r="R1486" t="s">
        <v>141</v>
      </c>
      <c r="S1486" t="s">
        <v>97</v>
      </c>
      <c r="T1486" t="s">
        <v>1162</v>
      </c>
      <c r="U1486" t="s">
        <v>373</v>
      </c>
      <c r="V1486" t="s">
        <v>114</v>
      </c>
    </row>
    <row r="1487" spans="1:22" x14ac:dyDescent="0.3">
      <c r="A1487" t="s">
        <v>5442</v>
      </c>
      <c r="B1487" t="s">
        <v>5281</v>
      </c>
      <c r="C1487" t="s">
        <v>5282</v>
      </c>
      <c r="D1487" t="s">
        <v>3873</v>
      </c>
      <c r="E1487" t="s">
        <v>399</v>
      </c>
      <c r="F1487" t="s">
        <v>188</v>
      </c>
      <c r="G1487" t="s">
        <v>147</v>
      </c>
      <c r="H1487" t="s">
        <v>28</v>
      </c>
      <c r="I1487" t="s">
        <v>29</v>
      </c>
      <c r="J1487" t="s">
        <v>30</v>
      </c>
      <c r="K1487" t="s">
        <v>89</v>
      </c>
      <c r="L1487" t="s">
        <v>534</v>
      </c>
      <c r="M1487" t="s">
        <v>620</v>
      </c>
      <c r="N1487" t="s">
        <v>179</v>
      </c>
      <c r="O1487" t="s">
        <v>620</v>
      </c>
      <c r="P1487" t="s">
        <v>2279</v>
      </c>
      <c r="Q1487" t="s">
        <v>1000</v>
      </c>
      <c r="R1487" t="s">
        <v>5443</v>
      </c>
      <c r="T1487" t="s">
        <v>648</v>
      </c>
      <c r="U1487" t="s">
        <v>472</v>
      </c>
      <c r="V1487" t="s">
        <v>82</v>
      </c>
    </row>
    <row r="1488" spans="1:22" x14ac:dyDescent="0.3">
      <c r="A1488" t="s">
        <v>5444</v>
      </c>
      <c r="B1488" t="s">
        <v>548</v>
      </c>
      <c r="C1488" t="s">
        <v>549</v>
      </c>
      <c r="D1488" t="s">
        <v>2777</v>
      </c>
      <c r="E1488" t="s">
        <v>66</v>
      </c>
      <c r="F1488" t="s">
        <v>66</v>
      </c>
      <c r="G1488" t="s">
        <v>580</v>
      </c>
      <c r="H1488" t="s">
        <v>229</v>
      </c>
      <c r="I1488" t="s">
        <v>29</v>
      </c>
      <c r="J1488" t="s">
        <v>257</v>
      </c>
      <c r="K1488" t="s">
        <v>230</v>
      </c>
      <c r="L1488" t="s">
        <v>333</v>
      </c>
      <c r="M1488" t="s">
        <v>3584</v>
      </c>
      <c r="N1488" t="s">
        <v>179</v>
      </c>
      <c r="O1488" t="s">
        <v>3584</v>
      </c>
      <c r="P1488" t="s">
        <v>1716</v>
      </c>
      <c r="Q1488" t="s">
        <v>1924</v>
      </c>
      <c r="R1488" t="s">
        <v>5445</v>
      </c>
      <c r="S1488" t="s">
        <v>79</v>
      </c>
      <c r="T1488" t="s">
        <v>881</v>
      </c>
      <c r="U1488" t="s">
        <v>81</v>
      </c>
      <c r="V1488" t="s">
        <v>42</v>
      </c>
    </row>
    <row r="1489" spans="1:22" x14ac:dyDescent="0.3">
      <c r="A1489" t="s">
        <v>5446</v>
      </c>
      <c r="B1489" t="s">
        <v>869</v>
      </c>
      <c r="C1489" t="s">
        <v>870</v>
      </c>
      <c r="D1489" t="s">
        <v>5290</v>
      </c>
      <c r="E1489" t="s">
        <v>354</v>
      </c>
      <c r="F1489" t="s">
        <v>134</v>
      </c>
      <c r="G1489" t="s">
        <v>118</v>
      </c>
      <c r="I1489" t="s">
        <v>69</v>
      </c>
      <c r="J1489" t="s">
        <v>30</v>
      </c>
      <c r="K1489" t="s">
        <v>230</v>
      </c>
      <c r="L1489" t="s">
        <v>1049</v>
      </c>
      <c r="M1489" t="s">
        <v>702</v>
      </c>
      <c r="N1489" t="s">
        <v>233</v>
      </c>
      <c r="O1489" t="s">
        <v>2325</v>
      </c>
      <c r="P1489" t="s">
        <v>1075</v>
      </c>
      <c r="Q1489" t="s">
        <v>610</v>
      </c>
      <c r="R1489" t="s">
        <v>5447</v>
      </c>
      <c r="S1489" t="s">
        <v>126</v>
      </c>
      <c r="T1489" t="s">
        <v>677</v>
      </c>
      <c r="U1489" t="s">
        <v>373</v>
      </c>
      <c r="V1489" t="s">
        <v>79</v>
      </c>
    </row>
    <row r="1490" spans="1:22" x14ac:dyDescent="0.3">
      <c r="A1490" t="s">
        <v>5448</v>
      </c>
      <c r="B1490" t="s">
        <v>3345</v>
      </c>
      <c r="C1490" t="s">
        <v>3346</v>
      </c>
      <c r="D1490" t="s">
        <v>936</v>
      </c>
      <c r="E1490" t="s">
        <v>26</v>
      </c>
      <c r="F1490" t="s">
        <v>26</v>
      </c>
      <c r="G1490" t="s">
        <v>147</v>
      </c>
      <c r="H1490" t="s">
        <v>268</v>
      </c>
      <c r="I1490" t="s">
        <v>69</v>
      </c>
      <c r="J1490" t="s">
        <v>30</v>
      </c>
      <c r="K1490" t="s">
        <v>293</v>
      </c>
      <c r="L1490" t="s">
        <v>561</v>
      </c>
      <c r="M1490" t="s">
        <v>654</v>
      </c>
      <c r="N1490" t="s">
        <v>392</v>
      </c>
      <c r="O1490" t="s">
        <v>2061</v>
      </c>
      <c r="P1490" t="s">
        <v>1413</v>
      </c>
      <c r="Q1490" t="s">
        <v>544</v>
      </c>
      <c r="R1490" t="s">
        <v>3665</v>
      </c>
      <c r="S1490" t="s">
        <v>58</v>
      </c>
      <c r="T1490" t="s">
        <v>121</v>
      </c>
      <c r="U1490" t="s">
        <v>472</v>
      </c>
      <c r="V1490" t="s">
        <v>114</v>
      </c>
    </row>
    <row r="1491" spans="1:22" x14ac:dyDescent="0.3">
      <c r="A1491" t="s">
        <v>5449</v>
      </c>
      <c r="B1491" t="s">
        <v>679</v>
      </c>
      <c r="C1491" t="s">
        <v>680</v>
      </c>
      <c r="D1491" t="s">
        <v>1963</v>
      </c>
      <c r="E1491" t="s">
        <v>780</v>
      </c>
      <c r="F1491" t="s">
        <v>282</v>
      </c>
      <c r="G1491" t="s">
        <v>48</v>
      </c>
      <c r="H1491" t="s">
        <v>229</v>
      </c>
      <c r="I1491" t="s">
        <v>69</v>
      </c>
      <c r="J1491" t="s">
        <v>70</v>
      </c>
      <c r="K1491" t="s">
        <v>293</v>
      </c>
      <c r="L1491" t="s">
        <v>258</v>
      </c>
      <c r="M1491" t="s">
        <v>2589</v>
      </c>
      <c r="N1491" t="s">
        <v>318</v>
      </c>
      <c r="O1491" t="s">
        <v>3145</v>
      </c>
      <c r="P1491" t="s">
        <v>3011</v>
      </c>
      <c r="Q1491" t="s">
        <v>361</v>
      </c>
      <c r="R1491" t="s">
        <v>5450</v>
      </c>
      <c r="S1491" t="s">
        <v>126</v>
      </c>
      <c r="T1491" t="s">
        <v>896</v>
      </c>
      <c r="U1491" t="s">
        <v>179</v>
      </c>
      <c r="V1491" t="s">
        <v>58</v>
      </c>
    </row>
    <row r="1492" spans="1:22" x14ac:dyDescent="0.3">
      <c r="A1492" t="s">
        <v>5451</v>
      </c>
      <c r="B1492" t="s">
        <v>3670</v>
      </c>
      <c r="C1492" t="s">
        <v>3671</v>
      </c>
      <c r="D1492" t="s">
        <v>1811</v>
      </c>
      <c r="E1492" t="s">
        <v>161</v>
      </c>
      <c r="F1492" t="s">
        <v>161</v>
      </c>
      <c r="G1492" t="s">
        <v>67</v>
      </c>
      <c r="H1492" t="s">
        <v>49</v>
      </c>
      <c r="I1492" t="s">
        <v>69</v>
      </c>
      <c r="J1492" t="s">
        <v>30</v>
      </c>
      <c r="K1492" t="s">
        <v>215</v>
      </c>
      <c r="L1492" t="s">
        <v>32</v>
      </c>
      <c r="M1492" t="s">
        <v>907</v>
      </c>
      <c r="N1492" t="s">
        <v>1569</v>
      </c>
      <c r="O1492" t="s">
        <v>4150</v>
      </c>
      <c r="P1492" t="s">
        <v>3522</v>
      </c>
      <c r="Q1492" t="s">
        <v>1433</v>
      </c>
      <c r="R1492" t="s">
        <v>2354</v>
      </c>
      <c r="S1492" t="s">
        <v>58</v>
      </c>
      <c r="T1492" t="s">
        <v>361</v>
      </c>
      <c r="U1492" t="s">
        <v>373</v>
      </c>
      <c r="V1492" t="s">
        <v>82</v>
      </c>
    </row>
    <row r="1493" spans="1:22" x14ac:dyDescent="0.3">
      <c r="A1493" t="s">
        <v>5452</v>
      </c>
      <c r="B1493" t="s">
        <v>3028</v>
      </c>
      <c r="C1493" t="s">
        <v>3029</v>
      </c>
      <c r="D1493" t="s">
        <v>1363</v>
      </c>
      <c r="E1493" t="s">
        <v>65</v>
      </c>
      <c r="F1493" t="s">
        <v>66</v>
      </c>
      <c r="G1493" t="s">
        <v>27</v>
      </c>
      <c r="H1493" t="s">
        <v>88</v>
      </c>
      <c r="I1493" t="s">
        <v>29</v>
      </c>
      <c r="J1493" t="s">
        <v>70</v>
      </c>
      <c r="K1493" t="s">
        <v>89</v>
      </c>
      <c r="L1493" t="s">
        <v>294</v>
      </c>
      <c r="M1493" t="s">
        <v>1553</v>
      </c>
      <c r="N1493" t="s">
        <v>179</v>
      </c>
      <c r="O1493" t="s">
        <v>1553</v>
      </c>
      <c r="P1493" t="s">
        <v>368</v>
      </c>
      <c r="Q1493" t="s">
        <v>886</v>
      </c>
      <c r="R1493" t="s">
        <v>4643</v>
      </c>
      <c r="S1493" t="s">
        <v>79</v>
      </c>
      <c r="T1493" t="s">
        <v>440</v>
      </c>
      <c r="U1493" t="s">
        <v>60</v>
      </c>
      <c r="V1493" t="s">
        <v>42</v>
      </c>
    </row>
    <row r="1494" spans="1:22" x14ac:dyDescent="0.3">
      <c r="A1494" t="s">
        <v>5453</v>
      </c>
      <c r="B1494" t="s">
        <v>5454</v>
      </c>
      <c r="C1494" t="s">
        <v>5455</v>
      </c>
      <c r="D1494" t="s">
        <v>2256</v>
      </c>
      <c r="E1494" t="s">
        <v>133</v>
      </c>
      <c r="F1494" t="s">
        <v>134</v>
      </c>
      <c r="G1494" t="s">
        <v>27</v>
      </c>
      <c r="H1494" t="s">
        <v>104</v>
      </c>
      <c r="I1494" t="s">
        <v>29</v>
      </c>
      <c r="J1494" t="s">
        <v>30</v>
      </c>
      <c r="K1494" t="s">
        <v>215</v>
      </c>
      <c r="L1494" t="s">
        <v>1515</v>
      </c>
      <c r="M1494" t="s">
        <v>2590</v>
      </c>
      <c r="N1494" t="s">
        <v>440</v>
      </c>
      <c r="O1494" t="s">
        <v>2061</v>
      </c>
      <c r="P1494" t="s">
        <v>2549</v>
      </c>
      <c r="Q1494" t="s">
        <v>1430</v>
      </c>
      <c r="R1494" t="s">
        <v>2529</v>
      </c>
      <c r="S1494" t="s">
        <v>39</v>
      </c>
      <c r="T1494" t="s">
        <v>361</v>
      </c>
      <c r="U1494" t="s">
        <v>349</v>
      </c>
      <c r="V1494" t="s">
        <v>42</v>
      </c>
    </row>
    <row r="1495" spans="1:22" x14ac:dyDescent="0.3">
      <c r="A1495" t="s">
        <v>5456</v>
      </c>
      <c r="B1495" t="s">
        <v>989</v>
      </c>
      <c r="C1495" t="s">
        <v>990</v>
      </c>
      <c r="D1495" t="s">
        <v>3214</v>
      </c>
      <c r="E1495" t="s">
        <v>399</v>
      </c>
      <c r="F1495" t="s">
        <v>188</v>
      </c>
      <c r="G1495" t="s">
        <v>118</v>
      </c>
      <c r="H1495" t="s">
        <v>104</v>
      </c>
      <c r="I1495" t="s">
        <v>69</v>
      </c>
      <c r="J1495" t="s">
        <v>30</v>
      </c>
      <c r="K1495" t="s">
        <v>71</v>
      </c>
      <c r="L1495" t="s">
        <v>177</v>
      </c>
      <c r="M1495" t="s">
        <v>1402</v>
      </c>
      <c r="N1495" t="s">
        <v>179</v>
      </c>
      <c r="O1495" t="s">
        <v>1402</v>
      </c>
      <c r="P1495" t="s">
        <v>2902</v>
      </c>
      <c r="Q1495" t="s">
        <v>645</v>
      </c>
      <c r="R1495" t="s">
        <v>754</v>
      </c>
      <c r="S1495" t="s">
        <v>182</v>
      </c>
      <c r="T1495" t="s">
        <v>92</v>
      </c>
      <c r="U1495" t="s">
        <v>60</v>
      </c>
      <c r="V1495" t="s">
        <v>42</v>
      </c>
    </row>
    <row r="1496" spans="1:22" x14ac:dyDescent="0.3">
      <c r="A1496" t="s">
        <v>5457</v>
      </c>
      <c r="B1496" t="s">
        <v>2288</v>
      </c>
      <c r="C1496" t="s">
        <v>2289</v>
      </c>
      <c r="D1496" t="s">
        <v>4407</v>
      </c>
      <c r="E1496" t="s">
        <v>244</v>
      </c>
      <c r="F1496" t="s">
        <v>244</v>
      </c>
      <c r="G1496" t="s">
        <v>213</v>
      </c>
      <c r="H1496" t="s">
        <v>104</v>
      </c>
      <c r="I1496" t="s">
        <v>69</v>
      </c>
      <c r="J1496" t="s">
        <v>162</v>
      </c>
      <c r="K1496" t="s">
        <v>31</v>
      </c>
      <c r="L1496" t="s">
        <v>598</v>
      </c>
      <c r="M1496" t="s">
        <v>898</v>
      </c>
      <c r="N1496" t="s">
        <v>179</v>
      </c>
      <c r="O1496" t="s">
        <v>898</v>
      </c>
      <c r="P1496" t="s">
        <v>2565</v>
      </c>
      <c r="Q1496" t="s">
        <v>54</v>
      </c>
      <c r="R1496" t="s">
        <v>5458</v>
      </c>
      <c r="S1496" t="s">
        <v>97</v>
      </c>
      <c r="T1496" t="s">
        <v>1112</v>
      </c>
      <c r="U1496" t="s">
        <v>407</v>
      </c>
      <c r="V1496" t="s">
        <v>42</v>
      </c>
    </row>
    <row r="1497" spans="1:22" x14ac:dyDescent="0.3">
      <c r="A1497" t="s">
        <v>5459</v>
      </c>
      <c r="B1497" t="s">
        <v>2510</v>
      </c>
      <c r="C1497" t="s">
        <v>2511</v>
      </c>
      <c r="D1497" t="s">
        <v>1095</v>
      </c>
      <c r="E1497" t="s">
        <v>244</v>
      </c>
      <c r="F1497" t="s">
        <v>244</v>
      </c>
      <c r="G1497" t="s">
        <v>48</v>
      </c>
      <c r="H1497" t="s">
        <v>229</v>
      </c>
      <c r="I1497" t="s">
        <v>69</v>
      </c>
      <c r="J1497" t="s">
        <v>30</v>
      </c>
      <c r="K1497" t="s">
        <v>31</v>
      </c>
      <c r="L1497" t="s">
        <v>216</v>
      </c>
      <c r="M1497" t="s">
        <v>1527</v>
      </c>
      <c r="N1497" t="s">
        <v>179</v>
      </c>
      <c r="O1497" t="s">
        <v>1527</v>
      </c>
      <c r="P1497" t="s">
        <v>1909</v>
      </c>
      <c r="Q1497" t="s">
        <v>2542</v>
      </c>
      <c r="R1497" t="s">
        <v>5460</v>
      </c>
      <c r="S1497" t="s">
        <v>97</v>
      </c>
      <c r="T1497" t="s">
        <v>735</v>
      </c>
      <c r="U1497" t="s">
        <v>423</v>
      </c>
      <c r="V1497" t="s">
        <v>58</v>
      </c>
    </row>
    <row r="1498" spans="1:22" x14ac:dyDescent="0.3">
      <c r="A1498" t="s">
        <v>5461</v>
      </c>
      <c r="B1498" t="s">
        <v>2871</v>
      </c>
      <c r="C1498" t="s">
        <v>2872</v>
      </c>
      <c r="D1498" t="s">
        <v>2654</v>
      </c>
      <c r="E1498" t="s">
        <v>133</v>
      </c>
      <c r="F1498" t="s">
        <v>134</v>
      </c>
      <c r="G1498" t="s">
        <v>580</v>
      </c>
      <c r="H1498" t="s">
        <v>268</v>
      </c>
      <c r="I1498" t="s">
        <v>69</v>
      </c>
      <c r="J1498" t="s">
        <v>30</v>
      </c>
      <c r="K1498" t="s">
        <v>245</v>
      </c>
      <c r="L1498" t="s">
        <v>983</v>
      </c>
      <c r="M1498" t="s">
        <v>2793</v>
      </c>
      <c r="N1498" t="s">
        <v>167</v>
      </c>
      <c r="O1498" t="s">
        <v>1038</v>
      </c>
      <c r="P1498" t="s">
        <v>5462</v>
      </c>
      <c r="Q1498" t="s">
        <v>218</v>
      </c>
      <c r="R1498" t="s">
        <v>5463</v>
      </c>
      <c r="S1498" t="s">
        <v>97</v>
      </c>
      <c r="T1498" t="s">
        <v>392</v>
      </c>
      <c r="U1498" t="s">
        <v>41</v>
      </c>
      <c r="V1498" t="s">
        <v>58</v>
      </c>
    </row>
    <row r="1499" spans="1:22" x14ac:dyDescent="0.3">
      <c r="A1499" t="s">
        <v>5464</v>
      </c>
      <c r="B1499" t="s">
        <v>1275</v>
      </c>
      <c r="C1499" t="s">
        <v>1276</v>
      </c>
      <c r="D1499" t="s">
        <v>4739</v>
      </c>
      <c r="E1499" t="s">
        <v>342</v>
      </c>
      <c r="F1499" t="s">
        <v>244</v>
      </c>
      <c r="G1499" t="s">
        <v>103</v>
      </c>
      <c r="H1499" t="s">
        <v>268</v>
      </c>
      <c r="I1499" t="s">
        <v>69</v>
      </c>
      <c r="J1499" t="s">
        <v>30</v>
      </c>
      <c r="K1499" t="s">
        <v>50</v>
      </c>
      <c r="L1499" t="s">
        <v>1503</v>
      </c>
      <c r="M1499" t="s">
        <v>1931</v>
      </c>
      <c r="N1499" t="s">
        <v>1099</v>
      </c>
      <c r="O1499" t="s">
        <v>2307</v>
      </c>
      <c r="P1499" t="s">
        <v>439</v>
      </c>
      <c r="Q1499" t="s">
        <v>406</v>
      </c>
      <c r="R1499" t="s">
        <v>3786</v>
      </c>
      <c r="S1499" t="s">
        <v>79</v>
      </c>
      <c r="T1499" t="s">
        <v>328</v>
      </c>
      <c r="U1499" t="s">
        <v>98</v>
      </c>
      <c r="V1499" t="s">
        <v>58</v>
      </c>
    </row>
    <row r="1500" spans="1:22" x14ac:dyDescent="0.3">
      <c r="A1500" t="s">
        <v>5465</v>
      </c>
      <c r="B1500" t="s">
        <v>869</v>
      </c>
      <c r="C1500" t="s">
        <v>870</v>
      </c>
      <c r="D1500" t="s">
        <v>2369</v>
      </c>
      <c r="E1500" t="s">
        <v>417</v>
      </c>
      <c r="F1500" t="s">
        <v>134</v>
      </c>
      <c r="G1500" t="s">
        <v>103</v>
      </c>
      <c r="H1500" t="s">
        <v>68</v>
      </c>
      <c r="I1500" t="s">
        <v>69</v>
      </c>
      <c r="J1500" t="s">
        <v>30</v>
      </c>
      <c r="K1500" t="s">
        <v>89</v>
      </c>
      <c r="L1500" t="s">
        <v>148</v>
      </c>
      <c r="M1500" t="s">
        <v>52</v>
      </c>
      <c r="N1500" t="s">
        <v>179</v>
      </c>
      <c r="O1500" t="s">
        <v>52</v>
      </c>
      <c r="P1500" t="s">
        <v>710</v>
      </c>
      <c r="Q1500" t="s">
        <v>602</v>
      </c>
      <c r="R1500" t="s">
        <v>5466</v>
      </c>
      <c r="S1500" t="s">
        <v>58</v>
      </c>
      <c r="T1500" t="s">
        <v>770</v>
      </c>
      <c r="U1500" t="s">
        <v>3459</v>
      </c>
      <c r="V1500" t="s">
        <v>58</v>
      </c>
    </row>
    <row r="1501" spans="1:22" x14ac:dyDescent="0.3">
      <c r="A1501" t="s">
        <v>5467</v>
      </c>
      <c r="B1501" t="s">
        <v>4006</v>
      </c>
      <c r="C1501" t="s">
        <v>4007</v>
      </c>
      <c r="D1501" t="s">
        <v>2647</v>
      </c>
      <c r="E1501" t="s">
        <v>66</v>
      </c>
      <c r="F1501" t="s">
        <v>66</v>
      </c>
      <c r="G1501" t="s">
        <v>48</v>
      </c>
      <c r="H1501" t="s">
        <v>268</v>
      </c>
      <c r="I1501" t="s">
        <v>69</v>
      </c>
      <c r="J1501" t="s">
        <v>70</v>
      </c>
      <c r="K1501" t="s">
        <v>50</v>
      </c>
      <c r="L1501" t="s">
        <v>163</v>
      </c>
      <c r="M1501" t="s">
        <v>1745</v>
      </c>
      <c r="N1501" t="s">
        <v>179</v>
      </c>
      <c r="O1501" t="s">
        <v>1745</v>
      </c>
      <c r="P1501" t="s">
        <v>1433</v>
      </c>
      <c r="Q1501" t="s">
        <v>468</v>
      </c>
      <c r="R1501" t="s">
        <v>5468</v>
      </c>
      <c r="S1501" t="s">
        <v>126</v>
      </c>
      <c r="T1501" t="s">
        <v>896</v>
      </c>
      <c r="U1501" t="s">
        <v>300</v>
      </c>
      <c r="V1501" t="s">
        <v>114</v>
      </c>
    </row>
    <row r="1502" spans="1:22" x14ac:dyDescent="0.3">
      <c r="A1502" t="s">
        <v>4257</v>
      </c>
      <c r="B1502" t="s">
        <v>2317</v>
      </c>
      <c r="C1502" t="s">
        <v>2318</v>
      </c>
      <c r="D1502" t="s">
        <v>4258</v>
      </c>
      <c r="E1502" t="s">
        <v>438</v>
      </c>
      <c r="F1502" t="s">
        <v>188</v>
      </c>
      <c r="G1502" t="s">
        <v>67</v>
      </c>
      <c r="H1502" t="s">
        <v>49</v>
      </c>
      <c r="I1502" t="s">
        <v>69</v>
      </c>
      <c r="J1502" t="s">
        <v>30</v>
      </c>
      <c r="K1502" t="s">
        <v>200</v>
      </c>
      <c r="L1502" t="s">
        <v>561</v>
      </c>
      <c r="M1502" t="s">
        <v>1396</v>
      </c>
      <c r="N1502" t="s">
        <v>328</v>
      </c>
      <c r="O1502" t="s">
        <v>152</v>
      </c>
      <c r="P1502" t="s">
        <v>1694</v>
      </c>
      <c r="Q1502" t="s">
        <v>459</v>
      </c>
      <c r="R1502" t="s">
        <v>754</v>
      </c>
      <c r="S1502" t="s">
        <v>97</v>
      </c>
      <c r="T1502" t="s">
        <v>369</v>
      </c>
      <c r="U1502" t="s">
        <v>537</v>
      </c>
      <c r="V1502" t="s">
        <v>58</v>
      </c>
    </row>
    <row r="1503" spans="1:22" x14ac:dyDescent="0.3">
      <c r="A1503" t="s">
        <v>4252</v>
      </c>
      <c r="B1503" t="s">
        <v>375</v>
      </c>
      <c r="C1503" t="s">
        <v>376</v>
      </c>
      <c r="D1503" t="s">
        <v>3356</v>
      </c>
      <c r="E1503" t="s">
        <v>267</v>
      </c>
      <c r="F1503" t="s">
        <v>66</v>
      </c>
      <c r="G1503" t="s">
        <v>580</v>
      </c>
      <c r="H1503" t="s">
        <v>49</v>
      </c>
      <c r="I1503" t="s">
        <v>69</v>
      </c>
      <c r="J1503" t="s">
        <v>30</v>
      </c>
      <c r="K1503" t="s">
        <v>89</v>
      </c>
      <c r="L1503" t="s">
        <v>902</v>
      </c>
      <c r="M1503" t="s">
        <v>403</v>
      </c>
      <c r="N1503" t="s">
        <v>695</v>
      </c>
      <c r="O1503" t="s">
        <v>497</v>
      </c>
      <c r="P1503" t="s">
        <v>1051</v>
      </c>
      <c r="Q1503" t="s">
        <v>167</v>
      </c>
      <c r="R1503" t="s">
        <v>3298</v>
      </c>
      <c r="S1503" t="s">
        <v>58</v>
      </c>
      <c r="T1503" t="s">
        <v>121</v>
      </c>
      <c r="U1503" t="s">
        <v>362</v>
      </c>
      <c r="V1503" t="s">
        <v>82</v>
      </c>
    </row>
    <row r="1504" spans="1:22" x14ac:dyDescent="0.3">
      <c r="A1504" t="s">
        <v>2821</v>
      </c>
      <c r="B1504" t="s">
        <v>2822</v>
      </c>
      <c r="C1504" t="s">
        <v>2823</v>
      </c>
      <c r="D1504" t="s">
        <v>1936</v>
      </c>
      <c r="E1504" t="s">
        <v>780</v>
      </c>
      <c r="F1504" t="s">
        <v>282</v>
      </c>
      <c r="G1504" t="s">
        <v>103</v>
      </c>
      <c r="H1504" t="s">
        <v>28</v>
      </c>
      <c r="I1504" t="s">
        <v>69</v>
      </c>
      <c r="J1504" t="s">
        <v>30</v>
      </c>
      <c r="K1504" t="s">
        <v>215</v>
      </c>
      <c r="L1504" t="s">
        <v>362</v>
      </c>
      <c r="M1504" t="s">
        <v>2340</v>
      </c>
      <c r="N1504" t="s">
        <v>543</v>
      </c>
      <c r="O1504" t="s">
        <v>712</v>
      </c>
      <c r="P1504" t="s">
        <v>2824</v>
      </c>
      <c r="Q1504" t="s">
        <v>2037</v>
      </c>
      <c r="R1504" t="s">
        <v>2825</v>
      </c>
      <c r="S1504" t="s">
        <v>97</v>
      </c>
      <c r="T1504" t="s">
        <v>74</v>
      </c>
      <c r="U1504" t="s">
        <v>41</v>
      </c>
      <c r="V1504" t="s">
        <v>82</v>
      </c>
    </row>
    <row r="1505" spans="1:22" x14ac:dyDescent="0.3">
      <c r="A1505" t="s">
        <v>726</v>
      </c>
      <c r="B1505" t="s">
        <v>727</v>
      </c>
      <c r="C1505" t="s">
        <v>728</v>
      </c>
      <c r="D1505" t="s">
        <v>729</v>
      </c>
      <c r="E1505" t="s">
        <v>730</v>
      </c>
      <c r="F1505" t="s">
        <v>26</v>
      </c>
      <c r="G1505" t="s">
        <v>118</v>
      </c>
      <c r="H1505" t="s">
        <v>104</v>
      </c>
      <c r="I1505" t="s">
        <v>69</v>
      </c>
      <c r="J1505" t="s">
        <v>30</v>
      </c>
      <c r="K1505" t="s">
        <v>293</v>
      </c>
      <c r="L1505" t="s">
        <v>731</v>
      </c>
      <c r="M1505" t="s">
        <v>732</v>
      </c>
      <c r="N1505" t="s">
        <v>328</v>
      </c>
      <c r="O1505" t="s">
        <v>733</v>
      </c>
      <c r="P1505" t="s">
        <v>734</v>
      </c>
      <c r="Q1505" t="s">
        <v>735</v>
      </c>
      <c r="R1505" t="s">
        <v>736</v>
      </c>
      <c r="S1505" t="s">
        <v>182</v>
      </c>
      <c r="T1505" t="s">
        <v>92</v>
      </c>
      <c r="U1505" t="s">
        <v>537</v>
      </c>
      <c r="V1505" t="s">
        <v>82</v>
      </c>
    </row>
    <row r="1506" spans="1:22" x14ac:dyDescent="0.3">
      <c r="A1506" t="s">
        <v>1577</v>
      </c>
      <c r="B1506" t="s">
        <v>1578</v>
      </c>
      <c r="C1506" t="s">
        <v>1579</v>
      </c>
      <c r="D1506" t="s">
        <v>1580</v>
      </c>
      <c r="E1506" t="s">
        <v>893</v>
      </c>
      <c r="F1506" t="s">
        <v>188</v>
      </c>
      <c r="G1506" t="s">
        <v>103</v>
      </c>
      <c r="H1506" t="s">
        <v>28</v>
      </c>
      <c r="I1506" t="s">
        <v>69</v>
      </c>
      <c r="J1506" t="s">
        <v>162</v>
      </c>
      <c r="K1506" t="s">
        <v>50</v>
      </c>
      <c r="L1506" t="s">
        <v>148</v>
      </c>
      <c r="M1506" t="s">
        <v>545</v>
      </c>
      <c r="N1506" t="s">
        <v>179</v>
      </c>
      <c r="O1506" t="s">
        <v>545</v>
      </c>
      <c r="P1506" t="s">
        <v>977</v>
      </c>
      <c r="Q1506" t="s">
        <v>92</v>
      </c>
      <c r="R1506" t="s">
        <v>1581</v>
      </c>
      <c r="S1506" t="s">
        <v>182</v>
      </c>
      <c r="T1506" t="s">
        <v>165</v>
      </c>
      <c r="U1506" t="s">
        <v>128</v>
      </c>
      <c r="V1506" t="s">
        <v>42</v>
      </c>
    </row>
    <row r="1507" spans="1:22" x14ac:dyDescent="0.3">
      <c r="A1507" t="s">
        <v>2482</v>
      </c>
      <c r="B1507" t="s">
        <v>1298</v>
      </c>
      <c r="C1507" t="s">
        <v>1299</v>
      </c>
      <c r="D1507" t="s">
        <v>2483</v>
      </c>
      <c r="E1507" t="s">
        <v>634</v>
      </c>
      <c r="F1507" t="s">
        <v>228</v>
      </c>
      <c r="G1507" t="s">
        <v>48</v>
      </c>
      <c r="H1507" t="s">
        <v>104</v>
      </c>
      <c r="I1507" t="s">
        <v>29</v>
      </c>
      <c r="J1507" t="s">
        <v>70</v>
      </c>
      <c r="K1507" t="s">
        <v>215</v>
      </c>
      <c r="L1507" t="s">
        <v>766</v>
      </c>
      <c r="M1507" t="s">
        <v>2484</v>
      </c>
      <c r="N1507" t="s">
        <v>179</v>
      </c>
      <c r="O1507" t="s">
        <v>2484</v>
      </c>
      <c r="P1507" t="s">
        <v>36</v>
      </c>
      <c r="Q1507" t="s">
        <v>767</v>
      </c>
      <c r="R1507" t="s">
        <v>2485</v>
      </c>
      <c r="S1507" t="s">
        <v>39</v>
      </c>
      <c r="T1507" t="s">
        <v>648</v>
      </c>
      <c r="U1507" t="s">
        <v>171</v>
      </c>
      <c r="V1507" t="s">
        <v>42</v>
      </c>
    </row>
    <row r="1508" spans="1:22" x14ac:dyDescent="0.3">
      <c r="A1508" t="s">
        <v>4993</v>
      </c>
      <c r="B1508" t="s">
        <v>2563</v>
      </c>
      <c r="C1508" t="s">
        <v>2564</v>
      </c>
      <c r="D1508" t="s">
        <v>3017</v>
      </c>
      <c r="E1508" t="s">
        <v>417</v>
      </c>
      <c r="F1508" t="s">
        <v>134</v>
      </c>
      <c r="G1508" t="s">
        <v>103</v>
      </c>
      <c r="H1508" t="s">
        <v>229</v>
      </c>
      <c r="I1508" t="s">
        <v>69</v>
      </c>
      <c r="J1508" t="s">
        <v>5469</v>
      </c>
      <c r="K1508" t="s">
        <v>215</v>
      </c>
      <c r="L1508" t="s">
        <v>32</v>
      </c>
      <c r="M1508" t="s">
        <v>1681</v>
      </c>
      <c r="N1508" t="s">
        <v>440</v>
      </c>
      <c r="O1508" t="s">
        <v>259</v>
      </c>
      <c r="P1508" t="s">
        <v>52</v>
      </c>
      <c r="Q1508" t="s">
        <v>735</v>
      </c>
      <c r="R1508" t="s">
        <v>2462</v>
      </c>
      <c r="S1508" t="s">
        <v>97</v>
      </c>
      <c r="T1508" t="s">
        <v>695</v>
      </c>
      <c r="U1508" t="s">
        <v>362</v>
      </c>
      <c r="V1508" t="s">
        <v>58</v>
      </c>
    </row>
    <row r="1509" spans="1:22" x14ac:dyDescent="0.3">
      <c r="A1509" t="s">
        <v>2398</v>
      </c>
      <c r="B1509" t="s">
        <v>1131</v>
      </c>
      <c r="C1509" t="s">
        <v>1132</v>
      </c>
      <c r="D1509" t="s">
        <v>2399</v>
      </c>
      <c r="E1509" t="s">
        <v>417</v>
      </c>
      <c r="F1509" t="s">
        <v>134</v>
      </c>
      <c r="G1509" t="s">
        <v>118</v>
      </c>
      <c r="H1509" t="s">
        <v>268</v>
      </c>
      <c r="I1509" t="s">
        <v>69</v>
      </c>
      <c r="J1509" t="s">
        <v>70</v>
      </c>
      <c r="K1509" t="s">
        <v>200</v>
      </c>
      <c r="L1509" t="s">
        <v>2400</v>
      </c>
      <c r="M1509" t="s">
        <v>2401</v>
      </c>
      <c r="N1509" t="s">
        <v>721</v>
      </c>
      <c r="O1509" t="s">
        <v>1158</v>
      </c>
      <c r="P1509" t="s">
        <v>36</v>
      </c>
      <c r="Q1509" t="s">
        <v>142</v>
      </c>
      <c r="R1509" t="s">
        <v>2402</v>
      </c>
      <c r="S1509" t="s">
        <v>182</v>
      </c>
      <c r="T1509" t="s">
        <v>308</v>
      </c>
      <c r="U1509" t="s">
        <v>362</v>
      </c>
      <c r="V1509" t="s">
        <v>82</v>
      </c>
    </row>
    <row r="1510" spans="1:22" x14ac:dyDescent="0.3">
      <c r="A1510" t="s">
        <v>4888</v>
      </c>
      <c r="B1510" t="s">
        <v>2547</v>
      </c>
      <c r="C1510" t="s">
        <v>2548</v>
      </c>
      <c r="D1510" t="s">
        <v>1078</v>
      </c>
      <c r="E1510" t="s">
        <v>417</v>
      </c>
      <c r="F1510" t="s">
        <v>134</v>
      </c>
      <c r="G1510" t="s">
        <v>67</v>
      </c>
      <c r="H1510" t="s">
        <v>229</v>
      </c>
      <c r="I1510" t="s">
        <v>69</v>
      </c>
      <c r="J1510" t="s">
        <v>30</v>
      </c>
      <c r="K1510" t="s">
        <v>293</v>
      </c>
      <c r="L1510" t="s">
        <v>1987</v>
      </c>
      <c r="M1510" t="s">
        <v>1979</v>
      </c>
      <c r="N1510" t="s">
        <v>179</v>
      </c>
      <c r="O1510" t="s">
        <v>1979</v>
      </c>
      <c r="P1510" t="s">
        <v>792</v>
      </c>
      <c r="Q1510" t="s">
        <v>136</v>
      </c>
      <c r="R1510" t="s">
        <v>4889</v>
      </c>
      <c r="S1510" t="s">
        <v>58</v>
      </c>
      <c r="T1510" t="s">
        <v>137</v>
      </c>
      <c r="U1510" t="s">
        <v>300</v>
      </c>
      <c r="V1510" t="s">
        <v>79</v>
      </c>
    </row>
    <row r="1511" spans="1:22" x14ac:dyDescent="0.3">
      <c r="A1511" t="s">
        <v>301</v>
      </c>
      <c r="B1511" t="s">
        <v>302</v>
      </c>
      <c r="C1511" t="s">
        <v>303</v>
      </c>
      <c r="D1511" t="s">
        <v>304</v>
      </c>
      <c r="E1511" t="s">
        <v>47</v>
      </c>
      <c r="F1511" t="s">
        <v>26</v>
      </c>
      <c r="G1511" t="s">
        <v>213</v>
      </c>
      <c r="H1511" t="s">
        <v>214</v>
      </c>
      <c r="I1511" t="s">
        <v>69</v>
      </c>
      <c r="J1511" t="s">
        <v>70</v>
      </c>
      <c r="K1511" t="s">
        <v>230</v>
      </c>
      <c r="L1511" t="s">
        <v>294</v>
      </c>
      <c r="M1511" t="s">
        <v>305</v>
      </c>
      <c r="N1511" t="s">
        <v>306</v>
      </c>
      <c r="O1511" t="s">
        <v>307</v>
      </c>
      <c r="P1511" t="s">
        <v>247</v>
      </c>
      <c r="Q1511" t="s">
        <v>308</v>
      </c>
      <c r="R1511" t="s">
        <v>309</v>
      </c>
      <c r="S1511" t="s">
        <v>79</v>
      </c>
      <c r="T1511" t="s">
        <v>310</v>
      </c>
      <c r="U1511" t="s">
        <v>300</v>
      </c>
      <c r="V1511" t="s">
        <v>79</v>
      </c>
    </row>
    <row r="1512" spans="1:22" x14ac:dyDescent="0.3">
      <c r="A1512" t="s">
        <v>859</v>
      </c>
      <c r="B1512" t="s">
        <v>860</v>
      </c>
      <c r="C1512" t="s">
        <v>861</v>
      </c>
      <c r="D1512" t="s">
        <v>862</v>
      </c>
      <c r="E1512" t="s">
        <v>634</v>
      </c>
      <c r="F1512" t="s">
        <v>228</v>
      </c>
      <c r="G1512" t="s">
        <v>67</v>
      </c>
      <c r="H1512" t="s">
        <v>214</v>
      </c>
      <c r="I1512" t="s">
        <v>29</v>
      </c>
      <c r="J1512" t="s">
        <v>30</v>
      </c>
      <c r="K1512" t="s">
        <v>89</v>
      </c>
      <c r="L1512" t="s">
        <v>487</v>
      </c>
      <c r="M1512" t="s">
        <v>863</v>
      </c>
      <c r="N1512" t="s">
        <v>735</v>
      </c>
      <c r="O1512" t="s">
        <v>864</v>
      </c>
      <c r="P1512" t="s">
        <v>865</v>
      </c>
      <c r="Q1512" t="s">
        <v>694</v>
      </c>
      <c r="R1512" t="s">
        <v>866</v>
      </c>
      <c r="S1512" t="s">
        <v>39</v>
      </c>
      <c r="T1512" t="s">
        <v>721</v>
      </c>
      <c r="U1512" t="s">
        <v>867</v>
      </c>
      <c r="V1512" t="s">
        <v>79</v>
      </c>
    </row>
    <row r="1513" spans="1:22" x14ac:dyDescent="0.3">
      <c r="A1513" t="s">
        <v>2395</v>
      </c>
      <c r="B1513" t="s">
        <v>130</v>
      </c>
      <c r="C1513" t="s">
        <v>131</v>
      </c>
      <c r="D1513" t="s">
        <v>2215</v>
      </c>
      <c r="E1513" t="s">
        <v>282</v>
      </c>
      <c r="F1513" t="s">
        <v>282</v>
      </c>
      <c r="G1513" t="s">
        <v>213</v>
      </c>
      <c r="H1513" t="s">
        <v>268</v>
      </c>
      <c r="I1513" t="s">
        <v>69</v>
      </c>
      <c r="J1513" t="s">
        <v>30</v>
      </c>
      <c r="K1513" t="s">
        <v>50</v>
      </c>
      <c r="L1513" t="s">
        <v>682</v>
      </c>
      <c r="M1513" t="s">
        <v>429</v>
      </c>
      <c r="N1513" t="s">
        <v>710</v>
      </c>
      <c r="O1513" t="s">
        <v>1412</v>
      </c>
      <c r="P1513" t="s">
        <v>1872</v>
      </c>
      <c r="Q1513" t="s">
        <v>1004</v>
      </c>
      <c r="R1513" t="s">
        <v>2396</v>
      </c>
      <c r="S1513" t="s">
        <v>39</v>
      </c>
      <c r="T1513" t="s">
        <v>441</v>
      </c>
      <c r="U1513" t="s">
        <v>568</v>
      </c>
      <c r="V1513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502"/>
  <sheetViews>
    <sheetView workbookViewId="0">
      <selection activeCell="D22" sqref="D22"/>
    </sheetView>
  </sheetViews>
  <sheetFormatPr defaultRowHeight="14.4" x14ac:dyDescent="0.3"/>
  <cols>
    <col min="1" max="1" width="14.21875" bestFit="1" customWidth="1"/>
    <col min="2" max="2" width="13" bestFit="1" customWidth="1"/>
    <col min="3" max="3" width="16.21875" bestFit="1" customWidth="1"/>
    <col min="4" max="4" width="18.109375" bestFit="1" customWidth="1"/>
    <col min="5" max="6" width="27.33203125" bestFit="1" customWidth="1"/>
    <col min="7" max="7" width="12.88671875" bestFit="1" customWidth="1"/>
    <col min="8" max="8" width="11.21875" bestFit="1" customWidth="1"/>
    <col min="9" max="9" width="15.33203125" bestFit="1" customWidth="1"/>
    <col min="10" max="10" width="17.77734375" bestFit="1" customWidth="1"/>
    <col min="11" max="11" width="14.33203125" bestFit="1" customWidth="1"/>
    <col min="12" max="12" width="25" bestFit="1" customWidth="1"/>
    <col min="13" max="13" width="17.6640625" bestFit="1" customWidth="1"/>
    <col min="14" max="15" width="12.77734375" bestFit="1" customWidth="1"/>
    <col min="16" max="16" width="16.109375" bestFit="1" customWidth="1"/>
    <col min="17" max="17" width="10.109375" bestFit="1" customWidth="1"/>
    <col min="18" max="18" width="20.88671875" bestFit="1" customWidth="1"/>
    <col min="19" max="19" width="16.21875" bestFit="1" customWidth="1"/>
    <col min="20" max="20" width="20.5546875" bestFit="1" customWidth="1"/>
    <col min="21" max="21" width="20" bestFit="1" customWidth="1"/>
    <col min="22" max="22" width="22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904</v>
      </c>
      <c r="B2" t="s">
        <v>302</v>
      </c>
      <c r="C2" t="s">
        <v>303</v>
      </c>
      <c r="D2" s="2">
        <v>45659</v>
      </c>
      <c r="E2" t="s">
        <v>161</v>
      </c>
      <c r="F2" t="s">
        <v>161</v>
      </c>
      <c r="G2" t="s">
        <v>103</v>
      </c>
      <c r="H2" t="s">
        <v>229</v>
      </c>
      <c r="I2" t="s">
        <v>69</v>
      </c>
      <c r="J2" t="s">
        <v>30</v>
      </c>
      <c r="K2">
        <v>10</v>
      </c>
      <c r="L2">
        <v>68</v>
      </c>
      <c r="M2">
        <v>71400</v>
      </c>
      <c r="N2">
        <v>0</v>
      </c>
      <c r="O2">
        <v>71400</v>
      </c>
      <c r="P2">
        <v>38500</v>
      </c>
      <c r="Q2">
        <v>32900</v>
      </c>
      <c r="R2">
        <v>46.08</v>
      </c>
      <c r="S2" t="s">
        <v>182</v>
      </c>
      <c r="T2">
        <v>11500</v>
      </c>
      <c r="U2">
        <v>4</v>
      </c>
      <c r="V2" t="s">
        <v>79</v>
      </c>
    </row>
    <row r="3" spans="1:22" x14ac:dyDescent="0.3">
      <c r="A3" t="s">
        <v>3530</v>
      </c>
      <c r="B3" t="s">
        <v>2219</v>
      </c>
      <c r="C3" t="s">
        <v>2220</v>
      </c>
      <c r="D3" s="2">
        <v>45660</v>
      </c>
      <c r="E3" t="s">
        <v>134</v>
      </c>
      <c r="F3" t="s">
        <v>134</v>
      </c>
      <c r="G3" t="s">
        <v>27</v>
      </c>
      <c r="H3" t="s">
        <v>268</v>
      </c>
      <c r="I3" t="s">
        <v>29</v>
      </c>
      <c r="J3" t="s">
        <v>30</v>
      </c>
      <c r="K3">
        <v>4</v>
      </c>
      <c r="L3">
        <v>41</v>
      </c>
      <c r="M3">
        <v>88400</v>
      </c>
      <c r="N3">
        <v>17700</v>
      </c>
      <c r="O3">
        <v>70700</v>
      </c>
      <c r="P3">
        <v>52300</v>
      </c>
      <c r="Q3">
        <v>18400</v>
      </c>
      <c r="R3">
        <v>26.03</v>
      </c>
      <c r="S3" t="s">
        <v>58</v>
      </c>
      <c r="T3">
        <v>11900</v>
      </c>
      <c r="U3">
        <v>4.4000000000000004</v>
      </c>
      <c r="V3" t="s">
        <v>114</v>
      </c>
    </row>
    <row r="4" spans="1:22" x14ac:dyDescent="0.3">
      <c r="A4" t="s">
        <v>443</v>
      </c>
      <c r="B4" t="s">
        <v>444</v>
      </c>
      <c r="C4" t="s">
        <v>445</v>
      </c>
      <c r="D4" s="2">
        <v>45661</v>
      </c>
      <c r="E4" t="s">
        <v>66</v>
      </c>
      <c r="F4" t="s">
        <v>66</v>
      </c>
      <c r="G4" t="s">
        <v>67</v>
      </c>
      <c r="H4" t="s">
        <v>68</v>
      </c>
      <c r="I4" t="s">
        <v>29</v>
      </c>
      <c r="J4" t="s">
        <v>70</v>
      </c>
      <c r="K4">
        <v>7</v>
      </c>
      <c r="L4">
        <v>52</v>
      </c>
      <c r="M4">
        <v>83900</v>
      </c>
      <c r="N4">
        <v>4200</v>
      </c>
      <c r="O4">
        <v>79700</v>
      </c>
      <c r="P4">
        <v>57000</v>
      </c>
      <c r="Q4">
        <v>22700</v>
      </c>
      <c r="R4">
        <v>28.48</v>
      </c>
      <c r="S4" t="s">
        <v>97</v>
      </c>
      <c r="T4">
        <v>10500</v>
      </c>
      <c r="U4">
        <v>3.6</v>
      </c>
      <c r="V4" t="s">
        <v>79</v>
      </c>
    </row>
    <row r="5" spans="1:22" x14ac:dyDescent="0.3">
      <c r="A5" t="s">
        <v>2425</v>
      </c>
      <c r="B5" t="s">
        <v>2426</v>
      </c>
      <c r="C5" t="s">
        <v>2427</v>
      </c>
      <c r="D5" s="2">
        <v>45662</v>
      </c>
      <c r="E5" t="s">
        <v>244</v>
      </c>
      <c r="F5" t="s">
        <v>244</v>
      </c>
      <c r="G5" t="s">
        <v>67</v>
      </c>
      <c r="H5" t="s">
        <v>68</v>
      </c>
      <c r="I5" t="s">
        <v>69</v>
      </c>
      <c r="J5" t="s">
        <v>30</v>
      </c>
      <c r="K5">
        <v>5</v>
      </c>
      <c r="M5">
        <v>141500</v>
      </c>
      <c r="N5">
        <v>0</v>
      </c>
      <c r="O5">
        <v>141500</v>
      </c>
      <c r="P5">
        <v>92100</v>
      </c>
      <c r="Q5">
        <v>49400</v>
      </c>
      <c r="R5">
        <v>34.909999999999997</v>
      </c>
      <c r="S5" t="s">
        <v>39</v>
      </c>
      <c r="T5">
        <v>5800</v>
      </c>
      <c r="U5">
        <v>4.5999999999999996</v>
      </c>
      <c r="V5" t="s">
        <v>79</v>
      </c>
    </row>
    <row r="6" spans="1:22" x14ac:dyDescent="0.3">
      <c r="A6" t="s">
        <v>2551</v>
      </c>
      <c r="B6" t="s">
        <v>2552</v>
      </c>
      <c r="C6" t="s">
        <v>2553</v>
      </c>
      <c r="D6" s="2">
        <v>45662</v>
      </c>
      <c r="E6" t="s">
        <v>228</v>
      </c>
      <c r="F6" t="s">
        <v>228</v>
      </c>
      <c r="G6" t="s">
        <v>580</v>
      </c>
      <c r="H6" t="s">
        <v>68</v>
      </c>
      <c r="I6" t="s">
        <v>69</v>
      </c>
      <c r="J6" t="s">
        <v>70</v>
      </c>
      <c r="K6">
        <v>10</v>
      </c>
      <c r="L6">
        <v>71</v>
      </c>
      <c r="M6">
        <v>61400</v>
      </c>
      <c r="N6">
        <v>3100</v>
      </c>
      <c r="O6">
        <v>58300</v>
      </c>
      <c r="P6">
        <v>47400</v>
      </c>
      <c r="Q6">
        <v>10900</v>
      </c>
      <c r="R6">
        <v>18.7</v>
      </c>
      <c r="S6" t="s">
        <v>97</v>
      </c>
      <c r="T6">
        <v>2500</v>
      </c>
      <c r="U6">
        <v>5</v>
      </c>
      <c r="V6" t="s">
        <v>58</v>
      </c>
    </row>
    <row r="7" spans="1:22" x14ac:dyDescent="0.3">
      <c r="A7" t="s">
        <v>4688</v>
      </c>
      <c r="B7" t="s">
        <v>130</v>
      </c>
      <c r="C7" t="s">
        <v>131</v>
      </c>
      <c r="D7" s="2">
        <v>45664</v>
      </c>
      <c r="E7" t="s">
        <v>161</v>
      </c>
      <c r="F7" t="s">
        <v>161</v>
      </c>
      <c r="G7" t="s">
        <v>580</v>
      </c>
      <c r="H7" t="s">
        <v>88</v>
      </c>
      <c r="I7" t="s">
        <v>69</v>
      </c>
      <c r="J7" t="s">
        <v>70</v>
      </c>
      <c r="K7">
        <v>9</v>
      </c>
      <c r="L7">
        <v>15</v>
      </c>
      <c r="M7">
        <v>75200</v>
      </c>
      <c r="N7">
        <v>11300</v>
      </c>
      <c r="O7">
        <v>63900</v>
      </c>
      <c r="P7">
        <v>45400</v>
      </c>
      <c r="Q7">
        <v>18500</v>
      </c>
      <c r="R7">
        <v>28.95</v>
      </c>
      <c r="S7" t="s">
        <v>39</v>
      </c>
      <c r="T7">
        <v>6400</v>
      </c>
      <c r="U7">
        <v>4.3</v>
      </c>
      <c r="V7" t="s">
        <v>42</v>
      </c>
    </row>
    <row r="8" spans="1:22" x14ac:dyDescent="0.3">
      <c r="A8" t="s">
        <v>2999</v>
      </c>
      <c r="B8" t="s">
        <v>809</v>
      </c>
      <c r="C8" t="s">
        <v>810</v>
      </c>
      <c r="D8" s="2">
        <v>45664</v>
      </c>
      <c r="E8" t="s">
        <v>228</v>
      </c>
      <c r="F8" t="s">
        <v>228</v>
      </c>
      <c r="G8" t="s">
        <v>118</v>
      </c>
      <c r="H8" t="s">
        <v>88</v>
      </c>
      <c r="I8" t="s">
        <v>29</v>
      </c>
      <c r="J8" t="s">
        <v>257</v>
      </c>
      <c r="K8">
        <v>6</v>
      </c>
      <c r="L8">
        <v>36</v>
      </c>
      <c r="M8">
        <v>34600</v>
      </c>
      <c r="N8">
        <v>3500</v>
      </c>
      <c r="O8">
        <v>31100</v>
      </c>
      <c r="P8">
        <v>15700</v>
      </c>
      <c r="Q8">
        <v>15400</v>
      </c>
      <c r="R8">
        <v>49.52</v>
      </c>
      <c r="S8" t="s">
        <v>97</v>
      </c>
      <c r="T8">
        <v>5100</v>
      </c>
      <c r="U8">
        <v>4.3</v>
      </c>
      <c r="V8" t="s">
        <v>82</v>
      </c>
    </row>
    <row r="9" spans="1:22" x14ac:dyDescent="0.3">
      <c r="A9" t="s">
        <v>3840</v>
      </c>
      <c r="B9" t="s">
        <v>210</v>
      </c>
      <c r="C9" t="s">
        <v>211</v>
      </c>
      <c r="D9" s="2">
        <v>45664</v>
      </c>
      <c r="E9" t="s">
        <v>161</v>
      </c>
      <c r="F9" t="s">
        <v>161</v>
      </c>
      <c r="G9" t="s">
        <v>118</v>
      </c>
      <c r="H9" t="s">
        <v>268</v>
      </c>
      <c r="I9" t="s">
        <v>69</v>
      </c>
      <c r="J9" t="s">
        <v>70</v>
      </c>
      <c r="K9">
        <v>5</v>
      </c>
      <c r="L9">
        <v>5</v>
      </c>
      <c r="M9">
        <v>33400</v>
      </c>
      <c r="N9">
        <v>6700</v>
      </c>
      <c r="O9">
        <v>26700</v>
      </c>
      <c r="P9">
        <v>26900</v>
      </c>
      <c r="Q9">
        <v>-200</v>
      </c>
      <c r="R9">
        <v>-0.75</v>
      </c>
      <c r="S9" t="s">
        <v>182</v>
      </c>
      <c r="T9">
        <v>3600</v>
      </c>
      <c r="U9">
        <v>3.5</v>
      </c>
      <c r="V9" t="s">
        <v>114</v>
      </c>
    </row>
    <row r="10" spans="1:22" x14ac:dyDescent="0.3">
      <c r="A10" t="s">
        <v>2631</v>
      </c>
      <c r="B10" t="s">
        <v>1349</v>
      </c>
      <c r="C10" t="s">
        <v>1350</v>
      </c>
      <c r="D10" s="2">
        <v>45664</v>
      </c>
      <c r="E10" t="s">
        <v>26</v>
      </c>
      <c r="F10" t="s">
        <v>26</v>
      </c>
      <c r="G10" t="s">
        <v>27</v>
      </c>
      <c r="H10" t="s">
        <v>229</v>
      </c>
      <c r="I10" t="s">
        <v>69</v>
      </c>
      <c r="J10" t="s">
        <v>70</v>
      </c>
      <c r="K10">
        <v>3</v>
      </c>
      <c r="L10">
        <v>73</v>
      </c>
      <c r="M10">
        <v>60000</v>
      </c>
      <c r="N10">
        <v>3000</v>
      </c>
      <c r="O10">
        <v>57000</v>
      </c>
      <c r="P10">
        <v>43400</v>
      </c>
      <c r="Q10">
        <v>13600</v>
      </c>
      <c r="R10">
        <v>23.86</v>
      </c>
      <c r="S10" t="s">
        <v>182</v>
      </c>
      <c r="T10">
        <v>3400</v>
      </c>
      <c r="U10">
        <v>5</v>
      </c>
      <c r="V10" t="s">
        <v>42</v>
      </c>
    </row>
    <row r="11" spans="1:22" x14ac:dyDescent="0.3">
      <c r="A11" t="s">
        <v>61</v>
      </c>
      <c r="B11" t="s">
        <v>62</v>
      </c>
      <c r="C11" t="s">
        <v>63</v>
      </c>
      <c r="D11" s="2">
        <v>45664</v>
      </c>
      <c r="E11" t="s">
        <v>66</v>
      </c>
      <c r="F11" t="s">
        <v>66</v>
      </c>
      <c r="G11" t="s">
        <v>67</v>
      </c>
      <c r="H11" t="s">
        <v>68</v>
      </c>
      <c r="I11" t="s">
        <v>69</v>
      </c>
      <c r="J11" t="s">
        <v>70</v>
      </c>
      <c r="K11">
        <v>4</v>
      </c>
      <c r="L11">
        <v>27</v>
      </c>
      <c r="M11">
        <v>33200</v>
      </c>
      <c r="N11">
        <v>3300</v>
      </c>
      <c r="O11">
        <v>29900</v>
      </c>
      <c r="P11">
        <v>16400</v>
      </c>
      <c r="Q11">
        <v>13500</v>
      </c>
      <c r="R11">
        <v>45.15</v>
      </c>
      <c r="S11" t="s">
        <v>79</v>
      </c>
      <c r="T11">
        <v>3800</v>
      </c>
      <c r="U11">
        <v>2.5</v>
      </c>
      <c r="V11" t="s">
        <v>82</v>
      </c>
    </row>
    <row r="12" spans="1:22" x14ac:dyDescent="0.3">
      <c r="A12" t="s">
        <v>4090</v>
      </c>
      <c r="B12" t="s">
        <v>4091</v>
      </c>
      <c r="C12" t="s">
        <v>4092</v>
      </c>
      <c r="D12" s="2">
        <v>45665</v>
      </c>
      <c r="E12" t="s">
        <v>66</v>
      </c>
      <c r="F12" t="s">
        <v>66</v>
      </c>
      <c r="G12" t="s">
        <v>103</v>
      </c>
      <c r="H12" t="s">
        <v>229</v>
      </c>
      <c r="I12" t="s">
        <v>29</v>
      </c>
      <c r="J12" t="s">
        <v>30</v>
      </c>
      <c r="K12">
        <v>4</v>
      </c>
      <c r="L12">
        <v>32</v>
      </c>
      <c r="M12">
        <v>83300</v>
      </c>
      <c r="N12">
        <v>8300</v>
      </c>
      <c r="O12">
        <v>75000</v>
      </c>
      <c r="P12">
        <v>35200</v>
      </c>
      <c r="Q12">
        <v>39800</v>
      </c>
      <c r="R12">
        <v>53.07</v>
      </c>
      <c r="S12" t="s">
        <v>182</v>
      </c>
      <c r="T12">
        <v>10500</v>
      </c>
      <c r="U12">
        <v>2.2999999999999998</v>
      </c>
      <c r="V12" t="s">
        <v>79</v>
      </c>
    </row>
    <row r="13" spans="1:22" x14ac:dyDescent="0.3">
      <c r="A13" t="s">
        <v>1225</v>
      </c>
      <c r="B13" t="s">
        <v>1226</v>
      </c>
      <c r="C13" t="s">
        <v>1227</v>
      </c>
      <c r="D13" s="2">
        <v>45665</v>
      </c>
      <c r="E13" t="s">
        <v>188</v>
      </c>
      <c r="F13" t="s">
        <v>188</v>
      </c>
      <c r="G13" t="s">
        <v>213</v>
      </c>
      <c r="H13" t="s">
        <v>28</v>
      </c>
      <c r="I13" t="s">
        <v>29</v>
      </c>
      <c r="J13" t="s">
        <v>70</v>
      </c>
      <c r="K13">
        <v>9</v>
      </c>
      <c r="L13">
        <v>43</v>
      </c>
      <c r="M13">
        <v>38600</v>
      </c>
      <c r="N13">
        <v>0</v>
      </c>
      <c r="O13">
        <v>38600</v>
      </c>
      <c r="P13">
        <v>30800</v>
      </c>
      <c r="Q13">
        <v>7800</v>
      </c>
      <c r="R13">
        <v>20.21</v>
      </c>
      <c r="S13" t="s">
        <v>182</v>
      </c>
      <c r="T13">
        <v>3000</v>
      </c>
      <c r="U13">
        <v>3.4</v>
      </c>
      <c r="V13" t="s">
        <v>114</v>
      </c>
    </row>
    <row r="14" spans="1:22" x14ac:dyDescent="0.3">
      <c r="A14" t="s">
        <v>5042</v>
      </c>
      <c r="B14" t="s">
        <v>4424</v>
      </c>
      <c r="C14" t="s">
        <v>4425</v>
      </c>
      <c r="D14" s="2">
        <v>45665</v>
      </c>
      <c r="E14" t="s">
        <v>26</v>
      </c>
      <c r="F14" t="s">
        <v>26</v>
      </c>
      <c r="G14" t="s">
        <v>103</v>
      </c>
      <c r="H14" t="s">
        <v>214</v>
      </c>
      <c r="I14" t="s">
        <v>29</v>
      </c>
      <c r="J14" t="s">
        <v>162</v>
      </c>
      <c r="K14">
        <v>7</v>
      </c>
      <c r="L14">
        <v>40</v>
      </c>
      <c r="M14">
        <v>65400</v>
      </c>
      <c r="N14">
        <v>9800</v>
      </c>
      <c r="O14">
        <v>55600</v>
      </c>
      <c r="P14">
        <v>41600</v>
      </c>
      <c r="Q14">
        <v>14000</v>
      </c>
      <c r="R14">
        <v>25.18</v>
      </c>
      <c r="S14" t="s">
        <v>58</v>
      </c>
      <c r="T14">
        <v>3900</v>
      </c>
      <c r="U14">
        <v>2.6</v>
      </c>
      <c r="V14" t="s">
        <v>42</v>
      </c>
    </row>
    <row r="15" spans="1:22" x14ac:dyDescent="0.3">
      <c r="A15" t="s">
        <v>4927</v>
      </c>
      <c r="B15" t="s">
        <v>4222</v>
      </c>
      <c r="C15" t="s">
        <v>4223</v>
      </c>
      <c r="D15" s="2">
        <v>45667</v>
      </c>
      <c r="E15" t="s">
        <v>161</v>
      </c>
      <c r="F15" t="s">
        <v>161</v>
      </c>
      <c r="G15" t="s">
        <v>67</v>
      </c>
      <c r="H15" t="s">
        <v>229</v>
      </c>
      <c r="I15" t="s">
        <v>69</v>
      </c>
      <c r="J15" t="s">
        <v>30</v>
      </c>
      <c r="K15">
        <v>6</v>
      </c>
      <c r="L15">
        <v>13</v>
      </c>
      <c r="M15">
        <v>45100</v>
      </c>
      <c r="N15">
        <v>4500</v>
      </c>
      <c r="O15">
        <v>40600</v>
      </c>
      <c r="P15">
        <v>35300</v>
      </c>
      <c r="Q15">
        <v>5300</v>
      </c>
      <c r="R15">
        <v>13.05</v>
      </c>
      <c r="S15" t="s">
        <v>182</v>
      </c>
      <c r="T15">
        <v>4000</v>
      </c>
      <c r="U15">
        <v>4.4000000000000004</v>
      </c>
      <c r="V15" t="s">
        <v>82</v>
      </c>
    </row>
    <row r="16" spans="1:22" x14ac:dyDescent="0.3">
      <c r="A16" t="s">
        <v>453</v>
      </c>
      <c r="B16" t="s">
        <v>454</v>
      </c>
      <c r="C16" t="s">
        <v>455</v>
      </c>
      <c r="D16" s="2">
        <v>45667</v>
      </c>
      <c r="E16" t="s">
        <v>161</v>
      </c>
      <c r="F16" t="s">
        <v>161</v>
      </c>
      <c r="G16" t="s">
        <v>213</v>
      </c>
      <c r="H16" t="s">
        <v>88</v>
      </c>
      <c r="I16" t="s">
        <v>69</v>
      </c>
      <c r="J16" t="s">
        <v>30</v>
      </c>
      <c r="K16">
        <v>3</v>
      </c>
      <c r="L16">
        <v>22</v>
      </c>
      <c r="M16">
        <v>48100</v>
      </c>
      <c r="N16">
        <v>9600</v>
      </c>
      <c r="O16">
        <v>38500</v>
      </c>
      <c r="P16">
        <v>27300</v>
      </c>
      <c r="Q16">
        <v>11200</v>
      </c>
      <c r="R16">
        <v>29.09</v>
      </c>
      <c r="S16" t="s">
        <v>126</v>
      </c>
      <c r="T16">
        <v>2900</v>
      </c>
      <c r="U16">
        <v>4</v>
      </c>
      <c r="V16" t="s">
        <v>58</v>
      </c>
    </row>
    <row r="17" spans="1:22" x14ac:dyDescent="0.3">
      <c r="A17" t="s">
        <v>1659</v>
      </c>
      <c r="B17" t="s">
        <v>494</v>
      </c>
      <c r="C17" t="s">
        <v>495</v>
      </c>
      <c r="D17" s="2">
        <v>45667</v>
      </c>
      <c r="E17" t="s">
        <v>66</v>
      </c>
      <c r="F17" t="s">
        <v>66</v>
      </c>
      <c r="G17" t="s">
        <v>118</v>
      </c>
      <c r="H17" t="s">
        <v>268</v>
      </c>
      <c r="I17" t="s">
        <v>29</v>
      </c>
      <c r="J17" t="s">
        <v>30</v>
      </c>
      <c r="K17">
        <v>6</v>
      </c>
      <c r="L17">
        <v>33</v>
      </c>
      <c r="M17">
        <v>15000</v>
      </c>
      <c r="N17">
        <v>0</v>
      </c>
      <c r="O17">
        <v>15000</v>
      </c>
      <c r="P17">
        <v>11300</v>
      </c>
      <c r="Q17">
        <v>3700</v>
      </c>
      <c r="R17">
        <v>24.67</v>
      </c>
      <c r="S17" t="s">
        <v>58</v>
      </c>
      <c r="T17">
        <v>1500</v>
      </c>
      <c r="U17">
        <v>4.3</v>
      </c>
      <c r="V17" t="s">
        <v>58</v>
      </c>
    </row>
    <row r="18" spans="1:22" x14ac:dyDescent="0.3">
      <c r="A18" t="s">
        <v>3572</v>
      </c>
      <c r="B18" t="s">
        <v>3509</v>
      </c>
      <c r="C18" t="s">
        <v>3510</v>
      </c>
      <c r="D18" s="2">
        <v>45668</v>
      </c>
      <c r="E18" t="s">
        <v>66</v>
      </c>
      <c r="F18" t="s">
        <v>66</v>
      </c>
      <c r="G18" t="s">
        <v>103</v>
      </c>
      <c r="H18" t="s">
        <v>49</v>
      </c>
      <c r="I18" t="s">
        <v>69</v>
      </c>
      <c r="J18" t="s">
        <v>70</v>
      </c>
      <c r="K18">
        <v>3</v>
      </c>
      <c r="L18">
        <v>10</v>
      </c>
      <c r="M18">
        <v>23500</v>
      </c>
      <c r="N18">
        <v>4700</v>
      </c>
      <c r="O18">
        <v>18800</v>
      </c>
      <c r="P18">
        <v>10500</v>
      </c>
      <c r="Q18">
        <v>8300</v>
      </c>
      <c r="R18">
        <v>44.15</v>
      </c>
      <c r="S18" t="s">
        <v>79</v>
      </c>
      <c r="T18">
        <v>1000</v>
      </c>
      <c r="U18">
        <v>3.6</v>
      </c>
      <c r="V18" t="s">
        <v>82</v>
      </c>
    </row>
    <row r="19" spans="1:22" x14ac:dyDescent="0.3">
      <c r="A19" t="s">
        <v>3317</v>
      </c>
      <c r="B19" t="s">
        <v>3048</v>
      </c>
      <c r="C19" t="s">
        <v>3049</v>
      </c>
      <c r="D19" s="2">
        <v>45668</v>
      </c>
      <c r="E19" t="s">
        <v>188</v>
      </c>
      <c r="F19" t="s">
        <v>188</v>
      </c>
      <c r="G19" t="s">
        <v>48</v>
      </c>
      <c r="H19" t="s">
        <v>5470</v>
      </c>
      <c r="I19" t="s">
        <v>69</v>
      </c>
      <c r="J19" t="s">
        <v>70</v>
      </c>
      <c r="K19">
        <v>2</v>
      </c>
      <c r="L19">
        <v>15</v>
      </c>
      <c r="M19">
        <v>36400</v>
      </c>
      <c r="N19">
        <v>1800</v>
      </c>
      <c r="O19">
        <v>34600</v>
      </c>
      <c r="P19">
        <v>25500</v>
      </c>
      <c r="Q19">
        <v>9100</v>
      </c>
      <c r="R19">
        <v>26.3</v>
      </c>
      <c r="S19" t="s">
        <v>182</v>
      </c>
      <c r="T19">
        <v>4900</v>
      </c>
      <c r="U19">
        <v>3.9</v>
      </c>
      <c r="V19" t="s">
        <v>42</v>
      </c>
    </row>
    <row r="20" spans="1:22" x14ac:dyDescent="0.3">
      <c r="A20" t="s">
        <v>5377</v>
      </c>
      <c r="B20" t="s">
        <v>1245</v>
      </c>
      <c r="C20" t="s">
        <v>1246</v>
      </c>
      <c r="D20" s="2">
        <v>45668</v>
      </c>
      <c r="E20" t="s">
        <v>161</v>
      </c>
      <c r="F20" t="s">
        <v>161</v>
      </c>
      <c r="G20" t="s">
        <v>67</v>
      </c>
      <c r="H20" t="s">
        <v>49</v>
      </c>
      <c r="I20" t="s">
        <v>69</v>
      </c>
      <c r="J20" t="s">
        <v>70</v>
      </c>
      <c r="K20">
        <v>8</v>
      </c>
      <c r="L20">
        <v>42</v>
      </c>
      <c r="M20">
        <v>104900</v>
      </c>
      <c r="N20">
        <v>5200</v>
      </c>
      <c r="O20">
        <v>99700</v>
      </c>
      <c r="P20">
        <v>49500</v>
      </c>
      <c r="Q20">
        <v>50200</v>
      </c>
      <c r="R20">
        <v>50.35</v>
      </c>
      <c r="S20" t="s">
        <v>58</v>
      </c>
      <c r="T20">
        <v>13600</v>
      </c>
      <c r="U20">
        <v>4.4000000000000004</v>
      </c>
      <c r="V20" t="s">
        <v>82</v>
      </c>
    </row>
    <row r="21" spans="1:22" x14ac:dyDescent="0.3">
      <c r="A21" t="s">
        <v>4403</v>
      </c>
      <c r="B21" t="s">
        <v>1136</v>
      </c>
      <c r="C21" t="s">
        <v>1137</v>
      </c>
      <c r="D21" s="2">
        <v>45670</v>
      </c>
      <c r="E21" t="s">
        <v>228</v>
      </c>
      <c r="F21" t="s">
        <v>228</v>
      </c>
      <c r="G21" t="s">
        <v>27</v>
      </c>
      <c r="H21" t="s">
        <v>88</v>
      </c>
      <c r="I21" t="s">
        <v>69</v>
      </c>
      <c r="J21" t="s">
        <v>30</v>
      </c>
      <c r="K21">
        <v>3</v>
      </c>
      <c r="L21">
        <v>54</v>
      </c>
      <c r="M21">
        <v>38000</v>
      </c>
      <c r="N21">
        <v>0</v>
      </c>
      <c r="O21">
        <v>38000</v>
      </c>
      <c r="P21">
        <v>22200</v>
      </c>
      <c r="Q21">
        <v>15800</v>
      </c>
      <c r="R21">
        <v>41.58</v>
      </c>
      <c r="S21" t="s">
        <v>97</v>
      </c>
      <c r="T21">
        <v>2800</v>
      </c>
      <c r="U21">
        <v>3.2</v>
      </c>
      <c r="V21" t="s">
        <v>42</v>
      </c>
    </row>
    <row r="22" spans="1:22" x14ac:dyDescent="0.3">
      <c r="A22" t="s">
        <v>5036</v>
      </c>
      <c r="B22" t="s">
        <v>3517</v>
      </c>
      <c r="C22" t="s">
        <v>3518</v>
      </c>
      <c r="D22" s="2">
        <v>45670</v>
      </c>
      <c r="E22" t="s">
        <v>161</v>
      </c>
      <c r="F22" t="s">
        <v>161</v>
      </c>
      <c r="G22" t="s">
        <v>48</v>
      </c>
      <c r="H22" t="s">
        <v>214</v>
      </c>
      <c r="I22" t="s">
        <v>69</v>
      </c>
      <c r="J22" t="s">
        <v>30</v>
      </c>
      <c r="K22">
        <v>4</v>
      </c>
      <c r="L22">
        <v>20</v>
      </c>
      <c r="M22">
        <v>34700</v>
      </c>
      <c r="N22">
        <v>3500</v>
      </c>
      <c r="O22">
        <v>31200</v>
      </c>
      <c r="P22">
        <v>21400</v>
      </c>
      <c r="Q22">
        <v>9800</v>
      </c>
      <c r="R22">
        <v>31.41</v>
      </c>
      <c r="S22" t="s">
        <v>39</v>
      </c>
      <c r="T22">
        <v>4300</v>
      </c>
      <c r="U22">
        <v>4.5</v>
      </c>
      <c r="V22" t="s">
        <v>79</v>
      </c>
    </row>
    <row r="23" spans="1:22" x14ac:dyDescent="0.3">
      <c r="A23" t="s">
        <v>2198</v>
      </c>
      <c r="B23" t="s">
        <v>1487</v>
      </c>
      <c r="C23" t="s">
        <v>1488</v>
      </c>
      <c r="D23" s="2">
        <v>45670</v>
      </c>
      <c r="E23" t="s">
        <v>228</v>
      </c>
      <c r="F23" t="s">
        <v>228</v>
      </c>
      <c r="G23" t="s">
        <v>213</v>
      </c>
      <c r="H23" t="s">
        <v>49</v>
      </c>
      <c r="I23" t="s">
        <v>29</v>
      </c>
      <c r="J23" t="s">
        <v>70</v>
      </c>
      <c r="K23">
        <v>2</v>
      </c>
      <c r="L23">
        <v>47</v>
      </c>
      <c r="M23">
        <v>27900</v>
      </c>
      <c r="N23">
        <v>5600</v>
      </c>
      <c r="O23">
        <v>22300</v>
      </c>
      <c r="P23">
        <v>20900</v>
      </c>
      <c r="Q23">
        <v>1400</v>
      </c>
      <c r="R23">
        <v>6.28</v>
      </c>
      <c r="S23" t="s">
        <v>58</v>
      </c>
      <c r="T23">
        <v>3100</v>
      </c>
      <c r="U23">
        <v>4.7</v>
      </c>
      <c r="V23" t="s">
        <v>82</v>
      </c>
    </row>
    <row r="24" spans="1:22" x14ac:dyDescent="0.3">
      <c r="A24" t="s">
        <v>817</v>
      </c>
      <c r="B24" t="s">
        <v>818</v>
      </c>
      <c r="C24" t="s">
        <v>819</v>
      </c>
      <c r="D24" s="2">
        <v>45670</v>
      </c>
      <c r="E24" t="s">
        <v>282</v>
      </c>
      <c r="F24" t="s">
        <v>282</v>
      </c>
      <c r="G24" t="s">
        <v>118</v>
      </c>
      <c r="H24" t="s">
        <v>68</v>
      </c>
      <c r="I24" t="s">
        <v>29</v>
      </c>
      <c r="J24" t="s">
        <v>30</v>
      </c>
      <c r="K24">
        <v>6</v>
      </c>
      <c r="L24">
        <v>36</v>
      </c>
      <c r="M24">
        <v>75900</v>
      </c>
      <c r="N24">
        <v>0</v>
      </c>
      <c r="O24">
        <v>75900</v>
      </c>
      <c r="P24">
        <v>50700</v>
      </c>
      <c r="Q24">
        <v>25200</v>
      </c>
      <c r="R24">
        <v>33.200000000000003</v>
      </c>
      <c r="S24" t="s">
        <v>39</v>
      </c>
      <c r="T24">
        <v>5000</v>
      </c>
      <c r="U24">
        <v>2.7</v>
      </c>
      <c r="V24" t="s">
        <v>82</v>
      </c>
    </row>
    <row r="25" spans="1:22" x14ac:dyDescent="0.3">
      <c r="A25" t="s">
        <v>4648</v>
      </c>
      <c r="B25" t="s">
        <v>2021</v>
      </c>
      <c r="C25" t="s">
        <v>2022</v>
      </c>
      <c r="D25" s="2">
        <v>45671</v>
      </c>
      <c r="E25" t="s">
        <v>282</v>
      </c>
      <c r="F25" t="s">
        <v>282</v>
      </c>
      <c r="G25" t="s">
        <v>213</v>
      </c>
      <c r="H25" t="s">
        <v>268</v>
      </c>
      <c r="I25" t="s">
        <v>29</v>
      </c>
      <c r="J25" t="s">
        <v>30</v>
      </c>
      <c r="K25">
        <v>9</v>
      </c>
      <c r="L25">
        <v>48</v>
      </c>
      <c r="M25">
        <v>37000</v>
      </c>
      <c r="N25">
        <v>3700</v>
      </c>
      <c r="O25">
        <v>33300</v>
      </c>
      <c r="P25">
        <v>16100</v>
      </c>
      <c r="Q25">
        <v>17200</v>
      </c>
      <c r="R25">
        <v>51.65</v>
      </c>
      <c r="S25" t="s">
        <v>39</v>
      </c>
      <c r="T25">
        <v>2500</v>
      </c>
      <c r="U25">
        <v>4</v>
      </c>
      <c r="V25" t="s">
        <v>114</v>
      </c>
    </row>
    <row r="26" spans="1:22" x14ac:dyDescent="0.3">
      <c r="A26" t="s">
        <v>4622</v>
      </c>
      <c r="B26" t="s">
        <v>2645</v>
      </c>
      <c r="C26" t="s">
        <v>2646</v>
      </c>
      <c r="D26" s="2">
        <v>45671</v>
      </c>
      <c r="E26" t="s">
        <v>244</v>
      </c>
      <c r="F26" t="s">
        <v>244</v>
      </c>
      <c r="G26" t="s">
        <v>103</v>
      </c>
      <c r="H26" t="s">
        <v>214</v>
      </c>
      <c r="I26" t="s">
        <v>29</v>
      </c>
      <c r="J26" t="s">
        <v>30</v>
      </c>
      <c r="K26">
        <v>5</v>
      </c>
      <c r="L26">
        <v>38</v>
      </c>
      <c r="M26">
        <v>38300</v>
      </c>
      <c r="N26">
        <v>5700</v>
      </c>
      <c r="O26">
        <v>32600</v>
      </c>
      <c r="P26">
        <v>31000</v>
      </c>
      <c r="Q26">
        <v>1600</v>
      </c>
      <c r="R26">
        <v>4.91</v>
      </c>
      <c r="S26" t="s">
        <v>39</v>
      </c>
      <c r="T26">
        <v>1900</v>
      </c>
      <c r="U26">
        <v>4.5</v>
      </c>
      <c r="V26" t="s">
        <v>82</v>
      </c>
    </row>
    <row r="27" spans="1:22" x14ac:dyDescent="0.3">
      <c r="A27" t="s">
        <v>5391</v>
      </c>
      <c r="B27" t="s">
        <v>2410</v>
      </c>
      <c r="C27" t="s">
        <v>2411</v>
      </c>
      <c r="D27" s="2">
        <v>45672</v>
      </c>
      <c r="E27" t="s">
        <v>244</v>
      </c>
      <c r="F27" t="s">
        <v>244</v>
      </c>
      <c r="G27" t="s">
        <v>213</v>
      </c>
      <c r="H27" t="s">
        <v>229</v>
      </c>
      <c r="I27" t="s">
        <v>69</v>
      </c>
      <c r="J27" t="s">
        <v>30</v>
      </c>
      <c r="K27">
        <v>4</v>
      </c>
      <c r="L27">
        <v>33</v>
      </c>
      <c r="M27">
        <v>15000</v>
      </c>
      <c r="N27">
        <v>3000</v>
      </c>
      <c r="O27">
        <v>12000</v>
      </c>
      <c r="P27">
        <v>10600</v>
      </c>
      <c r="Q27">
        <v>1400</v>
      </c>
      <c r="R27">
        <v>11.67</v>
      </c>
      <c r="S27" t="s">
        <v>58</v>
      </c>
      <c r="T27">
        <v>1300</v>
      </c>
      <c r="V27" t="s">
        <v>114</v>
      </c>
    </row>
    <row r="28" spans="1:22" x14ac:dyDescent="0.3">
      <c r="A28" t="s">
        <v>808</v>
      </c>
      <c r="B28" t="s">
        <v>809</v>
      </c>
      <c r="C28" t="s">
        <v>810</v>
      </c>
      <c r="D28" s="2">
        <v>45672</v>
      </c>
      <c r="E28" t="s">
        <v>228</v>
      </c>
      <c r="F28" t="s">
        <v>228</v>
      </c>
      <c r="G28" t="s">
        <v>147</v>
      </c>
      <c r="H28" t="s">
        <v>268</v>
      </c>
      <c r="I28" t="s">
        <v>29</v>
      </c>
      <c r="J28" t="s">
        <v>30</v>
      </c>
      <c r="K28">
        <v>10</v>
      </c>
      <c r="L28">
        <v>20</v>
      </c>
      <c r="M28">
        <v>97800</v>
      </c>
      <c r="N28">
        <v>0</v>
      </c>
      <c r="O28">
        <v>97800</v>
      </c>
      <c r="P28">
        <v>76900</v>
      </c>
      <c r="Q28">
        <v>20900</v>
      </c>
      <c r="R28">
        <v>21.37</v>
      </c>
      <c r="S28" t="s">
        <v>97</v>
      </c>
      <c r="T28">
        <v>16900</v>
      </c>
      <c r="U28">
        <v>3.6</v>
      </c>
      <c r="V28" t="s">
        <v>114</v>
      </c>
    </row>
    <row r="29" spans="1:22" x14ac:dyDescent="0.3">
      <c r="A29" t="s">
        <v>4319</v>
      </c>
      <c r="B29" t="s">
        <v>1830</v>
      </c>
      <c r="C29" t="s">
        <v>1831</v>
      </c>
      <c r="D29" s="2">
        <v>45672</v>
      </c>
      <c r="E29" t="s">
        <v>26</v>
      </c>
      <c r="F29" t="s">
        <v>26</v>
      </c>
      <c r="G29" t="s">
        <v>48</v>
      </c>
      <c r="H29" t="s">
        <v>229</v>
      </c>
      <c r="I29" t="s">
        <v>69</v>
      </c>
      <c r="J29" t="s">
        <v>162</v>
      </c>
      <c r="K29">
        <v>5</v>
      </c>
      <c r="L29">
        <v>52</v>
      </c>
      <c r="M29">
        <v>63500</v>
      </c>
      <c r="N29">
        <v>6400</v>
      </c>
      <c r="O29">
        <v>57100</v>
      </c>
      <c r="P29">
        <v>33500</v>
      </c>
      <c r="Q29">
        <v>23600</v>
      </c>
      <c r="R29">
        <v>41.33</v>
      </c>
      <c r="S29" t="s">
        <v>79</v>
      </c>
      <c r="T29">
        <v>6000</v>
      </c>
      <c r="U29">
        <v>3.3</v>
      </c>
      <c r="V29" t="s">
        <v>58</v>
      </c>
    </row>
    <row r="30" spans="1:22" x14ac:dyDescent="0.3">
      <c r="A30" t="s">
        <v>4767</v>
      </c>
      <c r="B30" t="s">
        <v>2246</v>
      </c>
      <c r="C30" t="s">
        <v>2247</v>
      </c>
      <c r="D30" s="2">
        <v>45673</v>
      </c>
      <c r="E30" t="s">
        <v>244</v>
      </c>
      <c r="F30" t="s">
        <v>244</v>
      </c>
      <c r="G30" t="s">
        <v>147</v>
      </c>
      <c r="H30" t="s">
        <v>68</v>
      </c>
      <c r="I30" t="s">
        <v>69</v>
      </c>
      <c r="J30" t="s">
        <v>70</v>
      </c>
      <c r="K30">
        <v>5</v>
      </c>
      <c r="L30">
        <v>19</v>
      </c>
      <c r="M30">
        <v>100000</v>
      </c>
      <c r="N30">
        <v>0</v>
      </c>
      <c r="O30">
        <v>100000</v>
      </c>
      <c r="P30">
        <v>47800</v>
      </c>
      <c r="Q30">
        <v>52200</v>
      </c>
      <c r="R30">
        <v>52.2</v>
      </c>
      <c r="S30" t="s">
        <v>58</v>
      </c>
      <c r="T30">
        <v>16600</v>
      </c>
      <c r="U30">
        <v>4.0999999999999996</v>
      </c>
      <c r="V30" t="s">
        <v>114</v>
      </c>
    </row>
    <row r="31" spans="1:22" x14ac:dyDescent="0.3">
      <c r="A31" t="s">
        <v>4907</v>
      </c>
      <c r="B31" t="s">
        <v>3685</v>
      </c>
      <c r="C31" t="s">
        <v>3686</v>
      </c>
      <c r="D31" s="2">
        <v>45673</v>
      </c>
      <c r="E31" t="s">
        <v>161</v>
      </c>
      <c r="F31" t="s">
        <v>161</v>
      </c>
      <c r="G31" t="s">
        <v>27</v>
      </c>
      <c r="H31" t="s">
        <v>28</v>
      </c>
      <c r="I31" t="s">
        <v>29</v>
      </c>
      <c r="J31" t="s">
        <v>30</v>
      </c>
      <c r="K31">
        <v>10</v>
      </c>
      <c r="L31">
        <v>55</v>
      </c>
      <c r="M31">
        <v>17000</v>
      </c>
      <c r="N31">
        <v>800</v>
      </c>
      <c r="O31">
        <v>16200</v>
      </c>
      <c r="P31">
        <v>10200</v>
      </c>
      <c r="Q31">
        <v>6000</v>
      </c>
      <c r="R31">
        <v>37.04</v>
      </c>
      <c r="S31" t="s">
        <v>79</v>
      </c>
      <c r="T31">
        <v>1600</v>
      </c>
      <c r="U31">
        <v>3.8</v>
      </c>
      <c r="V31" t="s">
        <v>58</v>
      </c>
    </row>
    <row r="32" spans="1:22" x14ac:dyDescent="0.3">
      <c r="A32" t="s">
        <v>2720</v>
      </c>
      <c r="B32" t="s">
        <v>520</v>
      </c>
      <c r="C32" t="s">
        <v>521</v>
      </c>
      <c r="D32" s="2">
        <v>45674</v>
      </c>
      <c r="E32" t="s">
        <v>228</v>
      </c>
      <c r="F32" t="s">
        <v>228</v>
      </c>
      <c r="G32" t="s">
        <v>213</v>
      </c>
      <c r="H32" t="s">
        <v>5470</v>
      </c>
      <c r="I32" t="s">
        <v>29</v>
      </c>
      <c r="J32" t="s">
        <v>30</v>
      </c>
      <c r="K32">
        <v>5</v>
      </c>
      <c r="L32">
        <v>30</v>
      </c>
      <c r="M32">
        <v>40500</v>
      </c>
      <c r="N32">
        <v>4000</v>
      </c>
      <c r="O32">
        <v>36500</v>
      </c>
      <c r="P32">
        <v>23100</v>
      </c>
      <c r="Q32">
        <v>13400</v>
      </c>
      <c r="R32">
        <v>36.71</v>
      </c>
      <c r="S32" t="s">
        <v>79</v>
      </c>
      <c r="T32">
        <v>6500</v>
      </c>
      <c r="U32">
        <v>4.5999999999999996</v>
      </c>
      <c r="V32" t="s">
        <v>79</v>
      </c>
    </row>
    <row r="33" spans="1:22" x14ac:dyDescent="0.3">
      <c r="A33" t="s">
        <v>3799</v>
      </c>
      <c r="B33" t="s">
        <v>1427</v>
      </c>
      <c r="C33" t="s">
        <v>1428</v>
      </c>
      <c r="D33" s="2">
        <v>45674</v>
      </c>
      <c r="E33" t="s">
        <v>26</v>
      </c>
      <c r="F33" t="s">
        <v>26</v>
      </c>
      <c r="G33" t="s">
        <v>580</v>
      </c>
      <c r="H33" t="s">
        <v>68</v>
      </c>
      <c r="I33" t="s">
        <v>69</v>
      </c>
      <c r="J33" t="s">
        <v>162</v>
      </c>
      <c r="K33">
        <v>5</v>
      </c>
      <c r="L33">
        <v>46</v>
      </c>
      <c r="M33">
        <v>49400</v>
      </c>
      <c r="N33">
        <v>9900</v>
      </c>
      <c r="O33">
        <v>39500</v>
      </c>
      <c r="P33">
        <v>32100</v>
      </c>
      <c r="Q33">
        <v>7400</v>
      </c>
      <c r="R33">
        <v>18.73</v>
      </c>
      <c r="S33" t="s">
        <v>97</v>
      </c>
      <c r="T33">
        <v>5800</v>
      </c>
      <c r="U33">
        <v>4.7</v>
      </c>
      <c r="V33" t="s">
        <v>114</v>
      </c>
    </row>
    <row r="34" spans="1:22" x14ac:dyDescent="0.3">
      <c r="A34" t="s">
        <v>4117</v>
      </c>
      <c r="B34" t="s">
        <v>1701</v>
      </c>
      <c r="C34" t="s">
        <v>1702</v>
      </c>
      <c r="D34" s="2">
        <v>45674</v>
      </c>
      <c r="E34" t="s">
        <v>134</v>
      </c>
      <c r="F34" t="s">
        <v>134</v>
      </c>
      <c r="G34" t="s">
        <v>118</v>
      </c>
      <c r="H34" t="s">
        <v>49</v>
      </c>
      <c r="I34" t="s">
        <v>29</v>
      </c>
      <c r="J34" t="s">
        <v>30</v>
      </c>
      <c r="K34">
        <v>8</v>
      </c>
      <c r="L34">
        <v>56</v>
      </c>
      <c r="M34">
        <v>39700</v>
      </c>
      <c r="N34">
        <v>2000</v>
      </c>
      <c r="O34">
        <v>37700</v>
      </c>
      <c r="P34">
        <v>18300</v>
      </c>
      <c r="Q34">
        <v>19400</v>
      </c>
      <c r="R34">
        <v>51.46</v>
      </c>
      <c r="S34" t="s">
        <v>97</v>
      </c>
      <c r="T34">
        <v>3300</v>
      </c>
      <c r="U34">
        <v>4.5</v>
      </c>
      <c r="V34" t="s">
        <v>42</v>
      </c>
    </row>
    <row r="35" spans="1:22" x14ac:dyDescent="0.3">
      <c r="A35" t="s">
        <v>4631</v>
      </c>
      <c r="B35" t="s">
        <v>1409</v>
      </c>
      <c r="C35" t="s">
        <v>1410</v>
      </c>
      <c r="D35" s="2">
        <v>45674</v>
      </c>
      <c r="E35" t="s">
        <v>26</v>
      </c>
      <c r="F35" t="s">
        <v>26</v>
      </c>
      <c r="G35" t="s">
        <v>580</v>
      </c>
      <c r="H35" t="s">
        <v>214</v>
      </c>
      <c r="I35" t="s">
        <v>29</v>
      </c>
      <c r="J35" t="s">
        <v>30</v>
      </c>
      <c r="K35">
        <v>9</v>
      </c>
      <c r="L35">
        <v>87</v>
      </c>
      <c r="M35">
        <v>18900</v>
      </c>
      <c r="N35">
        <v>1900</v>
      </c>
      <c r="O35">
        <v>17000</v>
      </c>
      <c r="P35">
        <v>9200</v>
      </c>
      <c r="Q35">
        <v>7800</v>
      </c>
      <c r="R35">
        <v>45.88</v>
      </c>
      <c r="S35" t="s">
        <v>126</v>
      </c>
      <c r="T35">
        <v>2700</v>
      </c>
      <c r="U35">
        <v>4</v>
      </c>
      <c r="V35" t="s">
        <v>82</v>
      </c>
    </row>
    <row r="36" spans="1:22" x14ac:dyDescent="0.3">
      <c r="A36" t="s">
        <v>776</v>
      </c>
      <c r="B36" t="s">
        <v>777</v>
      </c>
      <c r="C36" t="s">
        <v>778</v>
      </c>
      <c r="D36" s="2">
        <v>45675</v>
      </c>
      <c r="E36" t="s">
        <v>282</v>
      </c>
      <c r="F36" t="s">
        <v>282</v>
      </c>
      <c r="G36" t="s">
        <v>103</v>
      </c>
      <c r="H36" t="s">
        <v>268</v>
      </c>
      <c r="I36" t="s">
        <v>69</v>
      </c>
      <c r="J36" t="s">
        <v>30</v>
      </c>
      <c r="K36">
        <v>3</v>
      </c>
      <c r="L36">
        <v>35</v>
      </c>
      <c r="M36">
        <v>43900</v>
      </c>
      <c r="N36">
        <v>4400</v>
      </c>
      <c r="O36">
        <v>39500</v>
      </c>
      <c r="P36">
        <v>18600</v>
      </c>
      <c r="Q36">
        <v>20900</v>
      </c>
      <c r="R36">
        <v>52.91</v>
      </c>
      <c r="S36" t="s">
        <v>97</v>
      </c>
      <c r="T36">
        <v>4700</v>
      </c>
      <c r="U36">
        <v>3.4</v>
      </c>
      <c r="V36" t="s">
        <v>58</v>
      </c>
    </row>
    <row r="37" spans="1:22" x14ac:dyDescent="0.3">
      <c r="A37" t="s">
        <v>687</v>
      </c>
      <c r="B37" t="s">
        <v>688</v>
      </c>
      <c r="C37" t="s">
        <v>689</v>
      </c>
      <c r="D37" s="2">
        <v>45677</v>
      </c>
      <c r="E37" t="s">
        <v>26</v>
      </c>
      <c r="F37" t="s">
        <v>26</v>
      </c>
      <c r="G37" t="s">
        <v>103</v>
      </c>
      <c r="H37" t="s">
        <v>5470</v>
      </c>
      <c r="I37" t="s">
        <v>69</v>
      </c>
      <c r="J37" t="s">
        <v>30</v>
      </c>
      <c r="K37">
        <v>10</v>
      </c>
      <c r="L37">
        <v>16</v>
      </c>
      <c r="M37">
        <v>30700</v>
      </c>
      <c r="N37">
        <v>4600</v>
      </c>
      <c r="O37">
        <v>26100</v>
      </c>
      <c r="P37">
        <v>24300</v>
      </c>
      <c r="Q37">
        <v>1800</v>
      </c>
      <c r="R37">
        <v>6.9</v>
      </c>
      <c r="S37" t="s">
        <v>97</v>
      </c>
      <c r="T37">
        <v>1900</v>
      </c>
      <c r="U37">
        <v>4.9000000000000004</v>
      </c>
      <c r="V37" t="s">
        <v>42</v>
      </c>
    </row>
    <row r="38" spans="1:22" x14ac:dyDescent="0.3">
      <c r="A38" t="s">
        <v>3368</v>
      </c>
      <c r="B38" t="s">
        <v>1722</v>
      </c>
      <c r="C38" t="s">
        <v>1723</v>
      </c>
      <c r="D38" s="2">
        <v>45677</v>
      </c>
      <c r="E38" t="s">
        <v>282</v>
      </c>
      <c r="F38" t="s">
        <v>282</v>
      </c>
      <c r="G38" t="s">
        <v>147</v>
      </c>
      <c r="H38" t="s">
        <v>49</v>
      </c>
      <c r="I38" t="s">
        <v>69</v>
      </c>
      <c r="J38" t="s">
        <v>162</v>
      </c>
      <c r="K38">
        <v>9</v>
      </c>
      <c r="L38">
        <v>44</v>
      </c>
      <c r="M38">
        <v>37700</v>
      </c>
      <c r="N38">
        <v>1900</v>
      </c>
      <c r="O38">
        <v>35800</v>
      </c>
      <c r="P38">
        <v>30400</v>
      </c>
      <c r="Q38">
        <v>5400</v>
      </c>
      <c r="R38">
        <v>15.08</v>
      </c>
      <c r="S38" t="s">
        <v>97</v>
      </c>
      <c r="T38">
        <v>3800</v>
      </c>
      <c r="U38">
        <v>3.9</v>
      </c>
      <c r="V38" t="s">
        <v>114</v>
      </c>
    </row>
    <row r="39" spans="1:22" x14ac:dyDescent="0.3">
      <c r="A39" t="s">
        <v>1602</v>
      </c>
      <c r="B39" t="s">
        <v>312</v>
      </c>
      <c r="C39" t="s">
        <v>313</v>
      </c>
      <c r="D39" s="2">
        <v>45677</v>
      </c>
      <c r="E39" t="s">
        <v>26</v>
      </c>
      <c r="F39" t="s">
        <v>26</v>
      </c>
      <c r="G39" t="s">
        <v>48</v>
      </c>
      <c r="H39" t="s">
        <v>49</v>
      </c>
      <c r="I39" t="s">
        <v>29</v>
      </c>
      <c r="J39" t="s">
        <v>30</v>
      </c>
      <c r="K39">
        <v>9</v>
      </c>
      <c r="L39">
        <v>49</v>
      </c>
      <c r="M39">
        <v>105000</v>
      </c>
      <c r="N39">
        <v>0</v>
      </c>
      <c r="O39">
        <v>105000</v>
      </c>
      <c r="P39">
        <v>71400</v>
      </c>
      <c r="Q39">
        <v>33600</v>
      </c>
      <c r="R39">
        <v>32</v>
      </c>
      <c r="S39" t="s">
        <v>58</v>
      </c>
      <c r="T39">
        <v>17000</v>
      </c>
      <c r="U39">
        <v>3.4</v>
      </c>
      <c r="V39" t="s">
        <v>58</v>
      </c>
    </row>
    <row r="40" spans="1:22" x14ac:dyDescent="0.3">
      <c r="A40" t="s">
        <v>4780</v>
      </c>
      <c r="B40" t="s">
        <v>825</v>
      </c>
      <c r="C40" t="s">
        <v>826</v>
      </c>
      <c r="D40" s="2">
        <v>45679</v>
      </c>
      <c r="E40" t="s">
        <v>282</v>
      </c>
      <c r="F40" t="s">
        <v>282</v>
      </c>
      <c r="G40" t="s">
        <v>67</v>
      </c>
      <c r="H40" t="s">
        <v>28</v>
      </c>
      <c r="I40" t="s">
        <v>29</v>
      </c>
      <c r="J40" t="s">
        <v>70</v>
      </c>
      <c r="K40">
        <v>9</v>
      </c>
      <c r="L40">
        <v>46</v>
      </c>
      <c r="M40">
        <v>65800</v>
      </c>
      <c r="N40">
        <v>9900</v>
      </c>
      <c r="O40">
        <v>55900</v>
      </c>
      <c r="P40">
        <v>49800</v>
      </c>
      <c r="Q40">
        <v>6100</v>
      </c>
      <c r="R40">
        <v>10.91</v>
      </c>
      <c r="S40" t="s">
        <v>126</v>
      </c>
      <c r="T40">
        <v>6200</v>
      </c>
      <c r="U40">
        <v>3.2</v>
      </c>
      <c r="V40" t="s">
        <v>42</v>
      </c>
    </row>
    <row r="41" spans="1:22" x14ac:dyDescent="0.3">
      <c r="A41" t="s">
        <v>4135</v>
      </c>
      <c r="B41" t="s">
        <v>956</v>
      </c>
      <c r="C41" t="s">
        <v>957</v>
      </c>
      <c r="D41" s="2">
        <v>45679</v>
      </c>
      <c r="E41" t="s">
        <v>244</v>
      </c>
      <c r="F41" t="s">
        <v>244</v>
      </c>
      <c r="G41" t="s">
        <v>103</v>
      </c>
      <c r="H41" t="s">
        <v>5470</v>
      </c>
      <c r="I41" t="s">
        <v>29</v>
      </c>
      <c r="J41" t="s">
        <v>30</v>
      </c>
      <c r="K41">
        <v>3</v>
      </c>
      <c r="L41">
        <v>48</v>
      </c>
      <c r="M41">
        <v>28400</v>
      </c>
      <c r="N41">
        <v>0</v>
      </c>
      <c r="O41">
        <v>28400</v>
      </c>
      <c r="P41">
        <v>20600</v>
      </c>
      <c r="Q41">
        <v>7800</v>
      </c>
      <c r="R41">
        <v>27.46</v>
      </c>
      <c r="S41" t="s">
        <v>39</v>
      </c>
      <c r="T41">
        <v>3100</v>
      </c>
      <c r="U41">
        <v>4.3</v>
      </c>
      <c r="V41" t="s">
        <v>114</v>
      </c>
    </row>
    <row r="42" spans="1:22" x14ac:dyDescent="0.3">
      <c r="A42" t="s">
        <v>2442</v>
      </c>
      <c r="B42" t="s">
        <v>2443</v>
      </c>
      <c r="C42" t="s">
        <v>2444</v>
      </c>
      <c r="D42" s="2">
        <v>45680</v>
      </c>
      <c r="E42" t="s">
        <v>134</v>
      </c>
      <c r="F42" t="s">
        <v>134</v>
      </c>
      <c r="G42" t="s">
        <v>147</v>
      </c>
      <c r="H42" t="s">
        <v>28</v>
      </c>
      <c r="I42" t="s">
        <v>69</v>
      </c>
      <c r="J42" t="s">
        <v>30</v>
      </c>
      <c r="K42">
        <v>10</v>
      </c>
      <c r="L42">
        <v>58</v>
      </c>
      <c r="M42">
        <v>51700</v>
      </c>
      <c r="N42">
        <v>10300</v>
      </c>
      <c r="O42">
        <v>41400</v>
      </c>
      <c r="P42">
        <v>33100</v>
      </c>
      <c r="Q42">
        <v>8300</v>
      </c>
      <c r="R42">
        <v>20.05</v>
      </c>
      <c r="S42" t="s">
        <v>97</v>
      </c>
      <c r="T42">
        <v>7300</v>
      </c>
      <c r="U42">
        <v>3</v>
      </c>
      <c r="V42" t="s">
        <v>82</v>
      </c>
    </row>
    <row r="43" spans="1:22" x14ac:dyDescent="0.3">
      <c r="A43" t="s">
        <v>3963</v>
      </c>
      <c r="B43" t="s">
        <v>510</v>
      </c>
      <c r="C43" t="s">
        <v>511</v>
      </c>
      <c r="D43" s="2">
        <v>45681</v>
      </c>
      <c r="E43" t="s">
        <v>134</v>
      </c>
      <c r="F43" t="s">
        <v>134</v>
      </c>
      <c r="G43" t="s">
        <v>147</v>
      </c>
      <c r="H43" t="s">
        <v>28</v>
      </c>
      <c r="I43" t="s">
        <v>69</v>
      </c>
      <c r="J43" t="s">
        <v>30</v>
      </c>
      <c r="K43">
        <v>10</v>
      </c>
      <c r="L43">
        <v>36</v>
      </c>
      <c r="M43">
        <v>72300</v>
      </c>
      <c r="N43">
        <v>10800</v>
      </c>
      <c r="O43">
        <v>61500</v>
      </c>
      <c r="P43">
        <v>54300</v>
      </c>
      <c r="Q43">
        <v>7200</v>
      </c>
      <c r="R43">
        <v>11.71</v>
      </c>
      <c r="S43" t="s">
        <v>97</v>
      </c>
      <c r="T43">
        <v>3100</v>
      </c>
      <c r="U43">
        <v>4.3</v>
      </c>
      <c r="V43" t="s">
        <v>42</v>
      </c>
    </row>
    <row r="44" spans="1:22" x14ac:dyDescent="0.3">
      <c r="A44" t="s">
        <v>4563</v>
      </c>
      <c r="B44" t="s">
        <v>3448</v>
      </c>
      <c r="C44" t="s">
        <v>3449</v>
      </c>
      <c r="D44" s="2">
        <v>45681</v>
      </c>
      <c r="E44" t="s">
        <v>228</v>
      </c>
      <c r="F44" t="s">
        <v>228</v>
      </c>
      <c r="G44" t="s">
        <v>27</v>
      </c>
      <c r="H44" t="s">
        <v>68</v>
      </c>
      <c r="I44" t="s">
        <v>69</v>
      </c>
      <c r="J44" t="s">
        <v>30</v>
      </c>
      <c r="K44">
        <v>3</v>
      </c>
      <c r="L44">
        <v>37</v>
      </c>
      <c r="M44">
        <v>33600</v>
      </c>
      <c r="N44">
        <v>1700</v>
      </c>
      <c r="O44">
        <v>31900</v>
      </c>
      <c r="P44">
        <v>22600</v>
      </c>
      <c r="Q44">
        <v>9300</v>
      </c>
      <c r="R44">
        <v>29.15</v>
      </c>
      <c r="S44" t="s">
        <v>126</v>
      </c>
      <c r="T44">
        <v>3000</v>
      </c>
      <c r="U44">
        <v>3</v>
      </c>
      <c r="V44" t="s">
        <v>82</v>
      </c>
    </row>
    <row r="45" spans="1:22" x14ac:dyDescent="0.3">
      <c r="A45" t="s">
        <v>5177</v>
      </c>
      <c r="B45" t="s">
        <v>1292</v>
      </c>
      <c r="C45" t="s">
        <v>1293</v>
      </c>
      <c r="D45" s="2">
        <v>45681</v>
      </c>
      <c r="E45" t="s">
        <v>66</v>
      </c>
      <c r="F45" t="s">
        <v>66</v>
      </c>
      <c r="G45" t="s">
        <v>48</v>
      </c>
      <c r="H45" t="s">
        <v>28</v>
      </c>
      <c r="I45" t="s">
        <v>69</v>
      </c>
      <c r="J45" t="s">
        <v>30</v>
      </c>
      <c r="K45">
        <v>4</v>
      </c>
      <c r="L45">
        <v>33</v>
      </c>
      <c r="M45">
        <v>19900</v>
      </c>
      <c r="N45">
        <v>4000</v>
      </c>
      <c r="O45">
        <v>15900</v>
      </c>
      <c r="P45">
        <v>16100</v>
      </c>
      <c r="Q45">
        <v>-200</v>
      </c>
      <c r="R45">
        <v>-1.26</v>
      </c>
      <c r="S45" t="s">
        <v>58</v>
      </c>
      <c r="T45">
        <v>1000</v>
      </c>
      <c r="U45">
        <v>4.7</v>
      </c>
      <c r="V45" t="s">
        <v>42</v>
      </c>
    </row>
    <row r="46" spans="1:22" x14ac:dyDescent="0.3">
      <c r="A46" t="s">
        <v>3714</v>
      </c>
      <c r="B46" t="s">
        <v>3685</v>
      </c>
      <c r="C46" t="s">
        <v>3686</v>
      </c>
      <c r="D46" s="2">
        <v>45681</v>
      </c>
      <c r="E46" t="s">
        <v>134</v>
      </c>
      <c r="F46" t="s">
        <v>134</v>
      </c>
      <c r="G46" t="s">
        <v>27</v>
      </c>
      <c r="H46" t="s">
        <v>214</v>
      </c>
      <c r="I46" t="s">
        <v>29</v>
      </c>
      <c r="J46" t="s">
        <v>70</v>
      </c>
      <c r="K46">
        <v>10</v>
      </c>
      <c r="L46">
        <v>12</v>
      </c>
      <c r="M46">
        <v>34900</v>
      </c>
      <c r="N46">
        <v>1700</v>
      </c>
      <c r="O46">
        <v>33200</v>
      </c>
      <c r="P46">
        <v>27500</v>
      </c>
      <c r="Q46">
        <v>5700</v>
      </c>
      <c r="R46">
        <v>17.170000000000002</v>
      </c>
      <c r="S46" t="s">
        <v>79</v>
      </c>
      <c r="T46">
        <v>4000</v>
      </c>
      <c r="U46">
        <v>4.4000000000000004</v>
      </c>
      <c r="V46" t="s">
        <v>82</v>
      </c>
    </row>
    <row r="47" spans="1:22" x14ac:dyDescent="0.3">
      <c r="A47" t="s">
        <v>4735</v>
      </c>
      <c r="B47" t="s">
        <v>2201</v>
      </c>
      <c r="C47" t="s">
        <v>2202</v>
      </c>
      <c r="D47" s="2">
        <v>45682</v>
      </c>
      <c r="E47" t="s">
        <v>26</v>
      </c>
      <c r="F47" t="s">
        <v>26</v>
      </c>
      <c r="G47" t="s">
        <v>147</v>
      </c>
      <c r="H47" t="s">
        <v>229</v>
      </c>
      <c r="I47" t="s">
        <v>69</v>
      </c>
      <c r="J47" t="s">
        <v>30</v>
      </c>
      <c r="K47">
        <v>3</v>
      </c>
      <c r="L47">
        <v>28</v>
      </c>
      <c r="M47">
        <v>51100</v>
      </c>
      <c r="N47">
        <v>5100</v>
      </c>
      <c r="O47">
        <v>46000</v>
      </c>
      <c r="P47">
        <v>29800</v>
      </c>
      <c r="Q47">
        <v>16200</v>
      </c>
      <c r="R47">
        <v>35.22</v>
      </c>
      <c r="S47" t="s">
        <v>58</v>
      </c>
      <c r="T47">
        <v>7300</v>
      </c>
      <c r="U47">
        <v>4.2</v>
      </c>
      <c r="V47" t="s">
        <v>58</v>
      </c>
    </row>
    <row r="48" spans="1:22" x14ac:dyDescent="0.3">
      <c r="A48" t="s">
        <v>4903</v>
      </c>
      <c r="B48" t="s">
        <v>809</v>
      </c>
      <c r="C48" t="s">
        <v>810</v>
      </c>
      <c r="D48" s="2">
        <v>45682</v>
      </c>
      <c r="E48" t="s">
        <v>66</v>
      </c>
      <c r="F48" t="s">
        <v>66</v>
      </c>
      <c r="G48" t="s">
        <v>103</v>
      </c>
      <c r="H48" t="s">
        <v>88</v>
      </c>
      <c r="I48" t="s">
        <v>29</v>
      </c>
      <c r="J48" t="s">
        <v>70</v>
      </c>
      <c r="K48">
        <v>5</v>
      </c>
      <c r="L48">
        <v>54</v>
      </c>
      <c r="M48">
        <v>57200</v>
      </c>
      <c r="N48">
        <v>5700</v>
      </c>
      <c r="O48">
        <v>51500</v>
      </c>
      <c r="P48">
        <v>33100</v>
      </c>
      <c r="Q48">
        <v>18400</v>
      </c>
      <c r="R48">
        <v>35.729999999999997</v>
      </c>
      <c r="S48" t="s">
        <v>126</v>
      </c>
      <c r="T48">
        <v>6900</v>
      </c>
      <c r="U48">
        <v>4</v>
      </c>
      <c r="V48" t="s">
        <v>42</v>
      </c>
    </row>
    <row r="49" spans="1:22" x14ac:dyDescent="0.3">
      <c r="A49" t="s">
        <v>3495</v>
      </c>
      <c r="B49" t="s">
        <v>3496</v>
      </c>
      <c r="C49" t="s">
        <v>3497</v>
      </c>
      <c r="D49" s="2">
        <v>45683</v>
      </c>
      <c r="E49" t="s">
        <v>26</v>
      </c>
      <c r="F49" t="s">
        <v>26</v>
      </c>
      <c r="G49" t="s">
        <v>580</v>
      </c>
      <c r="H49" t="s">
        <v>229</v>
      </c>
      <c r="I49" t="s">
        <v>29</v>
      </c>
      <c r="J49" t="s">
        <v>30</v>
      </c>
      <c r="K49">
        <v>8</v>
      </c>
      <c r="L49">
        <v>20</v>
      </c>
      <c r="M49">
        <v>108700</v>
      </c>
      <c r="N49">
        <v>10900</v>
      </c>
      <c r="O49">
        <v>97800</v>
      </c>
      <c r="P49">
        <v>51400</v>
      </c>
      <c r="Q49">
        <v>46400</v>
      </c>
      <c r="R49">
        <v>47.44</v>
      </c>
      <c r="S49" t="s">
        <v>39</v>
      </c>
      <c r="T49">
        <v>13900</v>
      </c>
      <c r="U49">
        <v>3</v>
      </c>
      <c r="V49" t="s">
        <v>82</v>
      </c>
    </row>
    <row r="50" spans="1:22" x14ac:dyDescent="0.3">
      <c r="A50" t="s">
        <v>3974</v>
      </c>
      <c r="B50" t="s">
        <v>1881</v>
      </c>
      <c r="C50" t="s">
        <v>1882</v>
      </c>
      <c r="D50" s="2">
        <v>45683</v>
      </c>
      <c r="E50" t="s">
        <v>26</v>
      </c>
      <c r="F50" t="s">
        <v>26</v>
      </c>
      <c r="G50" t="s">
        <v>27</v>
      </c>
      <c r="H50" t="s">
        <v>49</v>
      </c>
      <c r="I50" t="s">
        <v>69</v>
      </c>
      <c r="J50" t="s">
        <v>257</v>
      </c>
      <c r="K50">
        <v>5</v>
      </c>
      <c r="L50">
        <v>43</v>
      </c>
      <c r="M50">
        <v>40500</v>
      </c>
      <c r="N50">
        <v>0</v>
      </c>
      <c r="O50">
        <v>40500</v>
      </c>
      <c r="P50">
        <v>17400</v>
      </c>
      <c r="Q50">
        <v>23100</v>
      </c>
      <c r="R50">
        <v>57.04</v>
      </c>
      <c r="S50" t="s">
        <v>79</v>
      </c>
      <c r="T50">
        <v>2000</v>
      </c>
      <c r="U50">
        <v>3.8</v>
      </c>
      <c r="V50" t="s">
        <v>114</v>
      </c>
    </row>
    <row r="51" spans="1:22" x14ac:dyDescent="0.3">
      <c r="A51" t="s">
        <v>1932</v>
      </c>
      <c r="B51" t="s">
        <v>951</v>
      </c>
      <c r="C51" t="s">
        <v>952</v>
      </c>
      <c r="D51" s="2">
        <v>45683</v>
      </c>
      <c r="E51" t="s">
        <v>228</v>
      </c>
      <c r="F51" t="s">
        <v>228</v>
      </c>
      <c r="G51" t="s">
        <v>27</v>
      </c>
      <c r="H51" t="s">
        <v>5470</v>
      </c>
      <c r="I51" t="s">
        <v>69</v>
      </c>
      <c r="J51" t="s">
        <v>30</v>
      </c>
      <c r="K51">
        <v>9</v>
      </c>
      <c r="L51">
        <v>22</v>
      </c>
      <c r="M51">
        <v>15000</v>
      </c>
      <c r="N51">
        <v>2200</v>
      </c>
      <c r="O51">
        <v>12800</v>
      </c>
      <c r="P51">
        <v>11000</v>
      </c>
      <c r="Q51">
        <v>1800</v>
      </c>
      <c r="R51">
        <v>14.06</v>
      </c>
      <c r="S51" t="s">
        <v>97</v>
      </c>
      <c r="T51">
        <v>1000</v>
      </c>
      <c r="U51">
        <v>4.3</v>
      </c>
      <c r="V51" t="s">
        <v>114</v>
      </c>
    </row>
    <row r="52" spans="1:22" x14ac:dyDescent="0.3">
      <c r="A52" t="s">
        <v>4823</v>
      </c>
      <c r="B52" t="s">
        <v>1459</v>
      </c>
      <c r="C52" t="s">
        <v>1460</v>
      </c>
      <c r="D52" s="2">
        <v>45683</v>
      </c>
      <c r="E52" t="s">
        <v>66</v>
      </c>
      <c r="F52" t="s">
        <v>66</v>
      </c>
      <c r="G52" t="s">
        <v>118</v>
      </c>
      <c r="H52" t="s">
        <v>28</v>
      </c>
      <c r="I52" t="s">
        <v>29</v>
      </c>
      <c r="J52" t="s">
        <v>30</v>
      </c>
      <c r="K52">
        <v>7</v>
      </c>
      <c r="L52">
        <v>46</v>
      </c>
      <c r="M52">
        <v>22500</v>
      </c>
      <c r="N52">
        <v>1100</v>
      </c>
      <c r="O52">
        <v>21400</v>
      </c>
      <c r="P52">
        <v>10200</v>
      </c>
      <c r="Q52">
        <v>11200</v>
      </c>
      <c r="R52">
        <v>52.34</v>
      </c>
      <c r="S52" t="s">
        <v>97</v>
      </c>
      <c r="T52">
        <v>3000</v>
      </c>
      <c r="U52">
        <v>4.9000000000000004</v>
      </c>
      <c r="V52" t="s">
        <v>82</v>
      </c>
    </row>
    <row r="53" spans="1:22" x14ac:dyDescent="0.3">
      <c r="A53" t="s">
        <v>4443</v>
      </c>
      <c r="B53" t="s">
        <v>2443</v>
      </c>
      <c r="C53" t="s">
        <v>2444</v>
      </c>
      <c r="D53" s="2">
        <v>45684</v>
      </c>
      <c r="E53" t="s">
        <v>161</v>
      </c>
      <c r="F53" t="s">
        <v>161</v>
      </c>
      <c r="G53" t="s">
        <v>27</v>
      </c>
      <c r="H53" t="s">
        <v>5470</v>
      </c>
      <c r="I53" t="s">
        <v>69</v>
      </c>
      <c r="J53" t="s">
        <v>30</v>
      </c>
      <c r="K53">
        <v>8</v>
      </c>
      <c r="L53">
        <v>55</v>
      </c>
      <c r="M53">
        <v>32200</v>
      </c>
      <c r="N53">
        <v>3200</v>
      </c>
      <c r="O53">
        <v>29000</v>
      </c>
      <c r="P53">
        <v>20200</v>
      </c>
      <c r="Q53">
        <v>8800</v>
      </c>
      <c r="R53">
        <v>30.34</v>
      </c>
      <c r="S53" t="s">
        <v>58</v>
      </c>
      <c r="T53">
        <v>3000</v>
      </c>
      <c r="U53">
        <v>4.3</v>
      </c>
      <c r="V53" t="s">
        <v>58</v>
      </c>
    </row>
    <row r="54" spans="1:22" x14ac:dyDescent="0.3">
      <c r="A54" t="s">
        <v>3092</v>
      </c>
      <c r="B54" t="s">
        <v>853</v>
      </c>
      <c r="C54" t="s">
        <v>854</v>
      </c>
      <c r="D54" s="2">
        <v>45684</v>
      </c>
      <c r="E54" t="s">
        <v>134</v>
      </c>
      <c r="F54" t="s">
        <v>134</v>
      </c>
      <c r="G54" t="s">
        <v>213</v>
      </c>
      <c r="H54" t="s">
        <v>214</v>
      </c>
      <c r="I54" t="s">
        <v>69</v>
      </c>
      <c r="J54" t="s">
        <v>30</v>
      </c>
      <c r="K54">
        <v>7</v>
      </c>
      <c r="L54">
        <v>28</v>
      </c>
      <c r="M54">
        <v>95200</v>
      </c>
      <c r="N54">
        <v>14300</v>
      </c>
      <c r="O54">
        <v>80900</v>
      </c>
      <c r="P54">
        <v>71500</v>
      </c>
      <c r="Q54">
        <v>9400</v>
      </c>
      <c r="R54">
        <v>11.62</v>
      </c>
      <c r="S54" t="s">
        <v>97</v>
      </c>
      <c r="T54">
        <v>10900</v>
      </c>
      <c r="U54">
        <v>3.3</v>
      </c>
      <c r="V54" t="s">
        <v>82</v>
      </c>
    </row>
    <row r="55" spans="1:22" x14ac:dyDescent="0.3">
      <c r="A55" t="s">
        <v>3660</v>
      </c>
      <c r="B55" t="s">
        <v>548</v>
      </c>
      <c r="C55" t="s">
        <v>549</v>
      </c>
      <c r="D55" s="2">
        <v>45686</v>
      </c>
      <c r="E55" t="s">
        <v>228</v>
      </c>
      <c r="F55" t="s">
        <v>228</v>
      </c>
      <c r="G55" t="s">
        <v>580</v>
      </c>
      <c r="H55" t="s">
        <v>214</v>
      </c>
      <c r="I55" t="s">
        <v>29</v>
      </c>
      <c r="J55" t="s">
        <v>70</v>
      </c>
      <c r="K55">
        <v>5</v>
      </c>
      <c r="L55">
        <v>54</v>
      </c>
      <c r="M55">
        <v>15000</v>
      </c>
      <c r="N55">
        <v>800</v>
      </c>
      <c r="O55">
        <v>14200</v>
      </c>
      <c r="P55">
        <v>7300</v>
      </c>
      <c r="Q55">
        <v>6900</v>
      </c>
      <c r="R55">
        <v>48.59</v>
      </c>
      <c r="S55" t="s">
        <v>182</v>
      </c>
      <c r="T55">
        <v>2000</v>
      </c>
      <c r="U55">
        <v>3.9</v>
      </c>
      <c r="V55" t="s">
        <v>79</v>
      </c>
    </row>
    <row r="56" spans="1:22" x14ac:dyDescent="0.3">
      <c r="A56" t="s">
        <v>659</v>
      </c>
      <c r="B56" t="s">
        <v>660</v>
      </c>
      <c r="C56" t="s">
        <v>661</v>
      </c>
      <c r="D56" s="2">
        <v>45687</v>
      </c>
      <c r="E56" t="s">
        <v>161</v>
      </c>
      <c r="F56" t="s">
        <v>161</v>
      </c>
      <c r="G56" t="s">
        <v>48</v>
      </c>
      <c r="H56" t="s">
        <v>68</v>
      </c>
      <c r="I56" t="s">
        <v>69</v>
      </c>
      <c r="J56" t="s">
        <v>30</v>
      </c>
      <c r="K56">
        <v>8</v>
      </c>
      <c r="L56">
        <v>43</v>
      </c>
      <c r="M56">
        <v>31500</v>
      </c>
      <c r="N56">
        <v>0</v>
      </c>
      <c r="O56">
        <v>31500</v>
      </c>
      <c r="P56">
        <v>14100</v>
      </c>
      <c r="Q56">
        <v>17400</v>
      </c>
      <c r="R56">
        <v>55.24</v>
      </c>
      <c r="S56" t="s">
        <v>58</v>
      </c>
      <c r="T56">
        <v>4200</v>
      </c>
      <c r="U56">
        <v>3.7</v>
      </c>
      <c r="V56" t="s">
        <v>114</v>
      </c>
    </row>
    <row r="57" spans="1:22" x14ac:dyDescent="0.3">
      <c r="A57" t="s">
        <v>2116</v>
      </c>
      <c r="B57" t="s">
        <v>2117</v>
      </c>
      <c r="C57" t="s">
        <v>2118</v>
      </c>
      <c r="D57" s="2">
        <v>45688</v>
      </c>
      <c r="E57" t="s">
        <v>26</v>
      </c>
      <c r="F57" t="s">
        <v>26</v>
      </c>
      <c r="G57" t="s">
        <v>27</v>
      </c>
      <c r="H57" t="s">
        <v>268</v>
      </c>
      <c r="I57" t="s">
        <v>69</v>
      </c>
      <c r="J57" t="s">
        <v>70</v>
      </c>
      <c r="K57">
        <v>7</v>
      </c>
      <c r="L57">
        <v>67</v>
      </c>
      <c r="M57">
        <v>51300</v>
      </c>
      <c r="N57">
        <v>7700</v>
      </c>
      <c r="O57">
        <v>43600</v>
      </c>
      <c r="P57">
        <v>32700</v>
      </c>
      <c r="Q57">
        <v>10900</v>
      </c>
      <c r="R57">
        <v>25</v>
      </c>
      <c r="S57" t="s">
        <v>97</v>
      </c>
      <c r="T57">
        <v>3100</v>
      </c>
      <c r="U57">
        <v>3.7</v>
      </c>
      <c r="V57" t="s">
        <v>58</v>
      </c>
    </row>
    <row r="58" spans="1:22" x14ac:dyDescent="0.3">
      <c r="A58" t="s">
        <v>3073</v>
      </c>
      <c r="B58" t="s">
        <v>1427</v>
      </c>
      <c r="C58" t="s">
        <v>1428</v>
      </c>
      <c r="D58" s="2">
        <v>45688</v>
      </c>
      <c r="E58" t="s">
        <v>161</v>
      </c>
      <c r="F58" t="s">
        <v>161</v>
      </c>
      <c r="G58" t="s">
        <v>213</v>
      </c>
      <c r="H58" t="s">
        <v>229</v>
      </c>
      <c r="I58" t="s">
        <v>69</v>
      </c>
      <c r="J58" t="s">
        <v>162</v>
      </c>
      <c r="K58">
        <v>10</v>
      </c>
      <c r="L58">
        <v>66</v>
      </c>
      <c r="M58">
        <v>135800</v>
      </c>
      <c r="N58">
        <v>27200</v>
      </c>
      <c r="O58">
        <v>108600</v>
      </c>
      <c r="P58">
        <v>77200</v>
      </c>
      <c r="Q58">
        <v>31400</v>
      </c>
      <c r="R58">
        <v>28.91</v>
      </c>
      <c r="S58" t="s">
        <v>58</v>
      </c>
      <c r="T58">
        <v>10000</v>
      </c>
      <c r="U58">
        <v>3.8</v>
      </c>
      <c r="V58" t="s">
        <v>114</v>
      </c>
    </row>
    <row r="59" spans="1:22" x14ac:dyDescent="0.3">
      <c r="A59" t="s">
        <v>4020</v>
      </c>
      <c r="B59" t="s">
        <v>444</v>
      </c>
      <c r="C59" t="s">
        <v>445</v>
      </c>
      <c r="D59" s="2">
        <v>45688</v>
      </c>
      <c r="E59" t="s">
        <v>188</v>
      </c>
      <c r="F59" t="s">
        <v>188</v>
      </c>
      <c r="G59" t="s">
        <v>103</v>
      </c>
      <c r="H59" t="s">
        <v>268</v>
      </c>
      <c r="I59" t="s">
        <v>29</v>
      </c>
      <c r="J59" t="s">
        <v>30</v>
      </c>
      <c r="K59">
        <v>5</v>
      </c>
      <c r="L59">
        <v>29</v>
      </c>
      <c r="M59">
        <v>42700</v>
      </c>
      <c r="N59">
        <v>0</v>
      </c>
      <c r="O59">
        <v>42700</v>
      </c>
      <c r="P59">
        <v>34200</v>
      </c>
      <c r="Q59">
        <v>8500</v>
      </c>
      <c r="R59">
        <v>19.91</v>
      </c>
      <c r="S59" t="s">
        <v>97</v>
      </c>
      <c r="T59">
        <v>2700</v>
      </c>
      <c r="U59">
        <v>3.6</v>
      </c>
      <c r="V59" t="s">
        <v>114</v>
      </c>
    </row>
    <row r="60" spans="1:22" x14ac:dyDescent="0.3">
      <c r="A60" t="s">
        <v>2207</v>
      </c>
      <c r="B60" t="s">
        <v>2122</v>
      </c>
      <c r="C60" t="s">
        <v>2123</v>
      </c>
      <c r="D60" s="2">
        <v>45688</v>
      </c>
      <c r="E60" t="s">
        <v>161</v>
      </c>
      <c r="F60" t="s">
        <v>161</v>
      </c>
      <c r="G60" t="s">
        <v>118</v>
      </c>
      <c r="H60" t="s">
        <v>49</v>
      </c>
      <c r="I60" t="s">
        <v>69</v>
      </c>
      <c r="J60" t="s">
        <v>70</v>
      </c>
      <c r="K60">
        <v>8</v>
      </c>
      <c r="L60">
        <v>59</v>
      </c>
      <c r="M60">
        <v>34400</v>
      </c>
      <c r="N60">
        <v>0</v>
      </c>
      <c r="O60">
        <v>34400</v>
      </c>
      <c r="P60">
        <v>16900</v>
      </c>
      <c r="Q60">
        <v>17500</v>
      </c>
      <c r="R60">
        <v>50.87</v>
      </c>
      <c r="S60" t="s">
        <v>79</v>
      </c>
      <c r="T60">
        <v>4500</v>
      </c>
      <c r="U60">
        <v>4.2</v>
      </c>
      <c r="V60" t="s">
        <v>82</v>
      </c>
    </row>
    <row r="61" spans="1:22" x14ac:dyDescent="0.3">
      <c r="A61" t="s">
        <v>3182</v>
      </c>
      <c r="B61" t="s">
        <v>2669</v>
      </c>
      <c r="C61" t="s">
        <v>2670</v>
      </c>
      <c r="D61" s="2">
        <v>45689</v>
      </c>
      <c r="E61" t="s">
        <v>228</v>
      </c>
      <c r="F61" t="s">
        <v>228</v>
      </c>
      <c r="G61" t="s">
        <v>48</v>
      </c>
      <c r="H61" t="s">
        <v>68</v>
      </c>
      <c r="I61" t="s">
        <v>29</v>
      </c>
      <c r="J61" t="s">
        <v>257</v>
      </c>
      <c r="K61">
        <v>7</v>
      </c>
      <c r="L61">
        <v>61</v>
      </c>
      <c r="M61">
        <v>21900</v>
      </c>
      <c r="N61">
        <v>0</v>
      </c>
      <c r="O61">
        <v>21900</v>
      </c>
      <c r="P61">
        <v>16300</v>
      </c>
      <c r="Q61">
        <v>5600</v>
      </c>
      <c r="R61">
        <v>25.57</v>
      </c>
      <c r="S61" t="s">
        <v>182</v>
      </c>
      <c r="T61">
        <v>2600</v>
      </c>
      <c r="U61">
        <v>3.2</v>
      </c>
      <c r="V61" t="s">
        <v>42</v>
      </c>
    </row>
    <row r="62" spans="1:22" x14ac:dyDescent="0.3">
      <c r="A62" t="s">
        <v>2287</v>
      </c>
      <c r="B62" t="s">
        <v>2288</v>
      </c>
      <c r="C62" t="s">
        <v>2289</v>
      </c>
      <c r="D62" s="2">
        <v>45689</v>
      </c>
      <c r="E62" t="s">
        <v>282</v>
      </c>
      <c r="F62" t="s">
        <v>282</v>
      </c>
      <c r="G62" t="s">
        <v>48</v>
      </c>
      <c r="H62" t="s">
        <v>68</v>
      </c>
      <c r="I62" t="s">
        <v>69</v>
      </c>
      <c r="J62" t="s">
        <v>162</v>
      </c>
      <c r="K62">
        <v>8</v>
      </c>
      <c r="L62">
        <v>46</v>
      </c>
      <c r="M62">
        <v>22400</v>
      </c>
      <c r="N62">
        <v>0</v>
      </c>
      <c r="O62">
        <v>22400</v>
      </c>
      <c r="P62">
        <v>11900</v>
      </c>
      <c r="Q62">
        <v>10500</v>
      </c>
      <c r="R62">
        <v>46.88</v>
      </c>
      <c r="S62" t="s">
        <v>39</v>
      </c>
      <c r="T62">
        <v>2500</v>
      </c>
      <c r="U62">
        <v>3.9</v>
      </c>
      <c r="V62" t="s">
        <v>42</v>
      </c>
    </row>
    <row r="63" spans="1:22" x14ac:dyDescent="0.3">
      <c r="A63" t="s">
        <v>3828</v>
      </c>
      <c r="B63" t="s">
        <v>375</v>
      </c>
      <c r="C63" t="s">
        <v>376</v>
      </c>
      <c r="D63" s="2">
        <v>45690</v>
      </c>
      <c r="E63" t="s">
        <v>228</v>
      </c>
      <c r="F63" t="s">
        <v>228</v>
      </c>
      <c r="G63" t="s">
        <v>103</v>
      </c>
      <c r="H63" t="s">
        <v>5470</v>
      </c>
      <c r="I63" t="s">
        <v>69</v>
      </c>
      <c r="J63" t="s">
        <v>30</v>
      </c>
      <c r="K63">
        <v>3</v>
      </c>
      <c r="L63">
        <v>20</v>
      </c>
      <c r="M63">
        <v>27300</v>
      </c>
      <c r="N63">
        <v>0</v>
      </c>
      <c r="O63">
        <v>27300</v>
      </c>
      <c r="P63">
        <v>18700</v>
      </c>
      <c r="Q63">
        <v>8600</v>
      </c>
      <c r="R63">
        <v>31.5</v>
      </c>
      <c r="S63" t="s">
        <v>182</v>
      </c>
      <c r="T63">
        <v>2600</v>
      </c>
      <c r="U63">
        <v>3.2</v>
      </c>
      <c r="V63" t="s">
        <v>114</v>
      </c>
    </row>
    <row r="64" spans="1:22" x14ac:dyDescent="0.3">
      <c r="A64" t="s">
        <v>5099</v>
      </c>
      <c r="B64" t="s">
        <v>1675</v>
      </c>
      <c r="C64" t="s">
        <v>1676</v>
      </c>
      <c r="D64" s="2">
        <v>45691</v>
      </c>
      <c r="E64" t="s">
        <v>26</v>
      </c>
      <c r="F64" t="s">
        <v>26</v>
      </c>
      <c r="G64" t="s">
        <v>48</v>
      </c>
      <c r="H64" t="s">
        <v>5470</v>
      </c>
      <c r="I64" t="s">
        <v>29</v>
      </c>
      <c r="J64" t="s">
        <v>162</v>
      </c>
      <c r="K64">
        <v>8</v>
      </c>
      <c r="L64">
        <v>75</v>
      </c>
      <c r="M64">
        <v>48400</v>
      </c>
      <c r="N64">
        <v>2400</v>
      </c>
      <c r="O64">
        <v>46000</v>
      </c>
      <c r="P64">
        <v>36700</v>
      </c>
      <c r="Q64">
        <v>9300</v>
      </c>
      <c r="R64">
        <v>20.22</v>
      </c>
      <c r="S64" t="s">
        <v>58</v>
      </c>
      <c r="T64">
        <v>6600</v>
      </c>
      <c r="U64">
        <v>5</v>
      </c>
      <c r="V64" t="s">
        <v>82</v>
      </c>
    </row>
    <row r="65" spans="1:22" x14ac:dyDescent="0.3">
      <c r="A65" t="s">
        <v>1737</v>
      </c>
      <c r="B65" t="s">
        <v>1318</v>
      </c>
      <c r="C65" t="s">
        <v>1319</v>
      </c>
      <c r="D65" s="2">
        <v>45692</v>
      </c>
      <c r="E65" t="s">
        <v>26</v>
      </c>
      <c r="F65" t="s">
        <v>26</v>
      </c>
      <c r="G65" t="s">
        <v>103</v>
      </c>
      <c r="H65" t="s">
        <v>88</v>
      </c>
      <c r="I65" t="s">
        <v>69</v>
      </c>
      <c r="J65" t="s">
        <v>30</v>
      </c>
      <c r="K65">
        <v>9</v>
      </c>
      <c r="L65">
        <v>55</v>
      </c>
      <c r="M65">
        <v>37100</v>
      </c>
      <c r="N65">
        <v>7400</v>
      </c>
      <c r="O65">
        <v>29700</v>
      </c>
      <c r="P65">
        <v>23300</v>
      </c>
      <c r="Q65">
        <v>6400</v>
      </c>
      <c r="R65">
        <v>21.55</v>
      </c>
      <c r="S65" t="s">
        <v>58</v>
      </c>
      <c r="T65">
        <v>5000</v>
      </c>
      <c r="U65">
        <v>4.2</v>
      </c>
      <c r="V65" t="s">
        <v>79</v>
      </c>
    </row>
    <row r="66" spans="1:22" x14ac:dyDescent="0.3">
      <c r="A66" t="s">
        <v>2759</v>
      </c>
      <c r="B66" t="s">
        <v>2657</v>
      </c>
      <c r="C66" t="s">
        <v>2658</v>
      </c>
      <c r="D66" s="2">
        <v>45692</v>
      </c>
      <c r="E66" t="s">
        <v>66</v>
      </c>
      <c r="F66" t="s">
        <v>66</v>
      </c>
      <c r="G66" t="s">
        <v>213</v>
      </c>
      <c r="H66" t="s">
        <v>88</v>
      </c>
      <c r="I66" t="s">
        <v>29</v>
      </c>
      <c r="J66" t="s">
        <v>30</v>
      </c>
      <c r="K66">
        <v>10</v>
      </c>
      <c r="L66">
        <v>22</v>
      </c>
      <c r="M66">
        <v>41000</v>
      </c>
      <c r="N66">
        <v>0</v>
      </c>
      <c r="O66">
        <v>41000</v>
      </c>
      <c r="P66">
        <v>29500</v>
      </c>
      <c r="Q66">
        <v>11500</v>
      </c>
      <c r="R66">
        <v>28.05</v>
      </c>
      <c r="S66" t="s">
        <v>126</v>
      </c>
      <c r="T66">
        <v>4100</v>
      </c>
      <c r="U66">
        <v>3.8</v>
      </c>
      <c r="V66" t="s">
        <v>114</v>
      </c>
    </row>
    <row r="67" spans="1:22" x14ac:dyDescent="0.3">
      <c r="A67" t="s">
        <v>5235</v>
      </c>
      <c r="B67" t="s">
        <v>2782</v>
      </c>
      <c r="C67" t="s">
        <v>2783</v>
      </c>
      <c r="D67" s="2">
        <v>45692</v>
      </c>
      <c r="E67" t="s">
        <v>228</v>
      </c>
      <c r="F67" t="s">
        <v>228</v>
      </c>
      <c r="G67" t="s">
        <v>147</v>
      </c>
      <c r="H67" t="s">
        <v>214</v>
      </c>
      <c r="I67" t="s">
        <v>69</v>
      </c>
      <c r="J67" t="s">
        <v>30</v>
      </c>
      <c r="K67">
        <v>5</v>
      </c>
      <c r="L67">
        <v>57</v>
      </c>
      <c r="M67">
        <v>137200</v>
      </c>
      <c r="N67">
        <v>20600</v>
      </c>
      <c r="O67">
        <v>116600</v>
      </c>
      <c r="P67">
        <v>62900</v>
      </c>
      <c r="Q67">
        <v>53700</v>
      </c>
      <c r="R67">
        <v>46.05</v>
      </c>
      <c r="S67" t="s">
        <v>58</v>
      </c>
      <c r="T67">
        <v>7400</v>
      </c>
      <c r="U67">
        <v>4.7</v>
      </c>
      <c r="V67" t="s">
        <v>82</v>
      </c>
    </row>
    <row r="68" spans="1:22" x14ac:dyDescent="0.3">
      <c r="A68" t="s">
        <v>5221</v>
      </c>
      <c r="B68" t="s">
        <v>688</v>
      </c>
      <c r="C68" t="s">
        <v>689</v>
      </c>
      <c r="D68" s="2">
        <v>45693</v>
      </c>
      <c r="E68" t="s">
        <v>244</v>
      </c>
      <c r="F68" t="s">
        <v>244</v>
      </c>
      <c r="G68" t="s">
        <v>48</v>
      </c>
      <c r="H68" t="s">
        <v>68</v>
      </c>
      <c r="I68" t="s">
        <v>69</v>
      </c>
      <c r="J68" t="s">
        <v>162</v>
      </c>
      <c r="K68">
        <v>4</v>
      </c>
      <c r="L68">
        <v>8</v>
      </c>
      <c r="M68">
        <v>60200</v>
      </c>
      <c r="N68">
        <v>0</v>
      </c>
      <c r="O68">
        <v>60200</v>
      </c>
      <c r="P68">
        <v>45100</v>
      </c>
      <c r="Q68">
        <v>15100</v>
      </c>
      <c r="R68">
        <v>25.08</v>
      </c>
      <c r="S68" t="s">
        <v>79</v>
      </c>
      <c r="T68">
        <v>7200</v>
      </c>
      <c r="U68">
        <v>3.3</v>
      </c>
      <c r="V68" t="s">
        <v>42</v>
      </c>
    </row>
    <row r="69" spans="1:22" x14ac:dyDescent="0.3">
      <c r="A69" t="s">
        <v>4901</v>
      </c>
      <c r="B69" t="s">
        <v>2963</v>
      </c>
      <c r="C69" t="s">
        <v>2964</v>
      </c>
      <c r="D69" s="2">
        <v>45694</v>
      </c>
      <c r="E69" t="s">
        <v>134</v>
      </c>
      <c r="F69" t="s">
        <v>134</v>
      </c>
      <c r="G69" t="s">
        <v>48</v>
      </c>
      <c r="H69" t="s">
        <v>214</v>
      </c>
      <c r="I69" t="s">
        <v>29</v>
      </c>
      <c r="J69" t="s">
        <v>70</v>
      </c>
      <c r="K69">
        <v>2</v>
      </c>
      <c r="L69">
        <v>55</v>
      </c>
      <c r="M69">
        <v>28400</v>
      </c>
      <c r="N69">
        <v>1400</v>
      </c>
      <c r="O69">
        <v>27000</v>
      </c>
      <c r="P69">
        <v>19800</v>
      </c>
      <c r="Q69">
        <v>7200</v>
      </c>
      <c r="R69">
        <v>26.67</v>
      </c>
      <c r="S69" t="s">
        <v>39</v>
      </c>
      <c r="T69">
        <v>1300</v>
      </c>
      <c r="U69">
        <v>4.7</v>
      </c>
      <c r="V69" t="s">
        <v>114</v>
      </c>
    </row>
    <row r="70" spans="1:22" x14ac:dyDescent="0.3">
      <c r="A70" t="s">
        <v>3175</v>
      </c>
      <c r="B70" t="s">
        <v>2890</v>
      </c>
      <c r="C70" t="s">
        <v>2891</v>
      </c>
      <c r="D70" s="2">
        <v>45694</v>
      </c>
      <c r="E70" t="s">
        <v>282</v>
      </c>
      <c r="F70" t="s">
        <v>282</v>
      </c>
      <c r="G70" t="s">
        <v>580</v>
      </c>
      <c r="H70" t="s">
        <v>229</v>
      </c>
      <c r="I70" t="s">
        <v>69</v>
      </c>
      <c r="J70" t="s">
        <v>30</v>
      </c>
      <c r="K70">
        <v>4</v>
      </c>
      <c r="L70">
        <v>46</v>
      </c>
      <c r="M70">
        <v>35000</v>
      </c>
      <c r="N70">
        <v>3500</v>
      </c>
      <c r="O70">
        <v>31500</v>
      </c>
      <c r="P70">
        <v>15400</v>
      </c>
      <c r="Q70">
        <v>16100</v>
      </c>
      <c r="R70">
        <v>51.11</v>
      </c>
      <c r="S70" t="s">
        <v>58</v>
      </c>
      <c r="T70">
        <v>3600</v>
      </c>
      <c r="U70">
        <v>4</v>
      </c>
      <c r="V70" t="s">
        <v>79</v>
      </c>
    </row>
    <row r="71" spans="1:22" x14ac:dyDescent="0.3">
      <c r="A71" t="s">
        <v>5115</v>
      </c>
      <c r="B71" t="s">
        <v>1318</v>
      </c>
      <c r="C71" t="s">
        <v>1319</v>
      </c>
      <c r="D71" s="2">
        <v>45694</v>
      </c>
      <c r="E71" t="s">
        <v>66</v>
      </c>
      <c r="F71" t="s">
        <v>66</v>
      </c>
      <c r="G71" t="s">
        <v>147</v>
      </c>
      <c r="H71" t="s">
        <v>49</v>
      </c>
      <c r="I71" t="s">
        <v>69</v>
      </c>
      <c r="J71" t="s">
        <v>30</v>
      </c>
      <c r="K71">
        <v>4</v>
      </c>
      <c r="L71">
        <v>45</v>
      </c>
      <c r="M71">
        <v>38400</v>
      </c>
      <c r="N71">
        <v>5800</v>
      </c>
      <c r="O71">
        <v>32600</v>
      </c>
      <c r="P71">
        <v>24500</v>
      </c>
      <c r="Q71">
        <v>8100</v>
      </c>
      <c r="R71">
        <v>24.85</v>
      </c>
      <c r="S71" t="s">
        <v>126</v>
      </c>
      <c r="T71">
        <v>2600</v>
      </c>
      <c r="U71">
        <v>4.4000000000000004</v>
      </c>
      <c r="V71" t="s">
        <v>58</v>
      </c>
    </row>
    <row r="72" spans="1:22" x14ac:dyDescent="0.3">
      <c r="A72" t="s">
        <v>4801</v>
      </c>
      <c r="B72" t="s">
        <v>706</v>
      </c>
      <c r="C72" t="s">
        <v>707</v>
      </c>
      <c r="D72" s="2">
        <v>45695</v>
      </c>
      <c r="E72" t="s">
        <v>244</v>
      </c>
      <c r="F72" t="s">
        <v>244</v>
      </c>
      <c r="G72" t="s">
        <v>48</v>
      </c>
      <c r="H72" t="s">
        <v>88</v>
      </c>
      <c r="I72" t="s">
        <v>69</v>
      </c>
      <c r="J72" t="s">
        <v>30</v>
      </c>
      <c r="K72">
        <v>7</v>
      </c>
      <c r="L72">
        <v>35</v>
      </c>
      <c r="M72">
        <v>67800</v>
      </c>
      <c r="N72">
        <v>0</v>
      </c>
      <c r="O72">
        <v>67800</v>
      </c>
      <c r="P72">
        <v>55200</v>
      </c>
      <c r="Q72">
        <v>12600</v>
      </c>
      <c r="R72">
        <v>18.579999999999998</v>
      </c>
      <c r="S72" t="s">
        <v>182</v>
      </c>
      <c r="T72">
        <v>6600</v>
      </c>
      <c r="U72">
        <v>4.5999999999999996</v>
      </c>
      <c r="V72" t="s">
        <v>42</v>
      </c>
    </row>
    <row r="73" spans="1:22" x14ac:dyDescent="0.3">
      <c r="A73" t="s">
        <v>3849</v>
      </c>
      <c r="B73" t="s">
        <v>2928</v>
      </c>
      <c r="C73" t="s">
        <v>2929</v>
      </c>
      <c r="D73" s="2">
        <v>45695</v>
      </c>
      <c r="E73" t="s">
        <v>161</v>
      </c>
      <c r="F73" t="s">
        <v>161</v>
      </c>
      <c r="G73" t="s">
        <v>67</v>
      </c>
      <c r="H73" t="s">
        <v>28</v>
      </c>
      <c r="I73" t="s">
        <v>69</v>
      </c>
      <c r="J73" t="s">
        <v>162</v>
      </c>
      <c r="K73">
        <v>4</v>
      </c>
      <c r="L73">
        <v>27</v>
      </c>
      <c r="M73">
        <v>33900</v>
      </c>
      <c r="N73">
        <v>0</v>
      </c>
      <c r="O73">
        <v>33900</v>
      </c>
      <c r="P73">
        <v>18700</v>
      </c>
      <c r="Q73">
        <v>15200</v>
      </c>
      <c r="R73">
        <v>44.84</v>
      </c>
      <c r="S73" t="s">
        <v>58</v>
      </c>
      <c r="T73">
        <v>5300</v>
      </c>
      <c r="U73">
        <v>4.0999999999999996</v>
      </c>
      <c r="V73" t="s">
        <v>58</v>
      </c>
    </row>
    <row r="74" spans="1:22" x14ac:dyDescent="0.3">
      <c r="A74" t="s">
        <v>3663</v>
      </c>
      <c r="B74" t="s">
        <v>3351</v>
      </c>
      <c r="C74" t="s">
        <v>3352</v>
      </c>
      <c r="D74" s="2">
        <v>45695</v>
      </c>
      <c r="E74" t="s">
        <v>161</v>
      </c>
      <c r="F74" t="s">
        <v>161</v>
      </c>
      <c r="G74" t="s">
        <v>147</v>
      </c>
      <c r="H74" t="s">
        <v>268</v>
      </c>
      <c r="I74" t="s">
        <v>69</v>
      </c>
      <c r="J74" t="s">
        <v>30</v>
      </c>
      <c r="K74">
        <v>5</v>
      </c>
      <c r="L74">
        <v>13</v>
      </c>
      <c r="M74">
        <v>57700</v>
      </c>
      <c r="N74">
        <v>0</v>
      </c>
      <c r="O74">
        <v>57700</v>
      </c>
      <c r="P74">
        <v>33700</v>
      </c>
      <c r="Q74">
        <v>24000</v>
      </c>
      <c r="R74">
        <v>41.59</v>
      </c>
      <c r="S74" t="s">
        <v>126</v>
      </c>
      <c r="T74">
        <v>3600</v>
      </c>
      <c r="U74">
        <v>4.8</v>
      </c>
      <c r="V74" t="s">
        <v>58</v>
      </c>
    </row>
    <row r="75" spans="1:22" x14ac:dyDescent="0.3">
      <c r="A75" t="s">
        <v>2423</v>
      </c>
      <c r="B75" t="s">
        <v>1869</v>
      </c>
      <c r="C75" t="s">
        <v>1870</v>
      </c>
      <c r="D75" s="2">
        <v>45696</v>
      </c>
      <c r="E75" t="s">
        <v>161</v>
      </c>
      <c r="F75" t="s">
        <v>161</v>
      </c>
      <c r="G75" t="s">
        <v>147</v>
      </c>
      <c r="H75" t="s">
        <v>229</v>
      </c>
      <c r="I75" t="s">
        <v>29</v>
      </c>
      <c r="J75" t="s">
        <v>30</v>
      </c>
      <c r="K75">
        <v>10</v>
      </c>
      <c r="L75">
        <v>41</v>
      </c>
      <c r="M75">
        <v>48000</v>
      </c>
      <c r="N75">
        <v>0</v>
      </c>
      <c r="O75">
        <v>48000</v>
      </c>
      <c r="P75">
        <v>33600</v>
      </c>
      <c r="Q75">
        <v>14400</v>
      </c>
      <c r="R75">
        <v>30</v>
      </c>
      <c r="S75" t="s">
        <v>182</v>
      </c>
      <c r="T75">
        <v>6800</v>
      </c>
      <c r="U75">
        <v>4.7</v>
      </c>
      <c r="V75" t="s">
        <v>114</v>
      </c>
    </row>
    <row r="76" spans="1:22" x14ac:dyDescent="0.3">
      <c r="A76" t="s">
        <v>1653</v>
      </c>
      <c r="B76" t="s">
        <v>1349</v>
      </c>
      <c r="C76" t="s">
        <v>1350</v>
      </c>
      <c r="D76" s="2">
        <v>45696</v>
      </c>
      <c r="E76" t="s">
        <v>134</v>
      </c>
      <c r="F76" t="s">
        <v>134</v>
      </c>
      <c r="G76" t="s">
        <v>147</v>
      </c>
      <c r="H76" t="s">
        <v>28</v>
      </c>
      <c r="I76" t="s">
        <v>69</v>
      </c>
      <c r="J76" t="s">
        <v>30</v>
      </c>
      <c r="K76">
        <v>4</v>
      </c>
      <c r="L76">
        <v>14</v>
      </c>
      <c r="M76">
        <v>84000</v>
      </c>
      <c r="N76">
        <v>8400</v>
      </c>
      <c r="O76">
        <v>75600</v>
      </c>
      <c r="P76">
        <v>61300</v>
      </c>
      <c r="Q76">
        <v>14300</v>
      </c>
      <c r="R76">
        <v>18.920000000000002</v>
      </c>
      <c r="S76" t="s">
        <v>58</v>
      </c>
      <c r="T76">
        <v>13300</v>
      </c>
      <c r="U76">
        <v>3.1</v>
      </c>
      <c r="V76" t="s">
        <v>114</v>
      </c>
    </row>
    <row r="77" spans="1:22" x14ac:dyDescent="0.3">
      <c r="A77" t="s">
        <v>3001</v>
      </c>
      <c r="B77" t="s">
        <v>3002</v>
      </c>
      <c r="C77" t="s">
        <v>3003</v>
      </c>
      <c r="D77" s="2">
        <v>45696</v>
      </c>
      <c r="E77" t="s">
        <v>228</v>
      </c>
      <c r="F77" t="s">
        <v>228</v>
      </c>
      <c r="G77" t="s">
        <v>67</v>
      </c>
      <c r="H77" t="s">
        <v>229</v>
      </c>
      <c r="I77" t="s">
        <v>29</v>
      </c>
      <c r="J77" t="s">
        <v>30</v>
      </c>
      <c r="K77">
        <v>9</v>
      </c>
      <c r="L77">
        <v>52</v>
      </c>
      <c r="M77">
        <v>56200</v>
      </c>
      <c r="N77">
        <v>2800</v>
      </c>
      <c r="O77">
        <v>53400</v>
      </c>
      <c r="P77">
        <v>43500</v>
      </c>
      <c r="Q77">
        <v>9900</v>
      </c>
      <c r="R77">
        <v>18.54</v>
      </c>
      <c r="S77" t="s">
        <v>182</v>
      </c>
      <c r="T77">
        <v>7600</v>
      </c>
      <c r="U77">
        <v>3.9</v>
      </c>
      <c r="V77" t="s">
        <v>114</v>
      </c>
    </row>
    <row r="78" spans="1:22" x14ac:dyDescent="0.3">
      <c r="A78" t="s">
        <v>4925</v>
      </c>
      <c r="B78" t="s">
        <v>825</v>
      </c>
      <c r="C78" t="s">
        <v>826</v>
      </c>
      <c r="D78" s="2">
        <v>45697</v>
      </c>
      <c r="E78" t="s">
        <v>282</v>
      </c>
      <c r="F78" t="s">
        <v>282</v>
      </c>
      <c r="G78" t="s">
        <v>580</v>
      </c>
      <c r="H78" t="s">
        <v>68</v>
      </c>
      <c r="I78" t="s">
        <v>29</v>
      </c>
      <c r="J78" t="s">
        <v>30</v>
      </c>
      <c r="K78">
        <v>8</v>
      </c>
      <c r="L78">
        <v>58</v>
      </c>
      <c r="M78">
        <v>89400</v>
      </c>
      <c r="N78">
        <v>17900</v>
      </c>
      <c r="O78">
        <v>71500</v>
      </c>
      <c r="P78">
        <v>71500</v>
      </c>
      <c r="Q78">
        <v>0</v>
      </c>
      <c r="R78">
        <v>0</v>
      </c>
      <c r="S78" t="s">
        <v>5471</v>
      </c>
      <c r="T78">
        <v>3400</v>
      </c>
      <c r="U78">
        <v>5</v>
      </c>
      <c r="V78" t="s">
        <v>58</v>
      </c>
    </row>
    <row r="79" spans="1:22" x14ac:dyDescent="0.3">
      <c r="A79" t="s">
        <v>5400</v>
      </c>
      <c r="B79" t="s">
        <v>414</v>
      </c>
      <c r="C79" t="s">
        <v>415</v>
      </c>
      <c r="D79" s="2">
        <v>45697</v>
      </c>
      <c r="E79" t="s">
        <v>188</v>
      </c>
      <c r="F79" t="s">
        <v>188</v>
      </c>
      <c r="G79" t="s">
        <v>147</v>
      </c>
      <c r="H79" t="s">
        <v>28</v>
      </c>
      <c r="I79" t="s">
        <v>69</v>
      </c>
      <c r="J79" t="s">
        <v>162</v>
      </c>
      <c r="K79">
        <v>4</v>
      </c>
      <c r="L79">
        <v>54</v>
      </c>
      <c r="M79">
        <v>32900</v>
      </c>
      <c r="N79">
        <v>6600</v>
      </c>
      <c r="O79">
        <v>26300</v>
      </c>
      <c r="P79">
        <v>22900</v>
      </c>
      <c r="Q79">
        <v>3400</v>
      </c>
      <c r="R79">
        <v>12.93</v>
      </c>
      <c r="S79" t="s">
        <v>39</v>
      </c>
      <c r="T79">
        <v>1700</v>
      </c>
      <c r="U79">
        <v>2.7</v>
      </c>
      <c r="V79" t="s">
        <v>58</v>
      </c>
    </row>
    <row r="80" spans="1:22" x14ac:dyDescent="0.3">
      <c r="A80" t="s">
        <v>5044</v>
      </c>
      <c r="B80" t="s">
        <v>2464</v>
      </c>
      <c r="C80" t="s">
        <v>2465</v>
      </c>
      <c r="D80" s="2">
        <v>45698</v>
      </c>
      <c r="E80" t="s">
        <v>282</v>
      </c>
      <c r="F80" t="s">
        <v>282</v>
      </c>
      <c r="G80" t="s">
        <v>118</v>
      </c>
      <c r="H80" t="s">
        <v>88</v>
      </c>
      <c r="I80" t="s">
        <v>29</v>
      </c>
      <c r="J80" t="s">
        <v>162</v>
      </c>
      <c r="K80">
        <v>3</v>
      </c>
      <c r="L80">
        <v>41</v>
      </c>
      <c r="M80">
        <v>54200</v>
      </c>
      <c r="N80">
        <v>2700</v>
      </c>
      <c r="O80">
        <v>51500</v>
      </c>
      <c r="P80">
        <v>30400</v>
      </c>
      <c r="Q80">
        <v>21100</v>
      </c>
      <c r="R80">
        <v>40.97</v>
      </c>
      <c r="S80" t="s">
        <v>182</v>
      </c>
      <c r="T80">
        <v>3000</v>
      </c>
      <c r="U80">
        <v>4.0999999999999996</v>
      </c>
      <c r="V80" t="s">
        <v>82</v>
      </c>
    </row>
    <row r="81" spans="1:22" x14ac:dyDescent="0.3">
      <c r="A81" t="s">
        <v>2469</v>
      </c>
      <c r="B81" t="s">
        <v>2470</v>
      </c>
      <c r="C81" t="s">
        <v>2471</v>
      </c>
      <c r="D81" s="2">
        <v>45698</v>
      </c>
      <c r="E81" t="s">
        <v>66</v>
      </c>
      <c r="F81" t="s">
        <v>66</v>
      </c>
      <c r="G81" t="s">
        <v>580</v>
      </c>
      <c r="H81" t="s">
        <v>229</v>
      </c>
      <c r="I81" t="s">
        <v>29</v>
      </c>
      <c r="J81" t="s">
        <v>30</v>
      </c>
      <c r="K81">
        <v>10</v>
      </c>
      <c r="L81">
        <v>40</v>
      </c>
      <c r="M81">
        <v>28200</v>
      </c>
      <c r="N81">
        <v>0</v>
      </c>
      <c r="O81">
        <v>28200</v>
      </c>
      <c r="P81">
        <v>11800</v>
      </c>
      <c r="Q81">
        <v>16400</v>
      </c>
      <c r="R81">
        <v>58.16</v>
      </c>
      <c r="S81" t="s">
        <v>79</v>
      </c>
      <c r="T81">
        <v>4200</v>
      </c>
      <c r="U81">
        <v>4.8</v>
      </c>
      <c r="V81" t="s">
        <v>42</v>
      </c>
    </row>
    <row r="82" spans="1:22" x14ac:dyDescent="0.3">
      <c r="A82" t="s">
        <v>5437</v>
      </c>
      <c r="B82" t="s">
        <v>1546</v>
      </c>
      <c r="C82" t="s">
        <v>1547</v>
      </c>
      <c r="D82" s="2">
        <v>45698</v>
      </c>
      <c r="E82" t="s">
        <v>282</v>
      </c>
      <c r="F82" t="s">
        <v>282</v>
      </c>
      <c r="G82" t="s">
        <v>48</v>
      </c>
      <c r="H82" t="s">
        <v>214</v>
      </c>
      <c r="I82" t="s">
        <v>29</v>
      </c>
      <c r="J82" t="s">
        <v>162</v>
      </c>
      <c r="K82">
        <v>4</v>
      </c>
      <c r="L82">
        <v>24</v>
      </c>
      <c r="M82">
        <v>27100</v>
      </c>
      <c r="N82">
        <v>0</v>
      </c>
      <c r="O82">
        <v>27100</v>
      </c>
      <c r="P82">
        <v>17300</v>
      </c>
      <c r="Q82">
        <v>9800</v>
      </c>
      <c r="R82">
        <v>36.159999999999997</v>
      </c>
      <c r="S82" t="s">
        <v>79</v>
      </c>
      <c r="T82">
        <v>1100</v>
      </c>
      <c r="U82">
        <v>3.9</v>
      </c>
      <c r="V82" t="s">
        <v>42</v>
      </c>
    </row>
    <row r="83" spans="1:22" x14ac:dyDescent="0.3">
      <c r="A83" t="s">
        <v>2595</v>
      </c>
      <c r="B83" t="s">
        <v>100</v>
      </c>
      <c r="C83" t="s">
        <v>101</v>
      </c>
      <c r="D83" s="2">
        <v>45699</v>
      </c>
      <c r="E83" t="s">
        <v>26</v>
      </c>
      <c r="F83" t="s">
        <v>26</v>
      </c>
      <c r="G83" t="s">
        <v>213</v>
      </c>
      <c r="H83" t="s">
        <v>68</v>
      </c>
      <c r="I83" t="s">
        <v>69</v>
      </c>
      <c r="J83" t="s">
        <v>30</v>
      </c>
      <c r="K83">
        <v>8</v>
      </c>
      <c r="L83">
        <v>38</v>
      </c>
      <c r="M83">
        <v>53200</v>
      </c>
      <c r="N83">
        <v>0</v>
      </c>
      <c r="O83">
        <v>53200</v>
      </c>
      <c r="P83">
        <v>27900</v>
      </c>
      <c r="Q83">
        <v>25300</v>
      </c>
      <c r="R83">
        <v>47.56</v>
      </c>
      <c r="S83" t="s">
        <v>182</v>
      </c>
      <c r="T83">
        <v>9000</v>
      </c>
      <c r="U83">
        <v>3.8</v>
      </c>
      <c r="V83" t="s">
        <v>82</v>
      </c>
    </row>
    <row r="84" spans="1:22" x14ac:dyDescent="0.3">
      <c r="A84" t="s">
        <v>5364</v>
      </c>
      <c r="B84" t="s">
        <v>264</v>
      </c>
      <c r="C84" t="s">
        <v>265</v>
      </c>
      <c r="D84" s="2">
        <v>45700</v>
      </c>
      <c r="E84" t="s">
        <v>244</v>
      </c>
      <c r="F84" t="s">
        <v>244</v>
      </c>
      <c r="G84" t="s">
        <v>213</v>
      </c>
      <c r="H84" t="s">
        <v>229</v>
      </c>
      <c r="I84" t="s">
        <v>69</v>
      </c>
      <c r="J84" t="s">
        <v>162</v>
      </c>
      <c r="K84">
        <v>5</v>
      </c>
      <c r="L84">
        <v>27</v>
      </c>
      <c r="M84">
        <v>71900</v>
      </c>
      <c r="N84">
        <v>0</v>
      </c>
      <c r="O84">
        <v>71900</v>
      </c>
      <c r="P84">
        <v>50500</v>
      </c>
      <c r="Q84">
        <v>21400</v>
      </c>
      <c r="R84">
        <v>29.76</v>
      </c>
      <c r="S84" t="s">
        <v>97</v>
      </c>
      <c r="T84">
        <v>11300</v>
      </c>
      <c r="U84">
        <v>4.2</v>
      </c>
      <c r="V84" t="s">
        <v>42</v>
      </c>
    </row>
    <row r="85" spans="1:22" x14ac:dyDescent="0.3">
      <c r="A85" t="s">
        <v>4854</v>
      </c>
      <c r="B85" t="s">
        <v>1459</v>
      </c>
      <c r="C85" t="s">
        <v>1460</v>
      </c>
      <c r="D85" s="2">
        <v>45700</v>
      </c>
      <c r="E85" t="s">
        <v>228</v>
      </c>
      <c r="F85" t="s">
        <v>228</v>
      </c>
      <c r="G85" t="s">
        <v>118</v>
      </c>
      <c r="H85" t="s">
        <v>5470</v>
      </c>
      <c r="I85" t="s">
        <v>29</v>
      </c>
      <c r="J85" t="s">
        <v>30</v>
      </c>
      <c r="K85">
        <v>5</v>
      </c>
      <c r="L85">
        <v>38</v>
      </c>
      <c r="M85">
        <v>38400</v>
      </c>
      <c r="N85">
        <v>3800</v>
      </c>
      <c r="O85">
        <v>34600</v>
      </c>
      <c r="P85">
        <v>22300</v>
      </c>
      <c r="Q85">
        <v>12300</v>
      </c>
      <c r="R85">
        <v>35.549999999999997</v>
      </c>
      <c r="S85" t="s">
        <v>126</v>
      </c>
      <c r="T85">
        <v>6100</v>
      </c>
      <c r="U85">
        <v>3.7</v>
      </c>
      <c r="V85" t="s">
        <v>82</v>
      </c>
    </row>
    <row r="86" spans="1:22" x14ac:dyDescent="0.3">
      <c r="A86" t="s">
        <v>3666</v>
      </c>
      <c r="B86" t="s">
        <v>173</v>
      </c>
      <c r="C86" t="s">
        <v>174</v>
      </c>
      <c r="D86" s="2">
        <v>45701</v>
      </c>
      <c r="E86" t="s">
        <v>228</v>
      </c>
      <c r="F86" t="s">
        <v>228</v>
      </c>
      <c r="G86" t="s">
        <v>27</v>
      </c>
      <c r="H86" t="s">
        <v>229</v>
      </c>
      <c r="I86" t="s">
        <v>69</v>
      </c>
      <c r="J86" t="s">
        <v>70</v>
      </c>
      <c r="K86">
        <v>9</v>
      </c>
      <c r="L86">
        <v>22</v>
      </c>
      <c r="M86">
        <v>46800</v>
      </c>
      <c r="N86">
        <v>7000</v>
      </c>
      <c r="O86">
        <v>39800</v>
      </c>
      <c r="P86">
        <v>26700</v>
      </c>
      <c r="Q86">
        <v>13100</v>
      </c>
      <c r="R86">
        <v>32.909999999999997</v>
      </c>
      <c r="S86" t="s">
        <v>182</v>
      </c>
      <c r="T86">
        <v>2600</v>
      </c>
      <c r="U86">
        <v>4.7</v>
      </c>
      <c r="V86" t="s">
        <v>82</v>
      </c>
    </row>
    <row r="87" spans="1:22" x14ac:dyDescent="0.3">
      <c r="A87" t="s">
        <v>530</v>
      </c>
      <c r="B87" t="s">
        <v>531</v>
      </c>
      <c r="C87" t="s">
        <v>532</v>
      </c>
      <c r="D87" s="2">
        <v>45703</v>
      </c>
      <c r="E87" t="s">
        <v>134</v>
      </c>
      <c r="F87" t="s">
        <v>134</v>
      </c>
      <c r="G87" t="s">
        <v>118</v>
      </c>
      <c r="H87" t="s">
        <v>28</v>
      </c>
      <c r="I87" t="s">
        <v>29</v>
      </c>
      <c r="J87" t="s">
        <v>30</v>
      </c>
      <c r="K87">
        <v>8</v>
      </c>
      <c r="L87">
        <v>54</v>
      </c>
      <c r="M87">
        <v>31800</v>
      </c>
      <c r="N87">
        <v>0</v>
      </c>
      <c r="O87">
        <v>31800</v>
      </c>
      <c r="P87">
        <v>23700</v>
      </c>
      <c r="Q87">
        <v>8100</v>
      </c>
      <c r="R87">
        <v>25.47</v>
      </c>
      <c r="S87" t="s">
        <v>39</v>
      </c>
      <c r="T87">
        <v>4000</v>
      </c>
      <c r="U87">
        <v>3.3</v>
      </c>
      <c r="V87" t="s">
        <v>82</v>
      </c>
    </row>
    <row r="88" spans="1:22" x14ac:dyDescent="0.3">
      <c r="A88" t="s">
        <v>3167</v>
      </c>
      <c r="B88" t="s">
        <v>2856</v>
      </c>
      <c r="C88" t="s">
        <v>2857</v>
      </c>
      <c r="D88" s="2">
        <v>45704</v>
      </c>
      <c r="E88" t="s">
        <v>161</v>
      </c>
      <c r="F88" t="s">
        <v>161</v>
      </c>
      <c r="G88" t="s">
        <v>103</v>
      </c>
      <c r="H88" t="s">
        <v>88</v>
      </c>
      <c r="I88" t="s">
        <v>69</v>
      </c>
      <c r="J88" t="s">
        <v>30</v>
      </c>
      <c r="K88">
        <v>7</v>
      </c>
      <c r="L88">
        <v>41</v>
      </c>
      <c r="M88">
        <v>26900</v>
      </c>
      <c r="N88">
        <v>1300</v>
      </c>
      <c r="O88">
        <v>25600</v>
      </c>
      <c r="P88">
        <v>16300</v>
      </c>
      <c r="Q88">
        <v>9300</v>
      </c>
      <c r="R88">
        <v>36.33</v>
      </c>
      <c r="S88" t="s">
        <v>97</v>
      </c>
      <c r="T88">
        <v>4500</v>
      </c>
      <c r="U88">
        <v>5</v>
      </c>
      <c r="V88" t="s">
        <v>114</v>
      </c>
    </row>
    <row r="89" spans="1:22" x14ac:dyDescent="0.3">
      <c r="A89" t="s">
        <v>1840</v>
      </c>
      <c r="B89" t="s">
        <v>1841</v>
      </c>
      <c r="C89" t="s">
        <v>1842</v>
      </c>
      <c r="D89" s="2">
        <v>45705</v>
      </c>
      <c r="E89" t="s">
        <v>282</v>
      </c>
      <c r="F89" t="s">
        <v>282</v>
      </c>
      <c r="G89" t="s">
        <v>147</v>
      </c>
      <c r="H89" t="s">
        <v>68</v>
      </c>
      <c r="I89" t="s">
        <v>29</v>
      </c>
      <c r="J89" t="s">
        <v>70</v>
      </c>
      <c r="K89">
        <v>3</v>
      </c>
      <c r="L89">
        <v>18</v>
      </c>
      <c r="M89">
        <v>37300</v>
      </c>
      <c r="N89">
        <v>3700</v>
      </c>
      <c r="O89">
        <v>33600</v>
      </c>
      <c r="P89">
        <v>30500</v>
      </c>
      <c r="Q89">
        <v>3100</v>
      </c>
      <c r="R89">
        <v>9.23</v>
      </c>
      <c r="S89" t="s">
        <v>126</v>
      </c>
      <c r="T89">
        <v>2500</v>
      </c>
      <c r="U89">
        <v>3.7</v>
      </c>
      <c r="V89" t="s">
        <v>42</v>
      </c>
    </row>
    <row r="90" spans="1:22" x14ac:dyDescent="0.3">
      <c r="A90" t="s">
        <v>5284</v>
      </c>
      <c r="B90" t="s">
        <v>1446</v>
      </c>
      <c r="C90" t="s">
        <v>1447</v>
      </c>
      <c r="D90" s="2">
        <v>45706</v>
      </c>
      <c r="E90" t="s">
        <v>66</v>
      </c>
      <c r="F90" t="s">
        <v>66</v>
      </c>
      <c r="G90" t="s">
        <v>67</v>
      </c>
      <c r="H90" t="s">
        <v>68</v>
      </c>
      <c r="I90" t="s">
        <v>69</v>
      </c>
      <c r="J90" t="s">
        <v>30</v>
      </c>
      <c r="K90">
        <v>7</v>
      </c>
      <c r="L90">
        <v>6</v>
      </c>
      <c r="M90">
        <v>81500</v>
      </c>
      <c r="N90">
        <v>8200</v>
      </c>
      <c r="O90">
        <v>73300</v>
      </c>
      <c r="P90">
        <v>51900</v>
      </c>
      <c r="Q90">
        <v>21400</v>
      </c>
      <c r="R90">
        <v>29.2</v>
      </c>
      <c r="S90" t="s">
        <v>79</v>
      </c>
      <c r="T90">
        <v>9400</v>
      </c>
      <c r="U90">
        <v>2.6</v>
      </c>
      <c r="V90" t="s">
        <v>58</v>
      </c>
    </row>
    <row r="91" spans="1:22" x14ac:dyDescent="0.3">
      <c r="A91" t="s">
        <v>3477</v>
      </c>
      <c r="B91" t="s">
        <v>1186</v>
      </c>
      <c r="C91" t="s">
        <v>1187</v>
      </c>
      <c r="D91" s="2">
        <v>45706</v>
      </c>
      <c r="E91" t="s">
        <v>188</v>
      </c>
      <c r="F91" t="s">
        <v>188</v>
      </c>
      <c r="G91" t="s">
        <v>213</v>
      </c>
      <c r="H91" t="s">
        <v>68</v>
      </c>
      <c r="I91" t="s">
        <v>29</v>
      </c>
      <c r="J91" t="s">
        <v>30</v>
      </c>
      <c r="K91">
        <v>4</v>
      </c>
      <c r="L91">
        <v>47</v>
      </c>
      <c r="M91">
        <v>45800</v>
      </c>
      <c r="N91">
        <v>6900</v>
      </c>
      <c r="O91">
        <v>38900</v>
      </c>
      <c r="P91">
        <v>21300</v>
      </c>
      <c r="Q91">
        <v>17600</v>
      </c>
      <c r="R91">
        <v>45.24</v>
      </c>
      <c r="S91" t="s">
        <v>97</v>
      </c>
      <c r="T91">
        <v>2800</v>
      </c>
      <c r="U91">
        <v>4.5</v>
      </c>
      <c r="V91" t="s">
        <v>58</v>
      </c>
    </row>
    <row r="92" spans="1:22" x14ac:dyDescent="0.3">
      <c r="A92" t="s">
        <v>3783</v>
      </c>
      <c r="B92" t="s">
        <v>2410</v>
      </c>
      <c r="C92" t="s">
        <v>2411</v>
      </c>
      <c r="D92" s="2">
        <v>45706</v>
      </c>
      <c r="E92" t="s">
        <v>66</v>
      </c>
      <c r="F92" t="s">
        <v>66</v>
      </c>
      <c r="G92" t="s">
        <v>27</v>
      </c>
      <c r="H92" t="s">
        <v>28</v>
      </c>
      <c r="I92" t="s">
        <v>69</v>
      </c>
      <c r="J92" t="s">
        <v>30</v>
      </c>
      <c r="K92">
        <v>10</v>
      </c>
      <c r="L92">
        <v>34</v>
      </c>
      <c r="M92">
        <v>33300</v>
      </c>
      <c r="N92">
        <v>0</v>
      </c>
      <c r="O92">
        <v>33300</v>
      </c>
      <c r="P92">
        <v>14500</v>
      </c>
      <c r="Q92">
        <v>18800</v>
      </c>
      <c r="R92">
        <v>56.46</v>
      </c>
      <c r="S92" t="s">
        <v>58</v>
      </c>
      <c r="T92">
        <v>5100</v>
      </c>
      <c r="U92">
        <v>3.1</v>
      </c>
      <c r="V92" t="s">
        <v>42</v>
      </c>
    </row>
    <row r="93" spans="1:22" x14ac:dyDescent="0.3">
      <c r="A93" t="s">
        <v>2447</v>
      </c>
      <c r="B93" t="s">
        <v>1318</v>
      </c>
      <c r="C93" t="s">
        <v>1319</v>
      </c>
      <c r="D93" s="2">
        <v>45707</v>
      </c>
      <c r="E93" t="s">
        <v>244</v>
      </c>
      <c r="F93" t="s">
        <v>244</v>
      </c>
      <c r="G93" t="s">
        <v>147</v>
      </c>
      <c r="H93" t="s">
        <v>5470</v>
      </c>
      <c r="I93" t="s">
        <v>69</v>
      </c>
      <c r="J93" t="s">
        <v>70</v>
      </c>
      <c r="K93">
        <v>3</v>
      </c>
      <c r="L93">
        <v>59</v>
      </c>
      <c r="M93">
        <v>27700</v>
      </c>
      <c r="N93">
        <v>5500</v>
      </c>
      <c r="O93">
        <v>22200</v>
      </c>
      <c r="P93">
        <v>21500</v>
      </c>
      <c r="Q93">
        <v>700</v>
      </c>
      <c r="R93">
        <v>3.15</v>
      </c>
      <c r="S93" t="s">
        <v>58</v>
      </c>
      <c r="T93">
        <v>2300</v>
      </c>
      <c r="U93">
        <v>4.3</v>
      </c>
      <c r="V93" t="s">
        <v>79</v>
      </c>
    </row>
    <row r="94" spans="1:22" x14ac:dyDescent="0.3">
      <c r="A94" t="s">
        <v>1545</v>
      </c>
      <c r="B94" t="s">
        <v>1546</v>
      </c>
      <c r="C94" t="s">
        <v>1547</v>
      </c>
      <c r="D94" s="2">
        <v>45709</v>
      </c>
      <c r="E94" t="s">
        <v>228</v>
      </c>
      <c r="F94" t="s">
        <v>228</v>
      </c>
      <c r="G94" t="s">
        <v>103</v>
      </c>
      <c r="H94" t="s">
        <v>68</v>
      </c>
      <c r="I94" t="s">
        <v>29</v>
      </c>
      <c r="J94" t="s">
        <v>162</v>
      </c>
      <c r="K94">
        <v>6</v>
      </c>
      <c r="L94">
        <v>33</v>
      </c>
      <c r="M94">
        <v>109200</v>
      </c>
      <c r="N94">
        <v>0</v>
      </c>
      <c r="O94">
        <v>109200</v>
      </c>
      <c r="P94">
        <v>56700</v>
      </c>
      <c r="Q94">
        <v>52500</v>
      </c>
      <c r="R94">
        <v>48.08</v>
      </c>
      <c r="S94" t="s">
        <v>126</v>
      </c>
      <c r="T94">
        <v>7400</v>
      </c>
      <c r="U94">
        <v>5</v>
      </c>
      <c r="V94" t="s">
        <v>58</v>
      </c>
    </row>
    <row r="95" spans="1:22" x14ac:dyDescent="0.3">
      <c r="A95" t="s">
        <v>1637</v>
      </c>
      <c r="B95" t="s">
        <v>1638</v>
      </c>
      <c r="C95" t="s">
        <v>1639</v>
      </c>
      <c r="D95" s="2">
        <v>45709</v>
      </c>
      <c r="E95" t="s">
        <v>134</v>
      </c>
      <c r="F95" t="s">
        <v>134</v>
      </c>
      <c r="G95" t="s">
        <v>147</v>
      </c>
      <c r="H95" t="s">
        <v>5470</v>
      </c>
      <c r="I95" t="s">
        <v>29</v>
      </c>
      <c r="J95" t="s">
        <v>30</v>
      </c>
      <c r="K95">
        <v>10</v>
      </c>
      <c r="L95">
        <v>10</v>
      </c>
      <c r="M95">
        <v>88000</v>
      </c>
      <c r="N95">
        <v>0</v>
      </c>
      <c r="O95">
        <v>88000</v>
      </c>
      <c r="P95">
        <v>45300</v>
      </c>
      <c r="Q95">
        <v>42700</v>
      </c>
      <c r="R95">
        <v>48.52</v>
      </c>
      <c r="S95" t="s">
        <v>58</v>
      </c>
      <c r="T95">
        <v>12300</v>
      </c>
      <c r="U95">
        <v>4</v>
      </c>
      <c r="V95" t="s">
        <v>82</v>
      </c>
    </row>
    <row r="96" spans="1:22" x14ac:dyDescent="0.3">
      <c r="A96" t="s">
        <v>3833</v>
      </c>
      <c r="B96" t="s">
        <v>631</v>
      </c>
      <c r="C96" t="s">
        <v>632</v>
      </c>
      <c r="D96" s="2">
        <v>45709</v>
      </c>
      <c r="E96" t="s">
        <v>26</v>
      </c>
      <c r="F96" t="s">
        <v>26</v>
      </c>
      <c r="G96" t="s">
        <v>27</v>
      </c>
      <c r="H96" t="s">
        <v>5470</v>
      </c>
      <c r="I96" t="s">
        <v>69</v>
      </c>
      <c r="J96" t="s">
        <v>70</v>
      </c>
      <c r="K96">
        <v>9</v>
      </c>
      <c r="L96">
        <v>70</v>
      </c>
      <c r="M96">
        <v>29600</v>
      </c>
      <c r="N96">
        <v>0</v>
      </c>
      <c r="O96">
        <v>29600</v>
      </c>
      <c r="P96">
        <v>18400</v>
      </c>
      <c r="Q96">
        <v>11200</v>
      </c>
      <c r="R96">
        <v>37.840000000000003</v>
      </c>
      <c r="S96" t="s">
        <v>182</v>
      </c>
      <c r="T96">
        <v>5100</v>
      </c>
      <c r="U96">
        <v>5</v>
      </c>
      <c r="V96" t="s">
        <v>42</v>
      </c>
    </row>
    <row r="97" spans="1:22" x14ac:dyDescent="0.3">
      <c r="A97" t="s">
        <v>3216</v>
      </c>
      <c r="B97" t="s">
        <v>387</v>
      </c>
      <c r="C97" t="s">
        <v>388</v>
      </c>
      <c r="D97" s="2">
        <v>45709</v>
      </c>
      <c r="E97" t="s">
        <v>282</v>
      </c>
      <c r="F97" t="s">
        <v>282</v>
      </c>
      <c r="G97" t="s">
        <v>48</v>
      </c>
      <c r="H97" t="s">
        <v>28</v>
      </c>
      <c r="I97" t="s">
        <v>69</v>
      </c>
      <c r="J97" t="s">
        <v>30</v>
      </c>
      <c r="K97">
        <v>3</v>
      </c>
      <c r="L97">
        <v>40</v>
      </c>
      <c r="M97">
        <v>37900</v>
      </c>
      <c r="N97">
        <v>0</v>
      </c>
      <c r="O97">
        <v>37900</v>
      </c>
      <c r="P97">
        <v>30600</v>
      </c>
      <c r="Q97">
        <v>7300</v>
      </c>
      <c r="R97">
        <v>19.260000000000002</v>
      </c>
      <c r="S97" t="s">
        <v>79</v>
      </c>
      <c r="T97">
        <v>3200</v>
      </c>
      <c r="U97">
        <v>3.7</v>
      </c>
      <c r="V97" t="s">
        <v>58</v>
      </c>
    </row>
    <row r="98" spans="1:22" x14ac:dyDescent="0.3">
      <c r="A98" t="s">
        <v>4353</v>
      </c>
      <c r="B98" t="s">
        <v>1701</v>
      </c>
      <c r="C98" t="s">
        <v>1702</v>
      </c>
      <c r="D98" s="2">
        <v>45710</v>
      </c>
      <c r="E98" t="s">
        <v>134</v>
      </c>
      <c r="F98" t="s">
        <v>134</v>
      </c>
      <c r="G98" t="s">
        <v>103</v>
      </c>
      <c r="H98" t="s">
        <v>49</v>
      </c>
      <c r="I98" t="s">
        <v>29</v>
      </c>
      <c r="J98" t="s">
        <v>30</v>
      </c>
      <c r="K98">
        <v>8</v>
      </c>
      <c r="L98">
        <v>49</v>
      </c>
      <c r="M98">
        <v>51500</v>
      </c>
      <c r="N98">
        <v>5200</v>
      </c>
      <c r="O98">
        <v>46300</v>
      </c>
      <c r="P98">
        <v>36700</v>
      </c>
      <c r="Q98">
        <v>9600</v>
      </c>
      <c r="R98">
        <v>20.73</v>
      </c>
      <c r="S98" t="s">
        <v>126</v>
      </c>
      <c r="T98">
        <v>7300</v>
      </c>
      <c r="U98">
        <v>4.8</v>
      </c>
      <c r="V98" t="s">
        <v>79</v>
      </c>
    </row>
    <row r="99" spans="1:22" x14ac:dyDescent="0.3">
      <c r="A99" t="s">
        <v>1598</v>
      </c>
      <c r="B99" t="s">
        <v>1343</v>
      </c>
      <c r="C99" t="s">
        <v>1344</v>
      </c>
      <c r="D99" s="2">
        <v>45710</v>
      </c>
      <c r="E99" t="s">
        <v>134</v>
      </c>
      <c r="F99" t="s">
        <v>134</v>
      </c>
      <c r="G99" t="s">
        <v>213</v>
      </c>
      <c r="H99" t="s">
        <v>49</v>
      </c>
      <c r="I99" t="s">
        <v>69</v>
      </c>
      <c r="J99" t="s">
        <v>30</v>
      </c>
      <c r="K99">
        <v>9</v>
      </c>
      <c r="L99">
        <v>41</v>
      </c>
      <c r="M99">
        <v>138900</v>
      </c>
      <c r="N99">
        <v>0</v>
      </c>
      <c r="O99">
        <v>138900</v>
      </c>
      <c r="P99">
        <v>87600</v>
      </c>
      <c r="Q99">
        <v>51300</v>
      </c>
      <c r="R99">
        <v>36.93</v>
      </c>
      <c r="S99" t="s">
        <v>39</v>
      </c>
      <c r="T99">
        <v>14100</v>
      </c>
      <c r="U99">
        <v>3.7</v>
      </c>
      <c r="V99" t="s">
        <v>58</v>
      </c>
    </row>
    <row r="100" spans="1:22" x14ac:dyDescent="0.3">
      <c r="A100" t="s">
        <v>3282</v>
      </c>
      <c r="B100" t="s">
        <v>1697</v>
      </c>
      <c r="C100" t="s">
        <v>1698</v>
      </c>
      <c r="D100" s="2">
        <v>45710</v>
      </c>
      <c r="E100" t="s">
        <v>228</v>
      </c>
      <c r="F100" t="s">
        <v>228</v>
      </c>
      <c r="G100" t="s">
        <v>67</v>
      </c>
      <c r="H100" t="s">
        <v>214</v>
      </c>
      <c r="I100" t="s">
        <v>69</v>
      </c>
      <c r="J100" t="s">
        <v>70</v>
      </c>
      <c r="K100">
        <v>6</v>
      </c>
      <c r="L100">
        <v>31</v>
      </c>
      <c r="M100">
        <v>85000</v>
      </c>
      <c r="N100">
        <v>17000</v>
      </c>
      <c r="O100">
        <v>68000</v>
      </c>
      <c r="P100">
        <v>41000</v>
      </c>
      <c r="Q100">
        <v>27000</v>
      </c>
      <c r="R100">
        <v>39.71</v>
      </c>
      <c r="S100" t="s">
        <v>39</v>
      </c>
      <c r="T100">
        <v>7800</v>
      </c>
      <c r="U100">
        <v>4.3</v>
      </c>
      <c r="V100" t="s">
        <v>114</v>
      </c>
    </row>
    <row r="101" spans="1:22" x14ac:dyDescent="0.3">
      <c r="A101" t="s">
        <v>909</v>
      </c>
      <c r="B101" t="s">
        <v>910</v>
      </c>
      <c r="C101" t="s">
        <v>911</v>
      </c>
      <c r="D101" s="2">
        <v>45710</v>
      </c>
      <c r="E101" t="s">
        <v>282</v>
      </c>
      <c r="F101" t="s">
        <v>282</v>
      </c>
      <c r="G101" t="s">
        <v>67</v>
      </c>
      <c r="H101" t="s">
        <v>214</v>
      </c>
      <c r="I101" t="s">
        <v>69</v>
      </c>
      <c r="J101" t="s">
        <v>30</v>
      </c>
      <c r="K101">
        <v>5</v>
      </c>
      <c r="L101">
        <v>37</v>
      </c>
      <c r="M101">
        <v>68700</v>
      </c>
      <c r="N101">
        <v>10300</v>
      </c>
      <c r="O101">
        <v>58400</v>
      </c>
      <c r="P101">
        <v>36000</v>
      </c>
      <c r="Q101">
        <v>22400</v>
      </c>
      <c r="R101">
        <v>38.36</v>
      </c>
      <c r="S101" t="s">
        <v>97</v>
      </c>
      <c r="T101">
        <v>10300</v>
      </c>
      <c r="U101">
        <v>2.8</v>
      </c>
      <c r="V101" t="s">
        <v>79</v>
      </c>
    </row>
    <row r="102" spans="1:22" x14ac:dyDescent="0.3">
      <c r="A102" t="s">
        <v>3278</v>
      </c>
      <c r="B102" t="s">
        <v>2822</v>
      </c>
      <c r="C102" t="s">
        <v>2823</v>
      </c>
      <c r="D102" s="2">
        <v>45712</v>
      </c>
      <c r="E102" t="s">
        <v>66</v>
      </c>
      <c r="F102" t="s">
        <v>66</v>
      </c>
      <c r="G102" t="s">
        <v>580</v>
      </c>
      <c r="H102" t="s">
        <v>214</v>
      </c>
      <c r="I102" t="s">
        <v>69</v>
      </c>
      <c r="J102" t="s">
        <v>30</v>
      </c>
      <c r="K102">
        <v>7</v>
      </c>
      <c r="L102">
        <v>36</v>
      </c>
      <c r="M102">
        <v>35300</v>
      </c>
      <c r="N102">
        <v>5300</v>
      </c>
      <c r="O102">
        <v>30000</v>
      </c>
      <c r="P102">
        <v>24700</v>
      </c>
      <c r="Q102">
        <v>5300</v>
      </c>
      <c r="R102">
        <v>17.670000000000002</v>
      </c>
      <c r="S102" t="s">
        <v>182</v>
      </c>
      <c r="T102">
        <v>2200</v>
      </c>
      <c r="U102">
        <v>3.3</v>
      </c>
      <c r="V102" t="s">
        <v>79</v>
      </c>
    </row>
    <row r="103" spans="1:22" x14ac:dyDescent="0.3">
      <c r="A103" t="s">
        <v>1981</v>
      </c>
      <c r="B103" t="s">
        <v>1007</v>
      </c>
      <c r="C103" t="s">
        <v>1008</v>
      </c>
      <c r="D103" s="2">
        <v>45712</v>
      </c>
      <c r="E103" t="s">
        <v>282</v>
      </c>
      <c r="F103" t="s">
        <v>282</v>
      </c>
      <c r="G103" t="s">
        <v>213</v>
      </c>
      <c r="H103" t="s">
        <v>49</v>
      </c>
      <c r="I103" t="s">
        <v>69</v>
      </c>
      <c r="J103" t="s">
        <v>257</v>
      </c>
      <c r="K103">
        <v>7</v>
      </c>
      <c r="L103">
        <v>40</v>
      </c>
      <c r="M103">
        <v>34000</v>
      </c>
      <c r="N103">
        <v>6800</v>
      </c>
      <c r="O103">
        <v>27200</v>
      </c>
      <c r="P103">
        <v>17000</v>
      </c>
      <c r="Q103">
        <v>10200</v>
      </c>
      <c r="R103">
        <v>37.5</v>
      </c>
      <c r="S103" t="s">
        <v>58</v>
      </c>
      <c r="T103">
        <v>1100</v>
      </c>
      <c r="U103">
        <v>3.9</v>
      </c>
      <c r="V103" t="s">
        <v>58</v>
      </c>
    </row>
    <row r="104" spans="1:22" x14ac:dyDescent="0.3">
      <c r="A104" t="s">
        <v>1367</v>
      </c>
      <c r="B104" t="s">
        <v>1368</v>
      </c>
      <c r="C104" t="s">
        <v>1369</v>
      </c>
      <c r="D104" s="2">
        <v>45712</v>
      </c>
      <c r="E104" t="s">
        <v>244</v>
      </c>
      <c r="F104" t="s">
        <v>244</v>
      </c>
      <c r="G104" t="s">
        <v>48</v>
      </c>
      <c r="H104" t="s">
        <v>5470</v>
      </c>
      <c r="I104" t="s">
        <v>69</v>
      </c>
      <c r="J104" t="s">
        <v>30</v>
      </c>
      <c r="K104">
        <v>8</v>
      </c>
      <c r="L104">
        <v>12</v>
      </c>
      <c r="M104">
        <v>58400</v>
      </c>
      <c r="N104">
        <v>0</v>
      </c>
      <c r="O104">
        <v>58400</v>
      </c>
      <c r="P104">
        <v>27300</v>
      </c>
      <c r="Q104">
        <v>31100</v>
      </c>
      <c r="R104">
        <v>53.25</v>
      </c>
      <c r="S104" t="s">
        <v>126</v>
      </c>
      <c r="T104">
        <v>9600</v>
      </c>
      <c r="U104">
        <v>2.5</v>
      </c>
      <c r="V104" t="s">
        <v>114</v>
      </c>
    </row>
    <row r="105" spans="1:22" x14ac:dyDescent="0.3">
      <c r="A105" t="s">
        <v>2584</v>
      </c>
      <c r="B105" t="s">
        <v>2585</v>
      </c>
      <c r="C105" t="s">
        <v>2586</v>
      </c>
      <c r="D105" s="2">
        <v>45713</v>
      </c>
      <c r="E105" t="s">
        <v>188</v>
      </c>
      <c r="F105" t="s">
        <v>188</v>
      </c>
      <c r="G105" t="s">
        <v>580</v>
      </c>
      <c r="H105" t="s">
        <v>49</v>
      </c>
      <c r="I105" t="s">
        <v>69</v>
      </c>
      <c r="J105" t="s">
        <v>70</v>
      </c>
      <c r="K105">
        <v>2</v>
      </c>
      <c r="L105">
        <v>5</v>
      </c>
      <c r="M105">
        <v>103100</v>
      </c>
      <c r="N105">
        <v>20600</v>
      </c>
      <c r="O105">
        <v>82500</v>
      </c>
      <c r="P105">
        <v>45100</v>
      </c>
      <c r="Q105">
        <v>37400</v>
      </c>
      <c r="R105">
        <v>45.33</v>
      </c>
      <c r="S105" t="s">
        <v>97</v>
      </c>
      <c r="T105">
        <v>13300</v>
      </c>
      <c r="U105">
        <v>4.7</v>
      </c>
      <c r="V105" t="s">
        <v>82</v>
      </c>
    </row>
    <row r="106" spans="1:22" x14ac:dyDescent="0.3">
      <c r="A106" t="s">
        <v>5038</v>
      </c>
      <c r="B106" t="s">
        <v>2057</v>
      </c>
      <c r="C106" t="s">
        <v>2058</v>
      </c>
      <c r="D106" s="2">
        <v>45713</v>
      </c>
      <c r="E106" t="s">
        <v>161</v>
      </c>
      <c r="F106" t="s">
        <v>161</v>
      </c>
      <c r="G106" t="s">
        <v>27</v>
      </c>
      <c r="H106" t="s">
        <v>214</v>
      </c>
      <c r="I106" t="s">
        <v>69</v>
      </c>
      <c r="J106" t="s">
        <v>30</v>
      </c>
      <c r="K106">
        <v>6</v>
      </c>
      <c r="L106">
        <v>33</v>
      </c>
      <c r="M106">
        <v>16100</v>
      </c>
      <c r="N106">
        <v>2400</v>
      </c>
      <c r="O106">
        <v>13700</v>
      </c>
      <c r="P106">
        <v>12900</v>
      </c>
      <c r="Q106">
        <v>800</v>
      </c>
      <c r="R106">
        <v>5.84</v>
      </c>
      <c r="S106" t="s">
        <v>182</v>
      </c>
      <c r="T106">
        <v>1000</v>
      </c>
      <c r="U106">
        <v>4.5</v>
      </c>
      <c r="V106" t="s">
        <v>82</v>
      </c>
    </row>
    <row r="107" spans="1:22" x14ac:dyDescent="0.3">
      <c r="A107" t="s">
        <v>4464</v>
      </c>
      <c r="B107" t="s">
        <v>4155</v>
      </c>
      <c r="C107" t="s">
        <v>4156</v>
      </c>
      <c r="D107" s="2">
        <v>45713</v>
      </c>
      <c r="E107" t="s">
        <v>161</v>
      </c>
      <c r="F107" t="s">
        <v>161</v>
      </c>
      <c r="G107" t="s">
        <v>67</v>
      </c>
      <c r="H107" t="s">
        <v>5470</v>
      </c>
      <c r="I107" t="s">
        <v>29</v>
      </c>
      <c r="J107" t="s">
        <v>70</v>
      </c>
      <c r="K107">
        <v>7</v>
      </c>
      <c r="L107">
        <v>26</v>
      </c>
      <c r="M107">
        <v>37800</v>
      </c>
      <c r="N107">
        <v>5700</v>
      </c>
      <c r="O107">
        <v>32100</v>
      </c>
      <c r="P107">
        <v>23800</v>
      </c>
      <c r="Q107">
        <v>8300</v>
      </c>
      <c r="R107">
        <v>25.86</v>
      </c>
      <c r="S107" t="s">
        <v>39</v>
      </c>
      <c r="T107">
        <v>3900</v>
      </c>
      <c r="U107">
        <v>3.2</v>
      </c>
      <c r="V107" t="s">
        <v>42</v>
      </c>
    </row>
    <row r="108" spans="1:22" x14ac:dyDescent="0.3">
      <c r="A108" t="s">
        <v>3460</v>
      </c>
      <c r="B108" t="s">
        <v>1733</v>
      </c>
      <c r="C108" t="s">
        <v>1734</v>
      </c>
      <c r="D108" s="2">
        <v>45713</v>
      </c>
      <c r="E108" t="s">
        <v>161</v>
      </c>
      <c r="F108" t="s">
        <v>161</v>
      </c>
      <c r="G108" t="s">
        <v>580</v>
      </c>
      <c r="H108" t="s">
        <v>5470</v>
      </c>
      <c r="I108" t="s">
        <v>29</v>
      </c>
      <c r="J108" t="s">
        <v>30</v>
      </c>
      <c r="K108">
        <v>3</v>
      </c>
      <c r="L108">
        <v>31</v>
      </c>
      <c r="M108">
        <v>39800</v>
      </c>
      <c r="N108">
        <v>6000</v>
      </c>
      <c r="O108">
        <v>33800</v>
      </c>
      <c r="P108">
        <v>24800</v>
      </c>
      <c r="Q108">
        <v>9000</v>
      </c>
      <c r="R108">
        <v>26.63</v>
      </c>
      <c r="S108" t="s">
        <v>58</v>
      </c>
      <c r="T108">
        <v>1500</v>
      </c>
      <c r="U108">
        <v>4.2</v>
      </c>
      <c r="V108" t="s">
        <v>58</v>
      </c>
    </row>
    <row r="109" spans="1:22" x14ac:dyDescent="0.3">
      <c r="A109" t="s">
        <v>4515</v>
      </c>
      <c r="B109" t="s">
        <v>1804</v>
      </c>
      <c r="C109" t="s">
        <v>1805</v>
      </c>
      <c r="D109" s="2">
        <v>45713</v>
      </c>
      <c r="E109" t="s">
        <v>66</v>
      </c>
      <c r="F109" t="s">
        <v>66</v>
      </c>
      <c r="G109" t="s">
        <v>118</v>
      </c>
      <c r="H109" t="s">
        <v>268</v>
      </c>
      <c r="I109" t="s">
        <v>29</v>
      </c>
      <c r="J109" t="s">
        <v>162</v>
      </c>
      <c r="K109">
        <v>3</v>
      </c>
      <c r="L109">
        <v>23</v>
      </c>
      <c r="M109">
        <v>64800</v>
      </c>
      <c r="N109">
        <v>6500</v>
      </c>
      <c r="O109">
        <v>58300</v>
      </c>
      <c r="P109">
        <v>44200</v>
      </c>
      <c r="Q109">
        <v>14100</v>
      </c>
      <c r="R109">
        <v>24.19</v>
      </c>
      <c r="S109" t="s">
        <v>79</v>
      </c>
      <c r="T109">
        <v>3600</v>
      </c>
      <c r="U109">
        <v>4.4000000000000004</v>
      </c>
      <c r="V109" t="s">
        <v>114</v>
      </c>
    </row>
    <row r="110" spans="1:22" x14ac:dyDescent="0.3">
      <c r="A110" t="s">
        <v>3040</v>
      </c>
      <c r="B110" t="s">
        <v>3041</v>
      </c>
      <c r="C110" t="s">
        <v>3042</v>
      </c>
      <c r="D110" s="2">
        <v>45713</v>
      </c>
      <c r="E110" t="s">
        <v>26</v>
      </c>
      <c r="F110" t="s">
        <v>26</v>
      </c>
      <c r="G110" t="s">
        <v>67</v>
      </c>
      <c r="H110" t="s">
        <v>88</v>
      </c>
      <c r="I110" t="s">
        <v>69</v>
      </c>
      <c r="J110" t="s">
        <v>162</v>
      </c>
      <c r="K110">
        <v>5</v>
      </c>
      <c r="L110">
        <v>35</v>
      </c>
      <c r="M110">
        <v>31300</v>
      </c>
      <c r="N110">
        <v>4700</v>
      </c>
      <c r="O110">
        <v>26600</v>
      </c>
      <c r="P110">
        <v>18900</v>
      </c>
      <c r="Q110">
        <v>7700</v>
      </c>
      <c r="R110">
        <v>28.95</v>
      </c>
      <c r="S110" t="s">
        <v>126</v>
      </c>
      <c r="T110">
        <v>2400</v>
      </c>
      <c r="U110">
        <v>4.2</v>
      </c>
      <c r="V110" t="s">
        <v>42</v>
      </c>
    </row>
    <row r="111" spans="1:22" x14ac:dyDescent="0.3">
      <c r="A111" t="s">
        <v>4511</v>
      </c>
      <c r="B111" t="s">
        <v>1630</v>
      </c>
      <c r="C111" t="s">
        <v>1631</v>
      </c>
      <c r="D111" s="2">
        <v>45713</v>
      </c>
      <c r="E111" t="s">
        <v>282</v>
      </c>
      <c r="F111" t="s">
        <v>282</v>
      </c>
      <c r="G111" t="s">
        <v>48</v>
      </c>
      <c r="H111" t="s">
        <v>268</v>
      </c>
      <c r="I111" t="s">
        <v>29</v>
      </c>
      <c r="J111" t="s">
        <v>162</v>
      </c>
      <c r="K111">
        <v>5</v>
      </c>
      <c r="L111">
        <v>65</v>
      </c>
      <c r="M111">
        <v>68100</v>
      </c>
      <c r="N111">
        <v>13600</v>
      </c>
      <c r="O111">
        <v>54500</v>
      </c>
      <c r="P111">
        <v>43100</v>
      </c>
      <c r="Q111">
        <v>11400</v>
      </c>
      <c r="R111">
        <v>20.92</v>
      </c>
      <c r="S111" t="s">
        <v>126</v>
      </c>
      <c r="T111">
        <v>5300</v>
      </c>
      <c r="U111">
        <v>4.9000000000000004</v>
      </c>
      <c r="V111" t="s">
        <v>114</v>
      </c>
    </row>
    <row r="112" spans="1:22" x14ac:dyDescent="0.3">
      <c r="A112" t="s">
        <v>3765</v>
      </c>
      <c r="B112" t="s">
        <v>2890</v>
      </c>
      <c r="C112" t="s">
        <v>2891</v>
      </c>
      <c r="D112" s="2">
        <v>45714</v>
      </c>
      <c r="E112" t="s">
        <v>188</v>
      </c>
      <c r="F112" t="s">
        <v>188</v>
      </c>
      <c r="G112" t="s">
        <v>27</v>
      </c>
      <c r="H112" t="s">
        <v>28</v>
      </c>
      <c r="I112" t="s">
        <v>69</v>
      </c>
      <c r="J112" t="s">
        <v>30</v>
      </c>
      <c r="K112">
        <v>3</v>
      </c>
      <c r="L112">
        <v>12</v>
      </c>
      <c r="M112">
        <v>46600</v>
      </c>
      <c r="N112">
        <v>4700</v>
      </c>
      <c r="O112">
        <v>41900</v>
      </c>
      <c r="P112">
        <v>34600</v>
      </c>
      <c r="Q112">
        <v>7300</v>
      </c>
      <c r="R112">
        <v>17.420000000000002</v>
      </c>
      <c r="S112" t="s">
        <v>126</v>
      </c>
      <c r="T112">
        <v>2200</v>
      </c>
      <c r="U112">
        <v>5</v>
      </c>
      <c r="V112" t="s">
        <v>114</v>
      </c>
    </row>
    <row r="113" spans="1:22" x14ac:dyDescent="0.3">
      <c r="A113" t="s">
        <v>4701</v>
      </c>
      <c r="B113" t="s">
        <v>2675</v>
      </c>
      <c r="C113" t="s">
        <v>2676</v>
      </c>
      <c r="D113" s="2">
        <v>45714</v>
      </c>
      <c r="E113" t="s">
        <v>282</v>
      </c>
      <c r="F113" t="s">
        <v>282</v>
      </c>
      <c r="G113" t="s">
        <v>213</v>
      </c>
      <c r="H113" t="s">
        <v>49</v>
      </c>
      <c r="I113" t="s">
        <v>69</v>
      </c>
      <c r="J113" t="s">
        <v>30</v>
      </c>
      <c r="K113">
        <v>3</v>
      </c>
      <c r="L113">
        <v>68</v>
      </c>
      <c r="M113">
        <v>29600</v>
      </c>
      <c r="N113">
        <v>5900</v>
      </c>
      <c r="O113">
        <v>23700</v>
      </c>
      <c r="P113">
        <v>18100</v>
      </c>
      <c r="Q113">
        <v>5600</v>
      </c>
      <c r="R113">
        <v>23.63</v>
      </c>
      <c r="S113" t="s">
        <v>182</v>
      </c>
      <c r="T113">
        <v>3000</v>
      </c>
      <c r="U113">
        <v>3.6</v>
      </c>
      <c r="V113" t="s">
        <v>82</v>
      </c>
    </row>
    <row r="114" spans="1:22" x14ac:dyDescent="0.3">
      <c r="A114" t="s">
        <v>4409</v>
      </c>
      <c r="B114" t="s">
        <v>1638</v>
      </c>
      <c r="C114" t="s">
        <v>1639</v>
      </c>
      <c r="D114" s="2">
        <v>45715</v>
      </c>
      <c r="E114" t="s">
        <v>228</v>
      </c>
      <c r="F114" t="s">
        <v>228</v>
      </c>
      <c r="G114" t="s">
        <v>147</v>
      </c>
      <c r="H114" t="s">
        <v>88</v>
      </c>
      <c r="I114" t="s">
        <v>29</v>
      </c>
      <c r="J114" t="s">
        <v>70</v>
      </c>
      <c r="K114">
        <v>10</v>
      </c>
      <c r="L114">
        <v>59</v>
      </c>
      <c r="M114">
        <v>28300</v>
      </c>
      <c r="N114">
        <v>5700</v>
      </c>
      <c r="O114">
        <v>22600</v>
      </c>
      <c r="P114">
        <v>13600</v>
      </c>
      <c r="Q114">
        <v>9000</v>
      </c>
      <c r="R114">
        <v>39.82</v>
      </c>
      <c r="S114" t="s">
        <v>39</v>
      </c>
      <c r="T114">
        <v>1800</v>
      </c>
      <c r="U114">
        <v>4.7</v>
      </c>
      <c r="V114" t="s">
        <v>58</v>
      </c>
    </row>
    <row r="115" spans="1:22" x14ac:dyDescent="0.3">
      <c r="A115" t="s">
        <v>5270</v>
      </c>
      <c r="B115" t="s">
        <v>738</v>
      </c>
      <c r="C115" t="s">
        <v>739</v>
      </c>
      <c r="D115" s="2">
        <v>45716</v>
      </c>
      <c r="E115" t="s">
        <v>161</v>
      </c>
      <c r="F115" t="s">
        <v>161</v>
      </c>
      <c r="G115" t="s">
        <v>67</v>
      </c>
      <c r="H115" t="s">
        <v>268</v>
      </c>
      <c r="I115" t="s">
        <v>69</v>
      </c>
      <c r="J115" t="s">
        <v>162</v>
      </c>
      <c r="K115">
        <v>3</v>
      </c>
      <c r="L115">
        <v>32</v>
      </c>
      <c r="M115">
        <v>15000</v>
      </c>
      <c r="N115">
        <v>0</v>
      </c>
      <c r="O115">
        <v>15000</v>
      </c>
      <c r="P115">
        <v>7900</v>
      </c>
      <c r="Q115">
        <v>7100</v>
      </c>
      <c r="R115">
        <v>47.33</v>
      </c>
      <c r="S115" t="s">
        <v>97</v>
      </c>
      <c r="T115">
        <v>1700</v>
      </c>
      <c r="U115">
        <v>2.8</v>
      </c>
      <c r="V115" t="s">
        <v>58</v>
      </c>
    </row>
    <row r="116" spans="1:22" x14ac:dyDescent="0.3">
      <c r="A116" t="s">
        <v>4083</v>
      </c>
      <c r="B116" t="s">
        <v>1101</v>
      </c>
      <c r="C116" t="s">
        <v>1102</v>
      </c>
      <c r="D116" s="2">
        <v>45716</v>
      </c>
      <c r="E116" t="s">
        <v>26</v>
      </c>
      <c r="F116" t="s">
        <v>26</v>
      </c>
      <c r="G116" t="s">
        <v>118</v>
      </c>
      <c r="H116" t="s">
        <v>28</v>
      </c>
      <c r="I116" t="s">
        <v>69</v>
      </c>
      <c r="J116" t="s">
        <v>30</v>
      </c>
      <c r="K116">
        <v>7</v>
      </c>
      <c r="L116">
        <v>20</v>
      </c>
      <c r="M116">
        <v>70300</v>
      </c>
      <c r="N116">
        <v>0</v>
      </c>
      <c r="O116">
        <v>70300</v>
      </c>
      <c r="P116">
        <v>55100</v>
      </c>
      <c r="Q116">
        <v>15200</v>
      </c>
      <c r="R116">
        <v>21.62</v>
      </c>
      <c r="S116" t="s">
        <v>58</v>
      </c>
      <c r="T116">
        <v>4200</v>
      </c>
      <c r="U116">
        <v>3.9</v>
      </c>
      <c r="V116" t="s">
        <v>114</v>
      </c>
    </row>
    <row r="117" spans="1:22" x14ac:dyDescent="0.3">
      <c r="A117" t="s">
        <v>4765</v>
      </c>
      <c r="B117" t="s">
        <v>3342</v>
      </c>
      <c r="C117" t="s">
        <v>3343</v>
      </c>
      <c r="D117" s="2">
        <v>45717</v>
      </c>
      <c r="E117" t="s">
        <v>188</v>
      </c>
      <c r="F117" t="s">
        <v>188</v>
      </c>
      <c r="G117" t="s">
        <v>103</v>
      </c>
      <c r="H117" t="s">
        <v>28</v>
      </c>
      <c r="I117" t="s">
        <v>69</v>
      </c>
      <c r="J117" t="s">
        <v>30</v>
      </c>
      <c r="K117">
        <v>5</v>
      </c>
      <c r="L117">
        <v>46</v>
      </c>
      <c r="M117">
        <v>49500</v>
      </c>
      <c r="N117">
        <v>2500</v>
      </c>
      <c r="O117">
        <v>47000</v>
      </c>
      <c r="P117">
        <v>23900</v>
      </c>
      <c r="Q117">
        <v>23100</v>
      </c>
      <c r="R117">
        <v>49.15</v>
      </c>
      <c r="S117" t="s">
        <v>97</v>
      </c>
      <c r="T117">
        <v>4200</v>
      </c>
      <c r="U117">
        <v>4.8</v>
      </c>
      <c r="V117" t="s">
        <v>58</v>
      </c>
    </row>
    <row r="118" spans="1:22" x14ac:dyDescent="0.3">
      <c r="A118" t="s">
        <v>3151</v>
      </c>
      <c r="B118" t="s">
        <v>2822</v>
      </c>
      <c r="C118" t="s">
        <v>2823</v>
      </c>
      <c r="D118" s="2">
        <v>45717</v>
      </c>
      <c r="E118" t="s">
        <v>134</v>
      </c>
      <c r="F118" t="s">
        <v>134</v>
      </c>
      <c r="G118" t="s">
        <v>580</v>
      </c>
      <c r="H118" t="s">
        <v>268</v>
      </c>
      <c r="I118" t="s">
        <v>69</v>
      </c>
      <c r="J118" t="s">
        <v>30</v>
      </c>
      <c r="K118">
        <v>3</v>
      </c>
      <c r="L118">
        <v>62</v>
      </c>
      <c r="M118">
        <v>16400</v>
      </c>
      <c r="N118">
        <v>800</v>
      </c>
      <c r="O118">
        <v>15600</v>
      </c>
      <c r="P118">
        <v>9200</v>
      </c>
      <c r="Q118">
        <v>6400</v>
      </c>
      <c r="R118">
        <v>41.03</v>
      </c>
      <c r="S118" t="s">
        <v>58</v>
      </c>
      <c r="T118">
        <v>1400</v>
      </c>
      <c r="U118">
        <v>5</v>
      </c>
      <c r="V118" t="s">
        <v>58</v>
      </c>
    </row>
    <row r="119" spans="1:22" x14ac:dyDescent="0.3">
      <c r="A119" t="s">
        <v>350</v>
      </c>
      <c r="B119" t="s">
        <v>351</v>
      </c>
      <c r="C119" t="s">
        <v>352</v>
      </c>
      <c r="D119" s="2">
        <v>45718</v>
      </c>
      <c r="E119" t="s">
        <v>134</v>
      </c>
      <c r="F119" t="s">
        <v>134</v>
      </c>
      <c r="G119" t="s">
        <v>67</v>
      </c>
      <c r="H119" t="s">
        <v>214</v>
      </c>
      <c r="I119" t="s">
        <v>69</v>
      </c>
      <c r="J119" t="s">
        <v>30</v>
      </c>
      <c r="K119">
        <v>4</v>
      </c>
      <c r="L119">
        <v>58</v>
      </c>
      <c r="M119">
        <v>67100</v>
      </c>
      <c r="N119">
        <v>13400</v>
      </c>
      <c r="O119">
        <v>53700</v>
      </c>
      <c r="P119">
        <v>34600</v>
      </c>
      <c r="Q119">
        <v>19100</v>
      </c>
      <c r="R119">
        <v>35.57</v>
      </c>
      <c r="S119" t="s">
        <v>126</v>
      </c>
      <c r="T119">
        <v>4900</v>
      </c>
      <c r="U119">
        <v>5</v>
      </c>
      <c r="V119" t="s">
        <v>79</v>
      </c>
    </row>
    <row r="120" spans="1:22" x14ac:dyDescent="0.3">
      <c r="A120" t="s">
        <v>2093</v>
      </c>
      <c r="B120" t="s">
        <v>1298</v>
      </c>
      <c r="C120" t="s">
        <v>1299</v>
      </c>
      <c r="D120" s="2">
        <v>45719</v>
      </c>
      <c r="E120" t="s">
        <v>134</v>
      </c>
      <c r="F120" t="s">
        <v>134</v>
      </c>
      <c r="G120" t="s">
        <v>48</v>
      </c>
      <c r="H120" t="s">
        <v>28</v>
      </c>
      <c r="I120" t="s">
        <v>29</v>
      </c>
      <c r="J120" t="s">
        <v>30</v>
      </c>
      <c r="K120">
        <v>8</v>
      </c>
      <c r="L120">
        <v>29</v>
      </c>
      <c r="M120">
        <v>65700</v>
      </c>
      <c r="N120">
        <v>6600</v>
      </c>
      <c r="O120">
        <v>59100</v>
      </c>
      <c r="P120">
        <v>31700</v>
      </c>
      <c r="Q120">
        <v>27400</v>
      </c>
      <c r="R120">
        <v>46.36</v>
      </c>
      <c r="S120" t="s">
        <v>39</v>
      </c>
      <c r="T120">
        <v>2600</v>
      </c>
      <c r="U120">
        <v>4.2</v>
      </c>
      <c r="V120" t="s">
        <v>58</v>
      </c>
    </row>
    <row r="121" spans="1:22" x14ac:dyDescent="0.3">
      <c r="A121" t="s">
        <v>3860</v>
      </c>
      <c r="B121" t="s">
        <v>1046</v>
      </c>
      <c r="C121" t="s">
        <v>1047</v>
      </c>
      <c r="D121" s="2">
        <v>45719</v>
      </c>
      <c r="E121" t="s">
        <v>26</v>
      </c>
      <c r="F121" t="s">
        <v>26</v>
      </c>
      <c r="G121" t="s">
        <v>27</v>
      </c>
      <c r="H121" t="s">
        <v>88</v>
      </c>
      <c r="I121" t="s">
        <v>69</v>
      </c>
      <c r="J121" t="s">
        <v>30</v>
      </c>
      <c r="K121">
        <v>7</v>
      </c>
      <c r="L121">
        <v>38</v>
      </c>
      <c r="M121">
        <v>42800</v>
      </c>
      <c r="N121">
        <v>8600</v>
      </c>
      <c r="O121">
        <v>34200</v>
      </c>
      <c r="P121">
        <v>34200</v>
      </c>
      <c r="Q121">
        <v>0</v>
      </c>
      <c r="R121">
        <v>0</v>
      </c>
      <c r="S121" t="s">
        <v>97</v>
      </c>
      <c r="T121">
        <v>3800</v>
      </c>
      <c r="U121">
        <v>5</v>
      </c>
      <c r="V121" t="s">
        <v>42</v>
      </c>
    </row>
    <row r="122" spans="1:22" x14ac:dyDescent="0.3">
      <c r="A122" t="s">
        <v>1179</v>
      </c>
      <c r="B122" t="s">
        <v>1180</v>
      </c>
      <c r="C122" t="s">
        <v>1181</v>
      </c>
      <c r="D122" s="2">
        <v>45719</v>
      </c>
      <c r="E122" t="s">
        <v>228</v>
      </c>
      <c r="F122" t="s">
        <v>228</v>
      </c>
      <c r="G122" t="s">
        <v>48</v>
      </c>
      <c r="H122" t="s">
        <v>229</v>
      </c>
      <c r="I122" t="s">
        <v>69</v>
      </c>
      <c r="J122" t="s">
        <v>30</v>
      </c>
      <c r="K122">
        <v>10</v>
      </c>
      <c r="L122">
        <v>24</v>
      </c>
      <c r="M122">
        <v>18600</v>
      </c>
      <c r="N122">
        <v>0</v>
      </c>
      <c r="O122">
        <v>18600</v>
      </c>
      <c r="P122">
        <v>13300</v>
      </c>
      <c r="Q122">
        <v>5300</v>
      </c>
      <c r="R122">
        <v>28.49</v>
      </c>
      <c r="S122" t="s">
        <v>97</v>
      </c>
      <c r="T122">
        <v>2800</v>
      </c>
      <c r="U122">
        <v>5</v>
      </c>
      <c r="V122" t="s">
        <v>79</v>
      </c>
    </row>
    <row r="123" spans="1:22" x14ac:dyDescent="0.3">
      <c r="A123" t="s">
        <v>4936</v>
      </c>
      <c r="B123" t="s">
        <v>3002</v>
      </c>
      <c r="C123" t="s">
        <v>3003</v>
      </c>
      <c r="D123" s="2">
        <v>45720</v>
      </c>
      <c r="E123" t="s">
        <v>188</v>
      </c>
      <c r="F123" t="s">
        <v>188</v>
      </c>
      <c r="G123" t="s">
        <v>118</v>
      </c>
      <c r="H123" t="s">
        <v>5471</v>
      </c>
      <c r="I123" t="s">
        <v>29</v>
      </c>
      <c r="J123" t="s">
        <v>30</v>
      </c>
      <c r="K123">
        <v>9</v>
      </c>
      <c r="L123">
        <v>69</v>
      </c>
      <c r="M123">
        <v>75700</v>
      </c>
      <c r="N123">
        <v>15100</v>
      </c>
      <c r="O123">
        <v>60600</v>
      </c>
      <c r="P123">
        <v>39100</v>
      </c>
      <c r="Q123">
        <v>21500</v>
      </c>
      <c r="R123">
        <v>35.479999999999997</v>
      </c>
      <c r="S123" t="s">
        <v>126</v>
      </c>
      <c r="T123">
        <v>6900</v>
      </c>
      <c r="U123">
        <v>3.5</v>
      </c>
      <c r="V123" t="s">
        <v>42</v>
      </c>
    </row>
    <row r="124" spans="1:22" x14ac:dyDescent="0.3">
      <c r="A124" t="s">
        <v>1605</v>
      </c>
      <c r="B124" t="s">
        <v>876</v>
      </c>
      <c r="C124" t="s">
        <v>877</v>
      </c>
      <c r="D124" s="2">
        <v>45721</v>
      </c>
      <c r="E124" t="s">
        <v>282</v>
      </c>
      <c r="F124" t="s">
        <v>282</v>
      </c>
      <c r="G124" t="s">
        <v>118</v>
      </c>
      <c r="H124" t="s">
        <v>214</v>
      </c>
      <c r="I124" t="s">
        <v>69</v>
      </c>
      <c r="J124" t="s">
        <v>30</v>
      </c>
      <c r="K124">
        <v>4</v>
      </c>
      <c r="L124">
        <v>28</v>
      </c>
      <c r="M124">
        <v>62300</v>
      </c>
      <c r="N124">
        <v>0</v>
      </c>
      <c r="O124">
        <v>62300</v>
      </c>
      <c r="P124">
        <v>38600</v>
      </c>
      <c r="Q124">
        <v>23700</v>
      </c>
      <c r="R124">
        <v>38.04</v>
      </c>
      <c r="S124" t="s">
        <v>182</v>
      </c>
      <c r="T124">
        <v>2700</v>
      </c>
      <c r="U124">
        <v>4.8</v>
      </c>
      <c r="V124" t="s">
        <v>79</v>
      </c>
    </row>
    <row r="125" spans="1:22" x14ac:dyDescent="0.3">
      <c r="A125" t="s">
        <v>4726</v>
      </c>
      <c r="B125" t="s">
        <v>1391</v>
      </c>
      <c r="C125" t="s">
        <v>1392</v>
      </c>
      <c r="D125" s="2">
        <v>45721</v>
      </c>
      <c r="E125" t="s">
        <v>161</v>
      </c>
      <c r="F125" t="s">
        <v>161</v>
      </c>
      <c r="G125" t="s">
        <v>27</v>
      </c>
      <c r="H125" t="s">
        <v>214</v>
      </c>
      <c r="I125" t="s">
        <v>29</v>
      </c>
      <c r="J125" t="s">
        <v>30</v>
      </c>
      <c r="K125">
        <v>6</v>
      </c>
      <c r="L125">
        <v>60</v>
      </c>
      <c r="M125">
        <v>151300</v>
      </c>
      <c r="N125">
        <v>22700</v>
      </c>
      <c r="O125">
        <v>128600</v>
      </c>
      <c r="P125">
        <v>102300</v>
      </c>
      <c r="Q125">
        <v>26300</v>
      </c>
      <c r="R125">
        <v>20.45</v>
      </c>
      <c r="S125" t="s">
        <v>126</v>
      </c>
      <c r="T125">
        <v>7300</v>
      </c>
      <c r="U125">
        <v>4.0999999999999996</v>
      </c>
      <c r="V125" t="s">
        <v>58</v>
      </c>
    </row>
    <row r="126" spans="1:22" x14ac:dyDescent="0.3">
      <c r="A126" t="s">
        <v>3976</v>
      </c>
      <c r="B126" t="s">
        <v>716</v>
      </c>
      <c r="C126" t="s">
        <v>717</v>
      </c>
      <c r="D126" s="2">
        <v>45722</v>
      </c>
      <c r="E126" t="s">
        <v>188</v>
      </c>
      <c r="F126" t="s">
        <v>188</v>
      </c>
      <c r="G126" t="s">
        <v>147</v>
      </c>
      <c r="H126" t="s">
        <v>229</v>
      </c>
      <c r="I126" t="s">
        <v>29</v>
      </c>
      <c r="J126" t="s">
        <v>30</v>
      </c>
      <c r="K126">
        <v>3</v>
      </c>
      <c r="L126">
        <v>12</v>
      </c>
      <c r="M126">
        <v>51500</v>
      </c>
      <c r="N126">
        <v>2600</v>
      </c>
      <c r="O126">
        <v>48900</v>
      </c>
      <c r="P126">
        <v>39700</v>
      </c>
      <c r="Q126">
        <v>9200</v>
      </c>
      <c r="R126">
        <v>18.809999999999999</v>
      </c>
      <c r="S126" t="s">
        <v>126</v>
      </c>
      <c r="T126">
        <v>5600</v>
      </c>
      <c r="U126">
        <v>3.7</v>
      </c>
      <c r="V126" t="s">
        <v>114</v>
      </c>
    </row>
    <row r="127" spans="1:22" x14ac:dyDescent="0.3">
      <c r="A127" t="s">
        <v>1886</v>
      </c>
      <c r="B127" t="s">
        <v>1118</v>
      </c>
      <c r="C127" t="s">
        <v>1119</v>
      </c>
      <c r="D127" s="2">
        <v>45722</v>
      </c>
      <c r="E127" t="s">
        <v>282</v>
      </c>
      <c r="F127" t="s">
        <v>282</v>
      </c>
      <c r="G127" t="s">
        <v>67</v>
      </c>
      <c r="H127" t="s">
        <v>214</v>
      </c>
      <c r="I127" t="s">
        <v>29</v>
      </c>
      <c r="J127" t="s">
        <v>30</v>
      </c>
      <c r="K127">
        <v>4</v>
      </c>
      <c r="M127">
        <v>59400</v>
      </c>
      <c r="N127">
        <v>5900</v>
      </c>
      <c r="O127">
        <v>53500</v>
      </c>
      <c r="P127">
        <v>47900</v>
      </c>
      <c r="Q127">
        <v>5600</v>
      </c>
      <c r="R127">
        <v>10.47</v>
      </c>
      <c r="S127" t="s">
        <v>39</v>
      </c>
      <c r="T127">
        <v>4500</v>
      </c>
      <c r="U127">
        <v>2.2000000000000002</v>
      </c>
      <c r="V127" t="s">
        <v>82</v>
      </c>
    </row>
    <row r="128" spans="1:22" x14ac:dyDescent="0.3">
      <c r="A128" t="s">
        <v>1130</v>
      </c>
      <c r="B128" t="s">
        <v>1131</v>
      </c>
      <c r="C128" t="s">
        <v>1132</v>
      </c>
      <c r="D128" s="2">
        <v>45723</v>
      </c>
      <c r="E128" t="s">
        <v>26</v>
      </c>
      <c r="F128" t="s">
        <v>26</v>
      </c>
      <c r="G128" t="s">
        <v>27</v>
      </c>
      <c r="H128" t="s">
        <v>214</v>
      </c>
      <c r="I128" t="s">
        <v>69</v>
      </c>
      <c r="J128" t="s">
        <v>30</v>
      </c>
      <c r="K128">
        <v>9</v>
      </c>
      <c r="L128">
        <v>39</v>
      </c>
      <c r="M128">
        <v>26300</v>
      </c>
      <c r="N128">
        <v>0</v>
      </c>
      <c r="O128">
        <v>26300</v>
      </c>
      <c r="P128">
        <v>15000</v>
      </c>
      <c r="Q128">
        <v>11300</v>
      </c>
      <c r="R128">
        <v>42.97</v>
      </c>
      <c r="S128" t="s">
        <v>182</v>
      </c>
      <c r="T128">
        <v>1300</v>
      </c>
      <c r="U128">
        <v>4.9000000000000004</v>
      </c>
      <c r="V128" t="s">
        <v>114</v>
      </c>
    </row>
    <row r="129" spans="1:22" x14ac:dyDescent="0.3">
      <c r="A129" t="s">
        <v>5330</v>
      </c>
      <c r="B129" t="s">
        <v>1399</v>
      </c>
      <c r="C129" t="s">
        <v>1400</v>
      </c>
      <c r="D129" s="2">
        <v>45723</v>
      </c>
      <c r="E129" t="s">
        <v>26</v>
      </c>
      <c r="F129" t="s">
        <v>26</v>
      </c>
      <c r="G129" t="s">
        <v>103</v>
      </c>
      <c r="H129" t="s">
        <v>49</v>
      </c>
      <c r="I129" t="s">
        <v>69</v>
      </c>
      <c r="J129" t="s">
        <v>30</v>
      </c>
      <c r="K129">
        <v>10</v>
      </c>
      <c r="L129">
        <v>18</v>
      </c>
      <c r="M129">
        <v>131700</v>
      </c>
      <c r="N129">
        <v>0</v>
      </c>
      <c r="O129">
        <v>131700</v>
      </c>
      <c r="P129">
        <v>88700</v>
      </c>
      <c r="Q129">
        <v>43000</v>
      </c>
      <c r="R129">
        <v>32.65</v>
      </c>
      <c r="S129" t="s">
        <v>182</v>
      </c>
      <c r="T129">
        <v>6100</v>
      </c>
      <c r="U129">
        <v>4.0999999999999996</v>
      </c>
      <c r="V129" t="s">
        <v>114</v>
      </c>
    </row>
    <row r="130" spans="1:22" x14ac:dyDescent="0.3">
      <c r="A130" t="s">
        <v>196</v>
      </c>
      <c r="B130" t="s">
        <v>197</v>
      </c>
      <c r="C130" t="s">
        <v>198</v>
      </c>
      <c r="D130" s="2">
        <v>45723</v>
      </c>
      <c r="E130" t="s">
        <v>161</v>
      </c>
      <c r="F130" t="s">
        <v>161</v>
      </c>
      <c r="G130" t="s">
        <v>67</v>
      </c>
      <c r="H130" t="s">
        <v>88</v>
      </c>
      <c r="I130" t="s">
        <v>69</v>
      </c>
      <c r="J130" t="s">
        <v>30</v>
      </c>
      <c r="K130">
        <v>8</v>
      </c>
      <c r="L130">
        <v>50</v>
      </c>
      <c r="M130">
        <v>65100</v>
      </c>
      <c r="N130">
        <v>6500</v>
      </c>
      <c r="O130">
        <v>58600</v>
      </c>
      <c r="P130">
        <v>44300</v>
      </c>
      <c r="Q130">
        <v>14300</v>
      </c>
      <c r="R130">
        <v>24.4</v>
      </c>
      <c r="S130" t="s">
        <v>97</v>
      </c>
      <c r="T130">
        <v>9400</v>
      </c>
      <c r="U130">
        <v>4.2</v>
      </c>
      <c r="V130" t="s">
        <v>42</v>
      </c>
    </row>
    <row r="131" spans="1:22" x14ac:dyDescent="0.3">
      <c r="A131" t="s">
        <v>1484</v>
      </c>
      <c r="B131" t="s">
        <v>1240</v>
      </c>
      <c r="C131" t="s">
        <v>1241</v>
      </c>
      <c r="D131" s="2">
        <v>45724</v>
      </c>
      <c r="E131" t="s">
        <v>188</v>
      </c>
      <c r="F131" t="s">
        <v>188</v>
      </c>
      <c r="G131" t="s">
        <v>213</v>
      </c>
      <c r="H131" t="s">
        <v>68</v>
      </c>
      <c r="I131" t="s">
        <v>69</v>
      </c>
      <c r="J131" t="s">
        <v>30</v>
      </c>
      <c r="K131">
        <v>10</v>
      </c>
      <c r="L131">
        <v>53</v>
      </c>
      <c r="M131">
        <v>63500</v>
      </c>
      <c r="N131">
        <v>0</v>
      </c>
      <c r="O131">
        <v>63500</v>
      </c>
      <c r="P131">
        <v>29600</v>
      </c>
      <c r="Q131">
        <v>33900</v>
      </c>
      <c r="R131">
        <v>53.39</v>
      </c>
      <c r="S131" t="s">
        <v>126</v>
      </c>
      <c r="T131">
        <v>8200</v>
      </c>
      <c r="U131">
        <v>2.9</v>
      </c>
      <c r="V131" t="s">
        <v>58</v>
      </c>
    </row>
    <row r="132" spans="1:22" x14ac:dyDescent="0.3">
      <c r="A132" t="s">
        <v>824</v>
      </c>
      <c r="B132" t="s">
        <v>825</v>
      </c>
      <c r="C132" t="s">
        <v>826</v>
      </c>
      <c r="D132" s="2">
        <v>45724</v>
      </c>
      <c r="E132" t="s">
        <v>282</v>
      </c>
      <c r="F132" t="s">
        <v>282</v>
      </c>
      <c r="G132" t="s">
        <v>147</v>
      </c>
      <c r="H132" t="s">
        <v>68</v>
      </c>
      <c r="I132" t="s">
        <v>29</v>
      </c>
      <c r="J132" t="s">
        <v>30</v>
      </c>
      <c r="K132">
        <v>8</v>
      </c>
      <c r="L132">
        <v>28</v>
      </c>
      <c r="M132">
        <v>29200</v>
      </c>
      <c r="N132">
        <v>1500</v>
      </c>
      <c r="O132">
        <v>27700</v>
      </c>
      <c r="P132">
        <v>23600</v>
      </c>
      <c r="Q132">
        <v>4100</v>
      </c>
      <c r="R132">
        <v>14.8</v>
      </c>
      <c r="S132" t="s">
        <v>79</v>
      </c>
      <c r="T132">
        <v>3800</v>
      </c>
      <c r="U132">
        <v>4.2</v>
      </c>
      <c r="V132" t="s">
        <v>58</v>
      </c>
    </row>
    <row r="133" spans="1:22" x14ac:dyDescent="0.3">
      <c r="A133" t="s">
        <v>2433</v>
      </c>
      <c r="B133" t="s">
        <v>2277</v>
      </c>
      <c r="C133" t="s">
        <v>2278</v>
      </c>
      <c r="D133" s="2">
        <v>45724</v>
      </c>
      <c r="E133" t="s">
        <v>66</v>
      </c>
      <c r="F133" t="s">
        <v>66</v>
      </c>
      <c r="G133" t="s">
        <v>580</v>
      </c>
      <c r="H133" t="s">
        <v>229</v>
      </c>
      <c r="I133" t="s">
        <v>29</v>
      </c>
      <c r="J133" t="s">
        <v>30</v>
      </c>
      <c r="K133">
        <v>2</v>
      </c>
      <c r="L133">
        <v>25</v>
      </c>
      <c r="M133">
        <v>53400</v>
      </c>
      <c r="N133">
        <v>5300</v>
      </c>
      <c r="O133">
        <v>48100</v>
      </c>
      <c r="P133">
        <v>40400</v>
      </c>
      <c r="Q133">
        <v>7700</v>
      </c>
      <c r="R133">
        <v>16.010000000000002</v>
      </c>
      <c r="S133" t="s">
        <v>58</v>
      </c>
      <c r="T133">
        <v>6700</v>
      </c>
      <c r="U133">
        <v>3.1</v>
      </c>
      <c r="V133" t="s">
        <v>114</v>
      </c>
    </row>
    <row r="134" spans="1:22" x14ac:dyDescent="0.3">
      <c r="A134" t="s">
        <v>3631</v>
      </c>
      <c r="B134" t="s">
        <v>845</v>
      </c>
      <c r="C134" t="s">
        <v>846</v>
      </c>
      <c r="D134" s="2">
        <v>45725</v>
      </c>
      <c r="E134" t="s">
        <v>26</v>
      </c>
      <c r="F134" t="s">
        <v>26</v>
      </c>
      <c r="G134" t="s">
        <v>147</v>
      </c>
      <c r="H134" t="s">
        <v>229</v>
      </c>
      <c r="I134" t="s">
        <v>69</v>
      </c>
      <c r="J134" t="s">
        <v>30</v>
      </c>
      <c r="K134">
        <v>6</v>
      </c>
      <c r="L134">
        <v>23</v>
      </c>
      <c r="M134">
        <v>47600</v>
      </c>
      <c r="N134">
        <v>0</v>
      </c>
      <c r="O134">
        <v>47600</v>
      </c>
      <c r="P134">
        <v>33500</v>
      </c>
      <c r="Q134">
        <v>14100</v>
      </c>
      <c r="R134">
        <v>29.62</v>
      </c>
      <c r="S134" t="s">
        <v>39</v>
      </c>
      <c r="T134">
        <v>2600</v>
      </c>
      <c r="U134">
        <v>4</v>
      </c>
      <c r="V134" t="s">
        <v>79</v>
      </c>
    </row>
    <row r="135" spans="1:22" x14ac:dyDescent="0.3">
      <c r="A135" t="s">
        <v>156</v>
      </c>
      <c r="B135" t="s">
        <v>157</v>
      </c>
      <c r="C135" t="s">
        <v>158</v>
      </c>
      <c r="D135" s="2">
        <v>45725</v>
      </c>
      <c r="E135" t="s">
        <v>161</v>
      </c>
      <c r="F135" t="s">
        <v>161</v>
      </c>
      <c r="G135" t="s">
        <v>118</v>
      </c>
      <c r="H135" t="s">
        <v>49</v>
      </c>
      <c r="I135" t="s">
        <v>29</v>
      </c>
      <c r="J135" t="s">
        <v>162</v>
      </c>
      <c r="K135">
        <v>5</v>
      </c>
      <c r="L135">
        <v>19</v>
      </c>
      <c r="M135">
        <v>18600</v>
      </c>
      <c r="N135">
        <v>2800</v>
      </c>
      <c r="O135">
        <v>15800</v>
      </c>
      <c r="P135">
        <v>9800</v>
      </c>
      <c r="Q135">
        <v>6000</v>
      </c>
      <c r="R135">
        <v>37.97</v>
      </c>
      <c r="S135" t="s">
        <v>97</v>
      </c>
      <c r="T135">
        <v>1900</v>
      </c>
      <c r="U135">
        <v>4.2</v>
      </c>
      <c r="V135" t="s">
        <v>79</v>
      </c>
    </row>
    <row r="136" spans="1:22" x14ac:dyDescent="0.3">
      <c r="A136" t="s">
        <v>4742</v>
      </c>
      <c r="B136" t="s">
        <v>2246</v>
      </c>
      <c r="C136" t="s">
        <v>2247</v>
      </c>
      <c r="D136" s="2">
        <v>45726</v>
      </c>
      <c r="E136" t="s">
        <v>228</v>
      </c>
      <c r="F136" t="s">
        <v>228</v>
      </c>
      <c r="G136" t="s">
        <v>27</v>
      </c>
      <c r="H136" t="s">
        <v>5470</v>
      </c>
      <c r="I136" t="s">
        <v>69</v>
      </c>
      <c r="J136" t="s">
        <v>30</v>
      </c>
      <c r="K136">
        <v>9</v>
      </c>
      <c r="L136">
        <v>40</v>
      </c>
      <c r="M136">
        <v>70800</v>
      </c>
      <c r="N136">
        <v>0</v>
      </c>
      <c r="O136">
        <v>70800</v>
      </c>
      <c r="P136">
        <v>32900</v>
      </c>
      <c r="Q136">
        <v>37900</v>
      </c>
      <c r="R136">
        <v>53.53</v>
      </c>
      <c r="S136" t="s">
        <v>79</v>
      </c>
      <c r="T136">
        <v>5700</v>
      </c>
      <c r="U136">
        <v>4.9000000000000004</v>
      </c>
      <c r="V136" t="s">
        <v>58</v>
      </c>
    </row>
    <row r="137" spans="1:22" x14ac:dyDescent="0.3">
      <c r="A137" t="s">
        <v>4933</v>
      </c>
      <c r="B137" t="s">
        <v>688</v>
      </c>
      <c r="C137" t="s">
        <v>689</v>
      </c>
      <c r="D137" s="2">
        <v>45726</v>
      </c>
      <c r="E137" t="s">
        <v>228</v>
      </c>
      <c r="F137" t="s">
        <v>228</v>
      </c>
      <c r="G137" t="s">
        <v>103</v>
      </c>
      <c r="H137" t="s">
        <v>5470</v>
      </c>
      <c r="I137" t="s">
        <v>69</v>
      </c>
      <c r="J137" t="s">
        <v>30</v>
      </c>
      <c r="K137">
        <v>2</v>
      </c>
      <c r="L137">
        <v>64</v>
      </c>
      <c r="M137">
        <v>77400</v>
      </c>
      <c r="N137">
        <v>15500</v>
      </c>
      <c r="O137">
        <v>61900</v>
      </c>
      <c r="P137">
        <v>36400</v>
      </c>
      <c r="Q137">
        <v>25500</v>
      </c>
      <c r="R137">
        <v>41.2</v>
      </c>
      <c r="S137" t="s">
        <v>182</v>
      </c>
      <c r="T137">
        <v>10900</v>
      </c>
      <c r="U137">
        <v>3.5</v>
      </c>
      <c r="V137" t="s">
        <v>79</v>
      </c>
    </row>
    <row r="138" spans="1:22" x14ac:dyDescent="0.3">
      <c r="A138" t="s">
        <v>2327</v>
      </c>
      <c r="B138" t="s">
        <v>1373</v>
      </c>
      <c r="C138" t="s">
        <v>1374</v>
      </c>
      <c r="D138" s="2">
        <v>45726</v>
      </c>
      <c r="E138" t="s">
        <v>66</v>
      </c>
      <c r="F138" t="s">
        <v>66</v>
      </c>
      <c r="G138" t="s">
        <v>118</v>
      </c>
      <c r="H138" t="s">
        <v>268</v>
      </c>
      <c r="I138" t="s">
        <v>29</v>
      </c>
      <c r="J138" t="s">
        <v>30</v>
      </c>
      <c r="K138">
        <v>3</v>
      </c>
      <c r="L138">
        <v>17</v>
      </c>
      <c r="M138">
        <v>47100</v>
      </c>
      <c r="N138">
        <v>9400</v>
      </c>
      <c r="O138">
        <v>37700</v>
      </c>
      <c r="P138">
        <v>20000</v>
      </c>
      <c r="Q138">
        <v>17700</v>
      </c>
      <c r="R138">
        <v>46.95</v>
      </c>
      <c r="S138" t="s">
        <v>182</v>
      </c>
      <c r="T138">
        <v>4300</v>
      </c>
      <c r="U138">
        <v>3.6</v>
      </c>
      <c r="V138" t="s">
        <v>79</v>
      </c>
    </row>
    <row r="139" spans="1:22" x14ac:dyDescent="0.3">
      <c r="A139" t="s">
        <v>5180</v>
      </c>
      <c r="B139" t="s">
        <v>2782</v>
      </c>
      <c r="C139" t="s">
        <v>2783</v>
      </c>
      <c r="D139" s="2">
        <v>45726</v>
      </c>
      <c r="E139" t="s">
        <v>188</v>
      </c>
      <c r="F139" t="s">
        <v>188</v>
      </c>
      <c r="G139" t="s">
        <v>213</v>
      </c>
      <c r="H139" t="s">
        <v>5470</v>
      </c>
      <c r="I139" t="s">
        <v>69</v>
      </c>
      <c r="J139" t="s">
        <v>30</v>
      </c>
      <c r="K139">
        <v>3</v>
      </c>
      <c r="L139">
        <v>28</v>
      </c>
      <c r="M139">
        <v>22400</v>
      </c>
      <c r="N139">
        <v>4500</v>
      </c>
      <c r="O139">
        <v>17900</v>
      </c>
      <c r="P139">
        <v>12000</v>
      </c>
      <c r="Q139">
        <v>5900</v>
      </c>
      <c r="R139">
        <v>32.96</v>
      </c>
      <c r="S139" t="s">
        <v>182</v>
      </c>
      <c r="T139">
        <v>2700</v>
      </c>
      <c r="U139">
        <v>4.8</v>
      </c>
      <c r="V139" t="s">
        <v>79</v>
      </c>
    </row>
    <row r="140" spans="1:22" x14ac:dyDescent="0.3">
      <c r="A140" t="s">
        <v>1939</v>
      </c>
      <c r="B140" t="s">
        <v>1373</v>
      </c>
      <c r="C140" t="s">
        <v>1374</v>
      </c>
      <c r="D140" s="2">
        <v>45726</v>
      </c>
      <c r="E140" t="s">
        <v>282</v>
      </c>
      <c r="F140" t="s">
        <v>282</v>
      </c>
      <c r="G140" t="s">
        <v>27</v>
      </c>
      <c r="H140" t="s">
        <v>88</v>
      </c>
      <c r="I140" t="s">
        <v>29</v>
      </c>
      <c r="J140" t="s">
        <v>30</v>
      </c>
      <c r="K140">
        <v>6</v>
      </c>
      <c r="L140">
        <v>37</v>
      </c>
      <c r="M140">
        <v>91300</v>
      </c>
      <c r="N140">
        <v>18300</v>
      </c>
      <c r="O140">
        <v>73000</v>
      </c>
      <c r="P140">
        <v>52500</v>
      </c>
      <c r="Q140">
        <v>20500</v>
      </c>
      <c r="R140">
        <v>28.08</v>
      </c>
      <c r="S140" t="s">
        <v>126</v>
      </c>
      <c r="T140">
        <v>9400</v>
      </c>
      <c r="U140">
        <v>3.7</v>
      </c>
      <c r="V140" t="s">
        <v>42</v>
      </c>
    </row>
    <row r="141" spans="1:22" x14ac:dyDescent="0.3">
      <c r="A141" t="s">
        <v>3170</v>
      </c>
      <c r="B141" t="s">
        <v>531</v>
      </c>
      <c r="C141" t="s">
        <v>532</v>
      </c>
      <c r="D141" s="2">
        <v>45727</v>
      </c>
      <c r="E141" t="s">
        <v>66</v>
      </c>
      <c r="F141" t="s">
        <v>66</v>
      </c>
      <c r="G141" t="s">
        <v>118</v>
      </c>
      <c r="H141" t="s">
        <v>88</v>
      </c>
      <c r="I141" t="s">
        <v>29</v>
      </c>
      <c r="J141" t="s">
        <v>30</v>
      </c>
      <c r="K141">
        <v>6</v>
      </c>
      <c r="L141">
        <v>48</v>
      </c>
      <c r="M141">
        <v>46100</v>
      </c>
      <c r="N141">
        <v>4600</v>
      </c>
      <c r="O141">
        <v>41500</v>
      </c>
      <c r="P141">
        <v>29200</v>
      </c>
      <c r="Q141">
        <v>12300</v>
      </c>
      <c r="R141">
        <v>29.64</v>
      </c>
      <c r="S141" t="s">
        <v>39</v>
      </c>
      <c r="T141">
        <v>6700</v>
      </c>
      <c r="U141">
        <v>4</v>
      </c>
      <c r="V141" t="s">
        <v>82</v>
      </c>
    </row>
    <row r="142" spans="1:22" x14ac:dyDescent="0.3">
      <c r="A142" t="s">
        <v>988</v>
      </c>
      <c r="B142" t="s">
        <v>989</v>
      </c>
      <c r="C142" t="s">
        <v>990</v>
      </c>
      <c r="D142" s="2">
        <v>45728</v>
      </c>
      <c r="E142" t="s">
        <v>244</v>
      </c>
      <c r="F142" t="s">
        <v>244</v>
      </c>
      <c r="G142" t="s">
        <v>103</v>
      </c>
      <c r="H142" t="s">
        <v>5470</v>
      </c>
      <c r="I142" t="s">
        <v>69</v>
      </c>
      <c r="J142" t="s">
        <v>70</v>
      </c>
      <c r="K142">
        <v>5</v>
      </c>
      <c r="L142">
        <v>43</v>
      </c>
      <c r="M142">
        <v>33900</v>
      </c>
      <c r="N142">
        <v>0</v>
      </c>
      <c r="O142">
        <v>33900</v>
      </c>
      <c r="P142">
        <v>16700</v>
      </c>
      <c r="Q142">
        <v>17200</v>
      </c>
      <c r="R142">
        <v>50.74</v>
      </c>
      <c r="S142" t="s">
        <v>58</v>
      </c>
      <c r="T142">
        <v>5300</v>
      </c>
      <c r="U142">
        <v>4.0999999999999996</v>
      </c>
      <c r="V142" t="s">
        <v>42</v>
      </c>
    </row>
    <row r="143" spans="1:22" x14ac:dyDescent="0.3">
      <c r="A143" t="s">
        <v>4513</v>
      </c>
      <c r="B143" t="s">
        <v>2021</v>
      </c>
      <c r="C143" t="s">
        <v>2022</v>
      </c>
      <c r="D143" s="2">
        <v>45728</v>
      </c>
      <c r="E143" t="s">
        <v>26</v>
      </c>
      <c r="F143" t="s">
        <v>26</v>
      </c>
      <c r="G143" t="s">
        <v>580</v>
      </c>
      <c r="H143" t="s">
        <v>28</v>
      </c>
      <c r="I143" t="s">
        <v>29</v>
      </c>
      <c r="J143" t="s">
        <v>30</v>
      </c>
      <c r="K143">
        <v>6</v>
      </c>
      <c r="L143">
        <v>43</v>
      </c>
      <c r="M143">
        <v>20500</v>
      </c>
      <c r="N143">
        <v>3100</v>
      </c>
      <c r="O143">
        <v>17400</v>
      </c>
      <c r="P143">
        <v>13700</v>
      </c>
      <c r="Q143">
        <v>3700</v>
      </c>
      <c r="R143">
        <v>21.26</v>
      </c>
      <c r="S143" t="s">
        <v>182</v>
      </c>
      <c r="T143">
        <v>2300</v>
      </c>
      <c r="U143">
        <v>3.1</v>
      </c>
      <c r="V143" t="s">
        <v>114</v>
      </c>
    </row>
    <row r="144" spans="1:22" x14ac:dyDescent="0.3">
      <c r="A144" t="s">
        <v>4189</v>
      </c>
      <c r="B144" t="s">
        <v>1546</v>
      </c>
      <c r="C144" t="s">
        <v>1547</v>
      </c>
      <c r="D144" s="2">
        <v>45729</v>
      </c>
      <c r="E144" t="s">
        <v>244</v>
      </c>
      <c r="F144" t="s">
        <v>244</v>
      </c>
      <c r="G144" t="s">
        <v>48</v>
      </c>
      <c r="H144" t="s">
        <v>68</v>
      </c>
      <c r="I144" t="s">
        <v>29</v>
      </c>
      <c r="J144" t="s">
        <v>30</v>
      </c>
      <c r="K144">
        <v>8</v>
      </c>
      <c r="L144">
        <v>9</v>
      </c>
      <c r="M144">
        <v>47200</v>
      </c>
      <c r="N144">
        <v>7100</v>
      </c>
      <c r="O144">
        <v>40100</v>
      </c>
      <c r="P144">
        <v>22200</v>
      </c>
      <c r="Q144">
        <v>17900</v>
      </c>
      <c r="R144">
        <v>44.64</v>
      </c>
      <c r="S144" t="s">
        <v>79</v>
      </c>
      <c r="T144">
        <v>4900</v>
      </c>
      <c r="U144">
        <v>3.5</v>
      </c>
      <c r="V144" t="s">
        <v>82</v>
      </c>
    </row>
    <row r="145" spans="1:22" x14ac:dyDescent="0.3">
      <c r="A145" t="s">
        <v>3213</v>
      </c>
      <c r="B145" t="s">
        <v>1520</v>
      </c>
      <c r="C145" t="s">
        <v>1521</v>
      </c>
      <c r="D145" s="2">
        <v>45730</v>
      </c>
      <c r="E145" t="s">
        <v>134</v>
      </c>
      <c r="F145" t="s">
        <v>134</v>
      </c>
      <c r="G145" t="s">
        <v>580</v>
      </c>
      <c r="H145" t="s">
        <v>88</v>
      </c>
      <c r="I145" t="s">
        <v>29</v>
      </c>
      <c r="J145" t="s">
        <v>30</v>
      </c>
      <c r="K145">
        <v>6</v>
      </c>
      <c r="L145">
        <v>43</v>
      </c>
      <c r="M145">
        <v>36900</v>
      </c>
      <c r="N145">
        <v>5500</v>
      </c>
      <c r="O145">
        <v>31400</v>
      </c>
      <c r="P145">
        <v>16100</v>
      </c>
      <c r="Q145">
        <v>15300</v>
      </c>
      <c r="R145">
        <v>48.73</v>
      </c>
      <c r="S145" t="s">
        <v>79</v>
      </c>
      <c r="T145">
        <v>2200</v>
      </c>
      <c r="U145">
        <v>5</v>
      </c>
      <c r="V145" t="s">
        <v>42</v>
      </c>
    </row>
    <row r="146" spans="1:22" x14ac:dyDescent="0.3">
      <c r="A146" t="s">
        <v>5456</v>
      </c>
      <c r="B146" t="s">
        <v>989</v>
      </c>
      <c r="C146" t="s">
        <v>990</v>
      </c>
      <c r="D146" s="2">
        <v>45730</v>
      </c>
      <c r="E146" t="s">
        <v>188</v>
      </c>
      <c r="F146" t="s">
        <v>188</v>
      </c>
      <c r="G146" t="s">
        <v>118</v>
      </c>
      <c r="H146" t="s">
        <v>5470</v>
      </c>
      <c r="I146" t="s">
        <v>69</v>
      </c>
      <c r="J146" t="s">
        <v>30</v>
      </c>
      <c r="K146">
        <v>4</v>
      </c>
      <c r="L146">
        <v>45</v>
      </c>
      <c r="M146">
        <v>28500</v>
      </c>
      <c r="N146">
        <v>0</v>
      </c>
      <c r="O146">
        <v>28500</v>
      </c>
      <c r="P146">
        <v>14800</v>
      </c>
      <c r="Q146">
        <v>13700</v>
      </c>
      <c r="R146">
        <v>48.07</v>
      </c>
      <c r="S146" t="s">
        <v>182</v>
      </c>
      <c r="T146">
        <v>3900</v>
      </c>
      <c r="U146">
        <v>3.8</v>
      </c>
      <c r="V146" t="s">
        <v>42</v>
      </c>
    </row>
    <row r="147" spans="1:22" x14ac:dyDescent="0.3">
      <c r="A147" t="s">
        <v>3447</v>
      </c>
      <c r="B147" t="s">
        <v>3448</v>
      </c>
      <c r="C147" t="s">
        <v>3449</v>
      </c>
      <c r="D147" s="2">
        <v>45730</v>
      </c>
      <c r="E147" t="s">
        <v>244</v>
      </c>
      <c r="F147" t="s">
        <v>244</v>
      </c>
      <c r="G147" t="s">
        <v>147</v>
      </c>
      <c r="H147" t="s">
        <v>268</v>
      </c>
      <c r="I147" t="s">
        <v>69</v>
      </c>
      <c r="J147" t="s">
        <v>162</v>
      </c>
      <c r="K147">
        <v>8</v>
      </c>
      <c r="L147">
        <v>48</v>
      </c>
      <c r="M147">
        <v>21200</v>
      </c>
      <c r="N147">
        <v>0</v>
      </c>
      <c r="O147">
        <v>21200</v>
      </c>
      <c r="P147">
        <v>14200</v>
      </c>
      <c r="Q147">
        <v>7000</v>
      </c>
      <c r="R147">
        <v>33.020000000000003</v>
      </c>
      <c r="S147" t="s">
        <v>58</v>
      </c>
      <c r="T147">
        <v>1000</v>
      </c>
      <c r="U147">
        <v>4.4000000000000004</v>
      </c>
      <c r="V147" t="s">
        <v>82</v>
      </c>
    </row>
    <row r="148" spans="1:22" x14ac:dyDescent="0.3">
      <c r="A148" t="s">
        <v>3034</v>
      </c>
      <c r="B148" t="s">
        <v>1638</v>
      </c>
      <c r="C148" t="s">
        <v>1639</v>
      </c>
      <c r="D148" s="2">
        <v>45731</v>
      </c>
      <c r="E148" t="s">
        <v>134</v>
      </c>
      <c r="F148" t="s">
        <v>134</v>
      </c>
      <c r="G148" t="s">
        <v>27</v>
      </c>
      <c r="H148" t="s">
        <v>5470</v>
      </c>
      <c r="I148" t="s">
        <v>29</v>
      </c>
      <c r="J148" t="s">
        <v>70</v>
      </c>
      <c r="K148">
        <v>6</v>
      </c>
      <c r="L148">
        <v>27</v>
      </c>
      <c r="M148">
        <v>35300</v>
      </c>
      <c r="N148">
        <v>7100</v>
      </c>
      <c r="O148">
        <v>28200</v>
      </c>
      <c r="P148">
        <v>27000</v>
      </c>
      <c r="Q148">
        <v>1200</v>
      </c>
      <c r="R148">
        <v>4.26</v>
      </c>
      <c r="S148" t="s">
        <v>97</v>
      </c>
      <c r="T148">
        <v>3000</v>
      </c>
      <c r="U148">
        <v>3.5</v>
      </c>
      <c r="V148" t="s">
        <v>79</v>
      </c>
    </row>
    <row r="149" spans="1:22" x14ac:dyDescent="0.3">
      <c r="A149" t="s">
        <v>4054</v>
      </c>
      <c r="B149" t="s">
        <v>2005</v>
      </c>
      <c r="C149" t="s">
        <v>2006</v>
      </c>
      <c r="D149" s="2">
        <v>45731</v>
      </c>
      <c r="E149" t="s">
        <v>26</v>
      </c>
      <c r="F149" t="s">
        <v>26</v>
      </c>
      <c r="G149" t="s">
        <v>118</v>
      </c>
      <c r="H149" t="s">
        <v>49</v>
      </c>
      <c r="I149" t="s">
        <v>29</v>
      </c>
      <c r="J149" t="s">
        <v>30</v>
      </c>
      <c r="K149">
        <v>7</v>
      </c>
      <c r="L149">
        <v>19</v>
      </c>
      <c r="M149">
        <v>78200</v>
      </c>
      <c r="N149">
        <v>7800</v>
      </c>
      <c r="O149">
        <v>70400</v>
      </c>
      <c r="P149">
        <v>54100</v>
      </c>
      <c r="Q149">
        <v>16300</v>
      </c>
      <c r="R149">
        <v>23.15</v>
      </c>
      <c r="S149" t="s">
        <v>97</v>
      </c>
      <c r="T149">
        <v>9000</v>
      </c>
      <c r="U149">
        <v>3.7</v>
      </c>
      <c r="V149" t="s">
        <v>82</v>
      </c>
    </row>
    <row r="150" spans="1:22" x14ac:dyDescent="0.3">
      <c r="A150" t="s">
        <v>5024</v>
      </c>
      <c r="B150" t="s">
        <v>1349</v>
      </c>
      <c r="C150" t="s">
        <v>1350</v>
      </c>
      <c r="D150" s="2">
        <v>45731</v>
      </c>
      <c r="E150" t="s">
        <v>161</v>
      </c>
      <c r="F150" t="s">
        <v>161</v>
      </c>
      <c r="G150" t="s">
        <v>147</v>
      </c>
      <c r="H150" t="s">
        <v>49</v>
      </c>
      <c r="I150" t="s">
        <v>69</v>
      </c>
      <c r="J150" t="s">
        <v>30</v>
      </c>
      <c r="K150">
        <v>7</v>
      </c>
      <c r="L150">
        <v>40</v>
      </c>
      <c r="M150">
        <v>83800</v>
      </c>
      <c r="N150">
        <v>16800</v>
      </c>
      <c r="O150">
        <v>67000</v>
      </c>
      <c r="P150">
        <v>41800</v>
      </c>
      <c r="Q150">
        <v>25200</v>
      </c>
      <c r="R150">
        <v>37.61</v>
      </c>
      <c r="S150" t="s">
        <v>182</v>
      </c>
      <c r="T150">
        <v>5900</v>
      </c>
      <c r="U150">
        <v>4.0999999999999996</v>
      </c>
      <c r="V150" t="s">
        <v>114</v>
      </c>
    </row>
    <row r="151" spans="1:22" x14ac:dyDescent="0.3">
      <c r="A151" t="s">
        <v>5182</v>
      </c>
      <c r="B151" t="s">
        <v>3903</v>
      </c>
      <c r="C151" t="s">
        <v>3904</v>
      </c>
      <c r="D151" s="2">
        <v>45732</v>
      </c>
      <c r="E151" t="s">
        <v>134</v>
      </c>
      <c r="F151" t="s">
        <v>134</v>
      </c>
      <c r="G151" t="s">
        <v>580</v>
      </c>
      <c r="H151" t="s">
        <v>68</v>
      </c>
      <c r="I151" t="s">
        <v>69</v>
      </c>
      <c r="J151" t="s">
        <v>70</v>
      </c>
      <c r="K151">
        <v>8</v>
      </c>
      <c r="L151">
        <v>13</v>
      </c>
      <c r="M151">
        <v>25800</v>
      </c>
      <c r="N151">
        <v>3900</v>
      </c>
      <c r="O151">
        <v>21900</v>
      </c>
      <c r="P151">
        <v>16600</v>
      </c>
      <c r="Q151">
        <v>5300</v>
      </c>
      <c r="R151">
        <v>24.2</v>
      </c>
      <c r="S151" t="s">
        <v>97</v>
      </c>
      <c r="T151">
        <v>3600</v>
      </c>
      <c r="U151">
        <v>4.2</v>
      </c>
      <c r="V151" t="s">
        <v>82</v>
      </c>
    </row>
    <row r="152" spans="1:22" x14ac:dyDescent="0.3">
      <c r="A152" t="s">
        <v>4015</v>
      </c>
      <c r="B152" t="s">
        <v>4016</v>
      </c>
      <c r="C152" t="s">
        <v>4017</v>
      </c>
      <c r="D152" s="2">
        <v>45733</v>
      </c>
      <c r="E152" t="s">
        <v>188</v>
      </c>
      <c r="F152" t="s">
        <v>188</v>
      </c>
      <c r="G152" t="s">
        <v>213</v>
      </c>
      <c r="H152" t="s">
        <v>268</v>
      </c>
      <c r="I152" t="s">
        <v>29</v>
      </c>
      <c r="J152" t="s">
        <v>30</v>
      </c>
      <c r="K152">
        <v>7</v>
      </c>
      <c r="L152">
        <v>55</v>
      </c>
      <c r="M152">
        <v>63000</v>
      </c>
      <c r="N152">
        <v>0</v>
      </c>
      <c r="O152">
        <v>63000</v>
      </c>
      <c r="P152">
        <v>33700</v>
      </c>
      <c r="Q152">
        <v>29300</v>
      </c>
      <c r="R152">
        <v>46.51</v>
      </c>
      <c r="S152" t="s">
        <v>58</v>
      </c>
      <c r="T152">
        <v>2700</v>
      </c>
      <c r="U152">
        <v>4.4000000000000004</v>
      </c>
      <c r="V152" t="s">
        <v>114</v>
      </c>
    </row>
    <row r="153" spans="1:22" x14ac:dyDescent="0.3">
      <c r="A153" t="s">
        <v>1059</v>
      </c>
      <c r="B153" t="s">
        <v>1060</v>
      </c>
      <c r="C153" t="s">
        <v>1061</v>
      </c>
      <c r="D153" s="2">
        <v>45735</v>
      </c>
      <c r="E153" t="s">
        <v>26</v>
      </c>
      <c r="F153" t="s">
        <v>26</v>
      </c>
      <c r="G153" t="s">
        <v>48</v>
      </c>
      <c r="H153" t="s">
        <v>229</v>
      </c>
      <c r="I153" t="s">
        <v>69</v>
      </c>
      <c r="J153" t="s">
        <v>70</v>
      </c>
      <c r="K153">
        <v>4</v>
      </c>
      <c r="L153">
        <v>5</v>
      </c>
      <c r="M153">
        <v>20500</v>
      </c>
      <c r="N153">
        <v>2000</v>
      </c>
      <c r="O153">
        <v>18500</v>
      </c>
      <c r="P153">
        <v>14200</v>
      </c>
      <c r="Q153">
        <v>4300</v>
      </c>
      <c r="R153">
        <v>23.24</v>
      </c>
      <c r="S153" t="s">
        <v>39</v>
      </c>
      <c r="T153">
        <v>1400</v>
      </c>
      <c r="U153">
        <v>4.2</v>
      </c>
      <c r="V153" t="s">
        <v>79</v>
      </c>
    </row>
    <row r="154" spans="1:22" x14ac:dyDescent="0.3">
      <c r="A154" t="s">
        <v>4565</v>
      </c>
      <c r="B154" t="s">
        <v>84</v>
      </c>
      <c r="C154" t="s">
        <v>85</v>
      </c>
      <c r="D154" s="2">
        <v>45737</v>
      </c>
      <c r="E154" t="s">
        <v>228</v>
      </c>
      <c r="F154" t="s">
        <v>228</v>
      </c>
      <c r="G154" t="s">
        <v>48</v>
      </c>
      <c r="H154" t="s">
        <v>5470</v>
      </c>
      <c r="I154" t="s">
        <v>29</v>
      </c>
      <c r="J154" t="s">
        <v>162</v>
      </c>
      <c r="K154">
        <v>9</v>
      </c>
      <c r="L154">
        <v>40</v>
      </c>
      <c r="M154">
        <v>42300</v>
      </c>
      <c r="N154">
        <v>4200</v>
      </c>
      <c r="O154">
        <v>38100</v>
      </c>
      <c r="P154">
        <v>26600</v>
      </c>
      <c r="Q154">
        <v>11500</v>
      </c>
      <c r="R154">
        <v>30.18</v>
      </c>
      <c r="S154" t="s">
        <v>58</v>
      </c>
      <c r="T154">
        <v>1600</v>
      </c>
      <c r="U154">
        <v>4</v>
      </c>
      <c r="V154" t="s">
        <v>42</v>
      </c>
    </row>
    <row r="155" spans="1:22" x14ac:dyDescent="0.3">
      <c r="A155" t="s">
        <v>2321</v>
      </c>
      <c r="B155" t="s">
        <v>1899</v>
      </c>
      <c r="C155" t="s">
        <v>1900</v>
      </c>
      <c r="D155" s="2">
        <v>45738</v>
      </c>
      <c r="E155" t="s">
        <v>282</v>
      </c>
      <c r="F155" t="s">
        <v>282</v>
      </c>
      <c r="G155" t="s">
        <v>147</v>
      </c>
      <c r="H155" t="s">
        <v>68</v>
      </c>
      <c r="I155" t="s">
        <v>29</v>
      </c>
      <c r="J155" t="s">
        <v>162</v>
      </c>
      <c r="K155">
        <v>8</v>
      </c>
      <c r="L155">
        <v>60</v>
      </c>
      <c r="M155">
        <v>83800</v>
      </c>
      <c r="N155">
        <v>4200</v>
      </c>
      <c r="O155">
        <v>79600</v>
      </c>
      <c r="P155">
        <v>47300</v>
      </c>
      <c r="Q155">
        <v>32300</v>
      </c>
      <c r="R155">
        <v>40.58</v>
      </c>
      <c r="S155" t="s">
        <v>39</v>
      </c>
      <c r="T155">
        <v>9900</v>
      </c>
      <c r="U155">
        <v>3.4</v>
      </c>
      <c r="V155" t="s">
        <v>79</v>
      </c>
    </row>
    <row r="156" spans="1:22" x14ac:dyDescent="0.3">
      <c r="A156" t="s">
        <v>99</v>
      </c>
      <c r="B156" t="s">
        <v>100</v>
      </c>
      <c r="C156" t="s">
        <v>101</v>
      </c>
      <c r="D156" s="2">
        <v>45738</v>
      </c>
      <c r="E156" t="s">
        <v>26</v>
      </c>
      <c r="F156" t="s">
        <v>26</v>
      </c>
      <c r="G156" t="s">
        <v>103</v>
      </c>
      <c r="H156" t="s">
        <v>5470</v>
      </c>
      <c r="I156" t="s">
        <v>69</v>
      </c>
      <c r="J156" t="s">
        <v>30</v>
      </c>
      <c r="K156">
        <v>10</v>
      </c>
      <c r="L156">
        <v>28</v>
      </c>
      <c r="M156">
        <v>47100</v>
      </c>
      <c r="N156">
        <v>7100</v>
      </c>
      <c r="O156">
        <v>40000</v>
      </c>
      <c r="P156">
        <v>31200</v>
      </c>
      <c r="Q156">
        <v>8800</v>
      </c>
      <c r="R156">
        <v>22</v>
      </c>
      <c r="S156" t="s">
        <v>39</v>
      </c>
      <c r="T156">
        <v>4100</v>
      </c>
      <c r="U156">
        <v>2.8</v>
      </c>
      <c r="V156" t="s">
        <v>114</v>
      </c>
    </row>
    <row r="157" spans="1:22" x14ac:dyDescent="0.3">
      <c r="A157" t="s">
        <v>4672</v>
      </c>
      <c r="B157" t="s">
        <v>2384</v>
      </c>
      <c r="C157" t="s">
        <v>2385</v>
      </c>
      <c r="D157" s="2">
        <v>45740</v>
      </c>
      <c r="E157" t="s">
        <v>161</v>
      </c>
      <c r="F157" t="s">
        <v>161</v>
      </c>
      <c r="G157" t="s">
        <v>118</v>
      </c>
      <c r="H157" t="s">
        <v>49</v>
      </c>
      <c r="I157" t="s">
        <v>69</v>
      </c>
      <c r="J157" t="s">
        <v>30</v>
      </c>
      <c r="K157">
        <v>6</v>
      </c>
      <c r="L157">
        <v>36</v>
      </c>
      <c r="M157">
        <v>35600</v>
      </c>
      <c r="N157">
        <v>7100</v>
      </c>
      <c r="O157">
        <v>28500</v>
      </c>
      <c r="P157">
        <v>17600</v>
      </c>
      <c r="Q157">
        <v>10900</v>
      </c>
      <c r="R157">
        <v>38.25</v>
      </c>
      <c r="S157" t="s">
        <v>97</v>
      </c>
      <c r="T157">
        <v>3300</v>
      </c>
      <c r="U157">
        <v>4.2</v>
      </c>
      <c r="V157" t="s">
        <v>79</v>
      </c>
    </row>
    <row r="158" spans="1:22" x14ac:dyDescent="0.3">
      <c r="A158" t="s">
        <v>979</v>
      </c>
      <c r="B158" t="s">
        <v>980</v>
      </c>
      <c r="C158" t="s">
        <v>981</v>
      </c>
      <c r="D158" s="2">
        <v>45740</v>
      </c>
      <c r="E158" t="s">
        <v>161</v>
      </c>
      <c r="F158" t="s">
        <v>161</v>
      </c>
      <c r="G158" t="s">
        <v>48</v>
      </c>
      <c r="H158" t="s">
        <v>229</v>
      </c>
      <c r="I158" t="s">
        <v>69</v>
      </c>
      <c r="J158" t="s">
        <v>162</v>
      </c>
      <c r="K158">
        <v>7</v>
      </c>
      <c r="L158">
        <v>55</v>
      </c>
      <c r="M158">
        <v>26000</v>
      </c>
      <c r="N158">
        <v>1300</v>
      </c>
      <c r="O158">
        <v>24700</v>
      </c>
      <c r="P158">
        <v>15600</v>
      </c>
      <c r="Q158">
        <v>9100</v>
      </c>
      <c r="R158">
        <v>36.840000000000003</v>
      </c>
      <c r="S158" t="s">
        <v>97</v>
      </c>
      <c r="T158">
        <v>2400</v>
      </c>
      <c r="U158">
        <v>4.2</v>
      </c>
      <c r="V158" t="s">
        <v>79</v>
      </c>
    </row>
    <row r="159" spans="1:22" x14ac:dyDescent="0.3">
      <c r="A159" t="s">
        <v>4038</v>
      </c>
      <c r="B159" t="s">
        <v>3825</v>
      </c>
      <c r="C159" t="s">
        <v>3826</v>
      </c>
      <c r="D159" s="2">
        <v>45741</v>
      </c>
      <c r="E159" t="s">
        <v>282</v>
      </c>
      <c r="F159" t="s">
        <v>282</v>
      </c>
      <c r="G159" t="s">
        <v>27</v>
      </c>
      <c r="H159" t="s">
        <v>68</v>
      </c>
      <c r="I159" t="s">
        <v>29</v>
      </c>
      <c r="J159" t="s">
        <v>70</v>
      </c>
      <c r="K159">
        <v>9</v>
      </c>
      <c r="L159">
        <v>53</v>
      </c>
      <c r="M159">
        <v>16100</v>
      </c>
      <c r="N159">
        <v>800</v>
      </c>
      <c r="O159">
        <v>15300</v>
      </c>
      <c r="P159">
        <v>10100</v>
      </c>
      <c r="Q159">
        <v>5200</v>
      </c>
      <c r="R159">
        <v>33.99</v>
      </c>
      <c r="S159" t="s">
        <v>182</v>
      </c>
      <c r="T159">
        <v>2300</v>
      </c>
      <c r="U159">
        <v>3.4</v>
      </c>
      <c r="V159" t="s">
        <v>79</v>
      </c>
    </row>
    <row r="160" spans="1:22" x14ac:dyDescent="0.3">
      <c r="A160" t="s">
        <v>838</v>
      </c>
      <c r="B160" t="s">
        <v>839</v>
      </c>
      <c r="C160" t="s">
        <v>840</v>
      </c>
      <c r="D160" s="2">
        <v>45741</v>
      </c>
      <c r="E160" t="s">
        <v>66</v>
      </c>
      <c r="F160" t="s">
        <v>66</v>
      </c>
      <c r="G160" t="s">
        <v>27</v>
      </c>
      <c r="H160" t="s">
        <v>68</v>
      </c>
      <c r="I160" t="s">
        <v>69</v>
      </c>
      <c r="J160" t="s">
        <v>30</v>
      </c>
      <c r="K160">
        <v>4</v>
      </c>
      <c r="L160">
        <v>59</v>
      </c>
      <c r="M160">
        <v>34300</v>
      </c>
      <c r="N160">
        <v>0</v>
      </c>
      <c r="O160">
        <v>34300</v>
      </c>
      <c r="P160">
        <v>28000</v>
      </c>
      <c r="Q160">
        <v>6300</v>
      </c>
      <c r="R160">
        <v>18.37</v>
      </c>
      <c r="S160" t="s">
        <v>39</v>
      </c>
      <c r="T160">
        <v>3200</v>
      </c>
      <c r="U160">
        <v>3.7</v>
      </c>
      <c r="V160" t="s">
        <v>79</v>
      </c>
    </row>
    <row r="161" spans="1:22" x14ac:dyDescent="0.3">
      <c r="A161" t="s">
        <v>4840</v>
      </c>
      <c r="B161" t="s">
        <v>2005</v>
      </c>
      <c r="C161" t="s">
        <v>2006</v>
      </c>
      <c r="D161" s="2">
        <v>45741</v>
      </c>
      <c r="E161" t="s">
        <v>188</v>
      </c>
      <c r="F161" t="s">
        <v>188</v>
      </c>
      <c r="G161" t="s">
        <v>580</v>
      </c>
      <c r="H161" t="s">
        <v>5471</v>
      </c>
      <c r="I161" t="s">
        <v>29</v>
      </c>
      <c r="J161" t="s">
        <v>30</v>
      </c>
      <c r="K161">
        <v>8</v>
      </c>
      <c r="L161">
        <v>29</v>
      </c>
      <c r="M161">
        <v>19700</v>
      </c>
      <c r="N161">
        <v>0</v>
      </c>
      <c r="O161">
        <v>19700</v>
      </c>
      <c r="P161">
        <v>13100</v>
      </c>
      <c r="Q161">
        <v>6600</v>
      </c>
      <c r="R161">
        <v>33.5</v>
      </c>
      <c r="S161" t="s">
        <v>79</v>
      </c>
      <c r="T161">
        <v>2000</v>
      </c>
      <c r="U161">
        <v>4.2</v>
      </c>
      <c r="V161" t="s">
        <v>79</v>
      </c>
    </row>
    <row r="162" spans="1:22" x14ac:dyDescent="0.3">
      <c r="A162" t="s">
        <v>1209</v>
      </c>
      <c r="B162" t="s">
        <v>387</v>
      </c>
      <c r="C162" t="s">
        <v>388</v>
      </c>
      <c r="D162" s="2">
        <v>45741</v>
      </c>
      <c r="E162" t="s">
        <v>244</v>
      </c>
      <c r="F162" t="s">
        <v>244</v>
      </c>
      <c r="G162" t="s">
        <v>580</v>
      </c>
      <c r="H162" t="s">
        <v>214</v>
      </c>
      <c r="I162" t="s">
        <v>69</v>
      </c>
      <c r="J162" t="s">
        <v>30</v>
      </c>
      <c r="K162">
        <v>6</v>
      </c>
      <c r="L162">
        <v>8</v>
      </c>
      <c r="M162">
        <v>93200</v>
      </c>
      <c r="N162">
        <v>18600</v>
      </c>
      <c r="O162">
        <v>74600</v>
      </c>
      <c r="P162">
        <v>52200</v>
      </c>
      <c r="Q162">
        <v>22400</v>
      </c>
      <c r="R162">
        <v>30.03</v>
      </c>
      <c r="S162" t="s">
        <v>58</v>
      </c>
      <c r="T162">
        <v>5000</v>
      </c>
      <c r="U162">
        <v>3.9</v>
      </c>
      <c r="V162" t="s">
        <v>82</v>
      </c>
    </row>
    <row r="163" spans="1:22" x14ac:dyDescent="0.3">
      <c r="A163" t="s">
        <v>2617</v>
      </c>
      <c r="B163" t="s">
        <v>302</v>
      </c>
      <c r="C163" t="s">
        <v>303</v>
      </c>
      <c r="D163" s="2">
        <v>45742</v>
      </c>
      <c r="E163" t="s">
        <v>188</v>
      </c>
      <c r="F163" t="s">
        <v>188</v>
      </c>
      <c r="G163" t="s">
        <v>27</v>
      </c>
      <c r="H163" t="s">
        <v>49</v>
      </c>
      <c r="I163" t="s">
        <v>69</v>
      </c>
      <c r="J163" t="s">
        <v>30</v>
      </c>
      <c r="K163">
        <v>3</v>
      </c>
      <c r="L163">
        <v>9</v>
      </c>
      <c r="M163">
        <v>21200</v>
      </c>
      <c r="N163">
        <v>1100</v>
      </c>
      <c r="O163">
        <v>20100</v>
      </c>
      <c r="P163">
        <v>15300</v>
      </c>
      <c r="Q163">
        <v>4800</v>
      </c>
      <c r="R163">
        <v>23.88</v>
      </c>
      <c r="S163" t="s">
        <v>97</v>
      </c>
      <c r="T163">
        <v>1000</v>
      </c>
      <c r="U163">
        <v>3.1</v>
      </c>
      <c r="V163" t="s">
        <v>114</v>
      </c>
    </row>
    <row r="164" spans="1:22" x14ac:dyDescent="0.3">
      <c r="A164" t="s">
        <v>4621</v>
      </c>
      <c r="B164" t="s">
        <v>2756</v>
      </c>
      <c r="C164" t="s">
        <v>2757</v>
      </c>
      <c r="D164" s="2">
        <v>45742</v>
      </c>
      <c r="E164" t="s">
        <v>66</v>
      </c>
      <c r="F164" t="s">
        <v>66</v>
      </c>
      <c r="G164" t="s">
        <v>103</v>
      </c>
      <c r="H164" t="s">
        <v>5471</v>
      </c>
      <c r="I164" t="s">
        <v>69</v>
      </c>
      <c r="J164" t="s">
        <v>30</v>
      </c>
      <c r="K164">
        <v>7</v>
      </c>
      <c r="L164">
        <v>6</v>
      </c>
      <c r="M164">
        <v>53200</v>
      </c>
      <c r="N164">
        <v>0</v>
      </c>
      <c r="O164">
        <v>53200</v>
      </c>
      <c r="P164">
        <v>34400</v>
      </c>
      <c r="Q164">
        <v>18800</v>
      </c>
      <c r="R164">
        <v>35.340000000000003</v>
      </c>
      <c r="S164" t="s">
        <v>39</v>
      </c>
      <c r="T164">
        <v>2900</v>
      </c>
      <c r="U164">
        <v>3.4</v>
      </c>
      <c r="V164" t="s">
        <v>79</v>
      </c>
    </row>
    <row r="165" spans="1:22" x14ac:dyDescent="0.3">
      <c r="A165" t="s">
        <v>4276</v>
      </c>
      <c r="B165" t="s">
        <v>2775</v>
      </c>
      <c r="C165" t="s">
        <v>2776</v>
      </c>
      <c r="D165" s="2">
        <v>45742</v>
      </c>
      <c r="E165" t="s">
        <v>26</v>
      </c>
      <c r="F165" t="s">
        <v>26</v>
      </c>
      <c r="G165" t="s">
        <v>147</v>
      </c>
      <c r="H165" t="s">
        <v>214</v>
      </c>
      <c r="I165" t="s">
        <v>29</v>
      </c>
      <c r="J165" t="s">
        <v>30</v>
      </c>
      <c r="K165">
        <v>3</v>
      </c>
      <c r="L165">
        <v>47</v>
      </c>
      <c r="M165">
        <v>41300</v>
      </c>
      <c r="N165">
        <v>4100</v>
      </c>
      <c r="O165">
        <v>37200</v>
      </c>
      <c r="P165">
        <v>22600</v>
      </c>
      <c r="Q165">
        <v>14600</v>
      </c>
      <c r="R165">
        <v>39.25</v>
      </c>
      <c r="S165" t="s">
        <v>126</v>
      </c>
      <c r="T165">
        <v>5100</v>
      </c>
      <c r="U165">
        <v>4.8</v>
      </c>
      <c r="V165" t="s">
        <v>42</v>
      </c>
    </row>
    <row r="166" spans="1:22" x14ac:dyDescent="0.3">
      <c r="A166" t="s">
        <v>4388</v>
      </c>
      <c r="B166" t="s">
        <v>1904</v>
      </c>
      <c r="C166" t="s">
        <v>1905</v>
      </c>
      <c r="D166" s="2">
        <v>45743</v>
      </c>
      <c r="E166" t="s">
        <v>188</v>
      </c>
      <c r="F166" t="s">
        <v>188</v>
      </c>
      <c r="G166" t="s">
        <v>48</v>
      </c>
      <c r="H166" t="s">
        <v>268</v>
      </c>
      <c r="I166" t="s">
        <v>29</v>
      </c>
      <c r="J166" t="s">
        <v>30</v>
      </c>
      <c r="K166">
        <v>10</v>
      </c>
      <c r="L166">
        <v>30</v>
      </c>
      <c r="M166">
        <v>138200</v>
      </c>
      <c r="N166">
        <v>0</v>
      </c>
      <c r="O166">
        <v>138200</v>
      </c>
      <c r="P166">
        <v>90700</v>
      </c>
      <c r="Q166">
        <v>47500</v>
      </c>
      <c r="R166">
        <v>34.369999999999997</v>
      </c>
      <c r="S166" t="s">
        <v>126</v>
      </c>
      <c r="T166">
        <v>9400</v>
      </c>
      <c r="U166">
        <v>4.4000000000000004</v>
      </c>
      <c r="V166" t="s">
        <v>42</v>
      </c>
    </row>
    <row r="167" spans="1:22" x14ac:dyDescent="0.3">
      <c r="A167" t="s">
        <v>4405</v>
      </c>
      <c r="B167" t="s">
        <v>2270</v>
      </c>
      <c r="C167" t="s">
        <v>2271</v>
      </c>
      <c r="D167" s="2">
        <v>45743</v>
      </c>
      <c r="E167" t="s">
        <v>228</v>
      </c>
      <c r="F167" t="s">
        <v>228</v>
      </c>
      <c r="G167" t="s">
        <v>147</v>
      </c>
      <c r="H167" t="s">
        <v>5470</v>
      </c>
      <c r="I167" t="s">
        <v>29</v>
      </c>
      <c r="J167" t="s">
        <v>30</v>
      </c>
      <c r="K167">
        <v>6</v>
      </c>
      <c r="L167">
        <v>10</v>
      </c>
      <c r="M167">
        <v>33600</v>
      </c>
      <c r="N167">
        <v>0</v>
      </c>
      <c r="O167">
        <v>33600</v>
      </c>
      <c r="P167">
        <v>18400</v>
      </c>
      <c r="Q167">
        <v>15200</v>
      </c>
      <c r="R167">
        <v>45.24</v>
      </c>
      <c r="S167" t="s">
        <v>182</v>
      </c>
      <c r="T167">
        <v>4800</v>
      </c>
      <c r="U167">
        <v>2.8</v>
      </c>
      <c r="V167" t="s">
        <v>82</v>
      </c>
    </row>
    <row r="168" spans="1:22" x14ac:dyDescent="0.3">
      <c r="A168" t="s">
        <v>2098</v>
      </c>
      <c r="B168" t="s">
        <v>2099</v>
      </c>
      <c r="C168" t="s">
        <v>2100</v>
      </c>
      <c r="D168" s="2">
        <v>45743</v>
      </c>
      <c r="E168" t="s">
        <v>228</v>
      </c>
      <c r="F168" t="s">
        <v>228</v>
      </c>
      <c r="G168" t="s">
        <v>213</v>
      </c>
      <c r="H168" t="s">
        <v>229</v>
      </c>
      <c r="I168" t="s">
        <v>29</v>
      </c>
      <c r="J168" t="s">
        <v>30</v>
      </c>
      <c r="K168">
        <v>6</v>
      </c>
      <c r="L168">
        <v>17</v>
      </c>
      <c r="M168">
        <v>16800</v>
      </c>
      <c r="N168">
        <v>0</v>
      </c>
      <c r="O168">
        <v>16800</v>
      </c>
      <c r="P168">
        <v>13100</v>
      </c>
      <c r="Q168">
        <v>3700</v>
      </c>
      <c r="R168">
        <v>22.02</v>
      </c>
      <c r="S168" t="s">
        <v>58</v>
      </c>
      <c r="T168">
        <v>2400</v>
      </c>
      <c r="U168">
        <v>3.4</v>
      </c>
      <c r="V168" t="s">
        <v>58</v>
      </c>
    </row>
    <row r="169" spans="1:22" x14ac:dyDescent="0.3">
      <c r="A169" t="s">
        <v>3261</v>
      </c>
      <c r="B169" t="s">
        <v>3262</v>
      </c>
      <c r="C169" t="s">
        <v>3263</v>
      </c>
      <c r="D169" s="2">
        <v>45744</v>
      </c>
      <c r="E169" t="s">
        <v>161</v>
      </c>
      <c r="F169" t="s">
        <v>161</v>
      </c>
      <c r="G169" t="s">
        <v>580</v>
      </c>
      <c r="H169" t="s">
        <v>28</v>
      </c>
      <c r="I169" t="s">
        <v>29</v>
      </c>
      <c r="J169" t="s">
        <v>70</v>
      </c>
      <c r="K169">
        <v>4</v>
      </c>
      <c r="L169">
        <v>22</v>
      </c>
      <c r="M169">
        <v>34300</v>
      </c>
      <c r="N169">
        <v>3400</v>
      </c>
      <c r="O169">
        <v>30900</v>
      </c>
      <c r="P169">
        <v>18800</v>
      </c>
      <c r="Q169">
        <v>12100</v>
      </c>
      <c r="R169">
        <v>39.159999999999997</v>
      </c>
      <c r="S169" t="s">
        <v>182</v>
      </c>
      <c r="T169">
        <v>4800</v>
      </c>
      <c r="U169">
        <v>3.7</v>
      </c>
      <c r="V169" t="s">
        <v>114</v>
      </c>
    </row>
    <row r="170" spans="1:22" x14ac:dyDescent="0.3">
      <c r="A170" t="s">
        <v>4633</v>
      </c>
      <c r="B170" t="s">
        <v>1993</v>
      </c>
      <c r="C170" t="s">
        <v>1994</v>
      </c>
      <c r="D170" s="2">
        <v>45744</v>
      </c>
      <c r="E170" t="s">
        <v>26</v>
      </c>
      <c r="F170" t="s">
        <v>26</v>
      </c>
      <c r="G170" t="s">
        <v>48</v>
      </c>
      <c r="H170" t="s">
        <v>28</v>
      </c>
      <c r="I170" t="s">
        <v>69</v>
      </c>
      <c r="J170" t="s">
        <v>30</v>
      </c>
      <c r="K170">
        <v>7</v>
      </c>
      <c r="L170">
        <v>44</v>
      </c>
      <c r="M170">
        <v>37900</v>
      </c>
      <c r="N170">
        <v>3800</v>
      </c>
      <c r="O170">
        <v>34100</v>
      </c>
      <c r="P170">
        <v>24300</v>
      </c>
      <c r="Q170">
        <v>9800</v>
      </c>
      <c r="R170">
        <v>28.74</v>
      </c>
      <c r="S170" t="s">
        <v>182</v>
      </c>
      <c r="T170">
        <v>6100</v>
      </c>
      <c r="U170">
        <v>4.5</v>
      </c>
      <c r="V170" t="s">
        <v>82</v>
      </c>
    </row>
    <row r="171" spans="1:22" x14ac:dyDescent="0.3">
      <c r="A171" t="s">
        <v>3294</v>
      </c>
      <c r="B171" t="s">
        <v>3295</v>
      </c>
      <c r="C171" t="s">
        <v>3296</v>
      </c>
      <c r="D171" s="2">
        <v>45744</v>
      </c>
      <c r="E171" t="s">
        <v>244</v>
      </c>
      <c r="F171" t="s">
        <v>244</v>
      </c>
      <c r="G171" t="s">
        <v>580</v>
      </c>
      <c r="H171" t="s">
        <v>28</v>
      </c>
      <c r="I171" t="s">
        <v>69</v>
      </c>
      <c r="J171" t="s">
        <v>30</v>
      </c>
      <c r="K171">
        <v>4</v>
      </c>
      <c r="L171">
        <v>41</v>
      </c>
      <c r="M171">
        <v>73900</v>
      </c>
      <c r="N171">
        <v>0</v>
      </c>
      <c r="O171">
        <v>73900</v>
      </c>
      <c r="P171">
        <v>47500</v>
      </c>
      <c r="Q171">
        <v>26400</v>
      </c>
      <c r="R171">
        <v>35.72</v>
      </c>
      <c r="S171" t="s">
        <v>58</v>
      </c>
      <c r="T171">
        <v>8300</v>
      </c>
      <c r="U171">
        <v>4.5</v>
      </c>
      <c r="V171" t="s">
        <v>114</v>
      </c>
    </row>
    <row r="172" spans="1:22" x14ac:dyDescent="0.3">
      <c r="A172" t="s">
        <v>5207</v>
      </c>
      <c r="B172" t="s">
        <v>2563</v>
      </c>
      <c r="C172" t="s">
        <v>2564</v>
      </c>
      <c r="D172" s="2">
        <v>45744</v>
      </c>
      <c r="E172" t="s">
        <v>134</v>
      </c>
      <c r="F172" t="s">
        <v>134</v>
      </c>
      <c r="G172" t="s">
        <v>67</v>
      </c>
      <c r="H172" t="s">
        <v>229</v>
      </c>
      <c r="I172" t="s">
        <v>69</v>
      </c>
      <c r="J172" t="s">
        <v>162</v>
      </c>
      <c r="K172">
        <v>8</v>
      </c>
      <c r="L172">
        <v>43</v>
      </c>
      <c r="M172">
        <v>152400</v>
      </c>
      <c r="N172">
        <v>0</v>
      </c>
      <c r="O172">
        <v>152400</v>
      </c>
      <c r="P172">
        <v>114600</v>
      </c>
      <c r="Q172">
        <v>37800</v>
      </c>
      <c r="R172">
        <v>24.8</v>
      </c>
      <c r="S172" t="s">
        <v>39</v>
      </c>
      <c r="T172">
        <v>21800</v>
      </c>
      <c r="U172">
        <v>2.2999999999999998</v>
      </c>
      <c r="V172" t="s">
        <v>114</v>
      </c>
    </row>
    <row r="173" spans="1:22" x14ac:dyDescent="0.3">
      <c r="A173" t="s">
        <v>4502</v>
      </c>
      <c r="B173" t="s">
        <v>520</v>
      </c>
      <c r="C173" t="s">
        <v>521</v>
      </c>
      <c r="D173" s="2">
        <v>45745</v>
      </c>
      <c r="E173" t="s">
        <v>282</v>
      </c>
      <c r="F173" t="s">
        <v>282</v>
      </c>
      <c r="G173" t="s">
        <v>48</v>
      </c>
      <c r="H173" t="s">
        <v>49</v>
      </c>
      <c r="I173" t="s">
        <v>29</v>
      </c>
      <c r="J173" t="s">
        <v>70</v>
      </c>
      <c r="K173">
        <v>4</v>
      </c>
      <c r="L173">
        <v>47</v>
      </c>
      <c r="M173">
        <v>63700</v>
      </c>
      <c r="N173">
        <v>0</v>
      </c>
      <c r="O173">
        <v>63700</v>
      </c>
      <c r="P173">
        <v>39100</v>
      </c>
      <c r="Q173">
        <v>24600</v>
      </c>
      <c r="R173">
        <v>38.619999999999997</v>
      </c>
      <c r="S173" t="s">
        <v>58</v>
      </c>
      <c r="T173">
        <v>3600</v>
      </c>
      <c r="U173">
        <v>4.2</v>
      </c>
      <c r="V173" t="s">
        <v>82</v>
      </c>
    </row>
    <row r="174" spans="1:22" x14ac:dyDescent="0.3">
      <c r="A174" t="s">
        <v>4199</v>
      </c>
      <c r="B174" t="s">
        <v>2302</v>
      </c>
      <c r="C174" t="s">
        <v>2303</v>
      </c>
      <c r="D174" s="2">
        <v>45745</v>
      </c>
      <c r="E174" t="s">
        <v>26</v>
      </c>
      <c r="F174" t="s">
        <v>26</v>
      </c>
      <c r="G174" t="s">
        <v>118</v>
      </c>
      <c r="H174" t="s">
        <v>88</v>
      </c>
      <c r="I174" t="s">
        <v>29</v>
      </c>
      <c r="J174" t="s">
        <v>30</v>
      </c>
      <c r="K174">
        <v>8</v>
      </c>
      <c r="L174">
        <v>49</v>
      </c>
      <c r="M174">
        <v>15500</v>
      </c>
      <c r="N174">
        <v>800</v>
      </c>
      <c r="O174">
        <v>14700</v>
      </c>
      <c r="P174">
        <v>7400</v>
      </c>
      <c r="Q174">
        <v>7300</v>
      </c>
      <c r="R174">
        <v>49.66</v>
      </c>
      <c r="S174" t="s">
        <v>182</v>
      </c>
      <c r="T174">
        <v>1400</v>
      </c>
      <c r="U174">
        <v>4.2</v>
      </c>
      <c r="V174" t="s">
        <v>114</v>
      </c>
    </row>
    <row r="175" spans="1:22" x14ac:dyDescent="0.3">
      <c r="A175" t="s">
        <v>2761</v>
      </c>
      <c r="B175" t="s">
        <v>1205</v>
      </c>
      <c r="C175" t="s">
        <v>1206</v>
      </c>
      <c r="D175" s="2">
        <v>45746</v>
      </c>
      <c r="E175" t="s">
        <v>244</v>
      </c>
      <c r="F175" t="s">
        <v>244</v>
      </c>
      <c r="G175" t="s">
        <v>48</v>
      </c>
      <c r="H175" t="s">
        <v>28</v>
      </c>
      <c r="I175" t="s">
        <v>29</v>
      </c>
      <c r="J175" t="s">
        <v>70</v>
      </c>
      <c r="K175">
        <v>6</v>
      </c>
      <c r="L175">
        <v>9</v>
      </c>
      <c r="M175">
        <v>116100</v>
      </c>
      <c r="N175">
        <v>0</v>
      </c>
      <c r="O175">
        <v>116100</v>
      </c>
      <c r="P175">
        <v>78400</v>
      </c>
      <c r="Q175">
        <v>37700</v>
      </c>
      <c r="R175">
        <v>32.47</v>
      </c>
      <c r="S175" t="s">
        <v>182</v>
      </c>
      <c r="T175">
        <v>16000</v>
      </c>
      <c r="U175">
        <v>5</v>
      </c>
      <c r="V175" t="s">
        <v>114</v>
      </c>
    </row>
    <row r="176" spans="1:22" x14ac:dyDescent="0.3">
      <c r="A176" t="s">
        <v>2210</v>
      </c>
      <c r="B176" t="s">
        <v>323</v>
      </c>
      <c r="C176" t="s">
        <v>324</v>
      </c>
      <c r="D176" s="2">
        <v>45747</v>
      </c>
      <c r="E176" t="s">
        <v>282</v>
      </c>
      <c r="F176" t="s">
        <v>282</v>
      </c>
      <c r="G176" t="s">
        <v>103</v>
      </c>
      <c r="H176" t="s">
        <v>49</v>
      </c>
      <c r="I176" t="s">
        <v>29</v>
      </c>
      <c r="J176" t="s">
        <v>30</v>
      </c>
      <c r="K176">
        <v>6</v>
      </c>
      <c r="L176">
        <v>28</v>
      </c>
      <c r="M176">
        <v>39800</v>
      </c>
      <c r="N176">
        <v>4000</v>
      </c>
      <c r="O176">
        <v>35800</v>
      </c>
      <c r="P176">
        <v>29600</v>
      </c>
      <c r="Q176">
        <v>6200</v>
      </c>
      <c r="R176">
        <v>17.32</v>
      </c>
      <c r="S176" t="s">
        <v>97</v>
      </c>
      <c r="T176">
        <v>4800</v>
      </c>
      <c r="U176">
        <v>4.3</v>
      </c>
      <c r="V176" t="s">
        <v>58</v>
      </c>
    </row>
    <row r="177" spans="1:22" x14ac:dyDescent="0.3">
      <c r="A177" t="s">
        <v>4876</v>
      </c>
      <c r="B177" t="s">
        <v>1512</v>
      </c>
      <c r="C177" t="s">
        <v>1513</v>
      </c>
      <c r="D177" s="2">
        <v>45748</v>
      </c>
      <c r="E177" t="s">
        <v>134</v>
      </c>
      <c r="F177" t="s">
        <v>134</v>
      </c>
      <c r="G177" t="s">
        <v>147</v>
      </c>
      <c r="H177" t="s">
        <v>28</v>
      </c>
      <c r="I177" t="s">
        <v>69</v>
      </c>
      <c r="J177" t="s">
        <v>162</v>
      </c>
      <c r="K177">
        <v>10</v>
      </c>
      <c r="L177">
        <v>35</v>
      </c>
      <c r="M177">
        <v>78200</v>
      </c>
      <c r="N177">
        <v>11700</v>
      </c>
      <c r="O177">
        <v>66500</v>
      </c>
      <c r="P177">
        <v>36200</v>
      </c>
      <c r="Q177">
        <v>30300</v>
      </c>
      <c r="R177">
        <v>45.56</v>
      </c>
      <c r="S177" t="s">
        <v>39</v>
      </c>
      <c r="T177">
        <v>9900</v>
      </c>
      <c r="U177">
        <v>3.2</v>
      </c>
      <c r="V177" t="s">
        <v>79</v>
      </c>
    </row>
    <row r="178" spans="1:22" x14ac:dyDescent="0.3">
      <c r="A178" t="s">
        <v>2420</v>
      </c>
      <c r="B178" t="s">
        <v>2330</v>
      </c>
      <c r="C178" t="s">
        <v>2331</v>
      </c>
      <c r="D178" s="2">
        <v>45748</v>
      </c>
      <c r="E178" t="s">
        <v>282</v>
      </c>
      <c r="F178" t="s">
        <v>282</v>
      </c>
      <c r="G178" t="s">
        <v>48</v>
      </c>
      <c r="H178" t="s">
        <v>28</v>
      </c>
      <c r="I178" t="s">
        <v>69</v>
      </c>
      <c r="J178" t="s">
        <v>30</v>
      </c>
      <c r="K178">
        <v>4</v>
      </c>
      <c r="L178">
        <v>47</v>
      </c>
      <c r="M178">
        <v>66100</v>
      </c>
      <c r="N178">
        <v>9900</v>
      </c>
      <c r="O178">
        <v>56200</v>
      </c>
      <c r="P178">
        <v>47300</v>
      </c>
      <c r="Q178">
        <v>8900</v>
      </c>
      <c r="R178">
        <v>15.84</v>
      </c>
      <c r="S178" t="s">
        <v>58</v>
      </c>
      <c r="T178">
        <v>2300</v>
      </c>
      <c r="U178">
        <v>4.4000000000000004</v>
      </c>
      <c r="V178" t="s">
        <v>79</v>
      </c>
    </row>
    <row r="179" spans="1:22" x14ac:dyDescent="0.3">
      <c r="A179" t="s">
        <v>4611</v>
      </c>
      <c r="B179" t="s">
        <v>1520</v>
      </c>
      <c r="C179" t="s">
        <v>1521</v>
      </c>
      <c r="D179" s="2">
        <v>45748</v>
      </c>
      <c r="E179" t="s">
        <v>134</v>
      </c>
      <c r="F179" t="s">
        <v>134</v>
      </c>
      <c r="G179" t="s">
        <v>147</v>
      </c>
      <c r="H179" t="s">
        <v>88</v>
      </c>
      <c r="I179" t="s">
        <v>29</v>
      </c>
      <c r="J179" t="s">
        <v>70</v>
      </c>
      <c r="K179">
        <v>5</v>
      </c>
      <c r="L179">
        <v>5</v>
      </c>
      <c r="M179">
        <v>84900</v>
      </c>
      <c r="N179">
        <v>17000</v>
      </c>
      <c r="O179">
        <v>67900</v>
      </c>
      <c r="P179">
        <v>52200</v>
      </c>
      <c r="Q179">
        <v>15700</v>
      </c>
      <c r="R179">
        <v>23.12</v>
      </c>
      <c r="S179" t="s">
        <v>126</v>
      </c>
      <c r="T179">
        <v>9900</v>
      </c>
      <c r="U179">
        <v>5</v>
      </c>
      <c r="V179" t="s">
        <v>42</v>
      </c>
    </row>
    <row r="180" spans="1:22" x14ac:dyDescent="0.3">
      <c r="A180" t="s">
        <v>2879</v>
      </c>
      <c r="B180" t="s">
        <v>577</v>
      </c>
      <c r="C180" t="s">
        <v>578</v>
      </c>
      <c r="D180" s="2">
        <v>45749</v>
      </c>
      <c r="E180" t="s">
        <v>134</v>
      </c>
      <c r="F180" t="s">
        <v>134</v>
      </c>
      <c r="G180" t="s">
        <v>67</v>
      </c>
      <c r="H180" t="s">
        <v>68</v>
      </c>
      <c r="I180" t="s">
        <v>69</v>
      </c>
      <c r="J180" t="s">
        <v>30</v>
      </c>
      <c r="K180">
        <v>9</v>
      </c>
      <c r="L180">
        <v>38</v>
      </c>
      <c r="M180">
        <v>68400</v>
      </c>
      <c r="N180">
        <v>6800</v>
      </c>
      <c r="O180">
        <v>61600</v>
      </c>
      <c r="P180">
        <v>55800</v>
      </c>
      <c r="Q180">
        <v>5800</v>
      </c>
      <c r="R180">
        <v>9.42</v>
      </c>
      <c r="S180" t="s">
        <v>126</v>
      </c>
      <c r="T180">
        <v>11100</v>
      </c>
      <c r="U180">
        <v>2.2000000000000002</v>
      </c>
      <c r="V180" t="s">
        <v>42</v>
      </c>
    </row>
    <row r="181" spans="1:22" x14ac:dyDescent="0.3">
      <c r="A181" t="s">
        <v>2474</v>
      </c>
      <c r="B181" t="s">
        <v>130</v>
      </c>
      <c r="C181" t="s">
        <v>131</v>
      </c>
      <c r="D181" s="2">
        <v>45749</v>
      </c>
      <c r="E181" t="s">
        <v>244</v>
      </c>
      <c r="F181" t="s">
        <v>244</v>
      </c>
      <c r="G181" t="s">
        <v>213</v>
      </c>
      <c r="H181" t="s">
        <v>5470</v>
      </c>
      <c r="I181" t="s">
        <v>69</v>
      </c>
      <c r="J181" t="s">
        <v>70</v>
      </c>
      <c r="K181">
        <v>3</v>
      </c>
      <c r="L181">
        <v>50</v>
      </c>
      <c r="M181">
        <v>106700</v>
      </c>
      <c r="N181">
        <v>0</v>
      </c>
      <c r="O181">
        <v>106700</v>
      </c>
      <c r="P181">
        <v>83000</v>
      </c>
      <c r="Q181">
        <v>23700</v>
      </c>
      <c r="R181">
        <v>22.21</v>
      </c>
      <c r="S181" t="s">
        <v>182</v>
      </c>
      <c r="T181">
        <v>11200</v>
      </c>
      <c r="U181">
        <v>4.4000000000000004</v>
      </c>
      <c r="V181" t="s">
        <v>42</v>
      </c>
    </row>
    <row r="182" spans="1:22" x14ac:dyDescent="0.3">
      <c r="A182" t="s">
        <v>4492</v>
      </c>
      <c r="B182" t="s">
        <v>3949</v>
      </c>
      <c r="C182" t="s">
        <v>3950</v>
      </c>
      <c r="D182" s="2">
        <v>45749</v>
      </c>
      <c r="E182" t="s">
        <v>188</v>
      </c>
      <c r="F182" t="s">
        <v>188</v>
      </c>
      <c r="G182" t="s">
        <v>67</v>
      </c>
      <c r="H182" t="s">
        <v>214</v>
      </c>
      <c r="I182" t="s">
        <v>69</v>
      </c>
      <c r="J182" t="s">
        <v>30</v>
      </c>
      <c r="K182">
        <v>3</v>
      </c>
      <c r="L182">
        <v>42</v>
      </c>
      <c r="M182">
        <v>30100</v>
      </c>
      <c r="N182">
        <v>0</v>
      </c>
      <c r="O182">
        <v>30100</v>
      </c>
      <c r="P182">
        <v>21300</v>
      </c>
      <c r="Q182">
        <v>8800</v>
      </c>
      <c r="R182">
        <v>29.24</v>
      </c>
      <c r="S182" t="s">
        <v>126</v>
      </c>
      <c r="T182">
        <v>2000</v>
      </c>
      <c r="U182">
        <v>3.7</v>
      </c>
      <c r="V182" t="s">
        <v>79</v>
      </c>
    </row>
    <row r="183" spans="1:22" x14ac:dyDescent="0.3">
      <c r="A183" t="s">
        <v>3940</v>
      </c>
      <c r="B183" t="s">
        <v>1899</v>
      </c>
      <c r="C183" t="s">
        <v>1900</v>
      </c>
      <c r="D183" s="2">
        <v>45749</v>
      </c>
      <c r="E183" t="s">
        <v>26</v>
      </c>
      <c r="F183" t="s">
        <v>26</v>
      </c>
      <c r="G183" t="s">
        <v>67</v>
      </c>
      <c r="H183" t="s">
        <v>28</v>
      </c>
      <c r="I183" t="s">
        <v>29</v>
      </c>
      <c r="J183" t="s">
        <v>70</v>
      </c>
      <c r="K183">
        <v>8</v>
      </c>
      <c r="L183">
        <v>29</v>
      </c>
      <c r="M183">
        <v>16600</v>
      </c>
      <c r="N183">
        <v>1700</v>
      </c>
      <c r="O183">
        <v>14900</v>
      </c>
      <c r="P183">
        <v>11800</v>
      </c>
      <c r="Q183">
        <v>3100</v>
      </c>
      <c r="R183">
        <v>20.81</v>
      </c>
      <c r="S183" t="s">
        <v>79</v>
      </c>
      <c r="T183">
        <v>2400</v>
      </c>
      <c r="U183">
        <v>4.8</v>
      </c>
      <c r="V183" t="s">
        <v>58</v>
      </c>
    </row>
    <row r="184" spans="1:22" x14ac:dyDescent="0.3">
      <c r="A184" t="s">
        <v>3442</v>
      </c>
      <c r="B184" t="s">
        <v>3351</v>
      </c>
      <c r="C184" t="s">
        <v>3352</v>
      </c>
      <c r="D184" s="2">
        <v>45750</v>
      </c>
      <c r="E184" t="s">
        <v>134</v>
      </c>
      <c r="F184" t="s">
        <v>134</v>
      </c>
      <c r="G184" t="s">
        <v>213</v>
      </c>
      <c r="H184" t="s">
        <v>214</v>
      </c>
      <c r="I184" t="s">
        <v>69</v>
      </c>
      <c r="J184" t="s">
        <v>30</v>
      </c>
      <c r="K184">
        <v>2</v>
      </c>
      <c r="L184">
        <v>36</v>
      </c>
      <c r="M184">
        <v>56100</v>
      </c>
      <c r="N184">
        <v>0</v>
      </c>
      <c r="O184">
        <v>56100</v>
      </c>
      <c r="P184">
        <v>36800</v>
      </c>
      <c r="Q184">
        <v>19300</v>
      </c>
      <c r="R184">
        <v>34.4</v>
      </c>
      <c r="S184" t="s">
        <v>182</v>
      </c>
      <c r="T184">
        <v>6200</v>
      </c>
      <c r="U184">
        <v>4.4000000000000004</v>
      </c>
      <c r="V184" t="s">
        <v>58</v>
      </c>
    </row>
    <row r="185" spans="1:22" x14ac:dyDescent="0.3">
      <c r="A185" t="s">
        <v>5359</v>
      </c>
      <c r="B185" t="s">
        <v>2915</v>
      </c>
      <c r="C185" t="s">
        <v>2916</v>
      </c>
      <c r="D185" s="2">
        <v>45751</v>
      </c>
      <c r="E185" t="s">
        <v>26</v>
      </c>
      <c r="F185" t="s">
        <v>26</v>
      </c>
      <c r="G185" t="s">
        <v>103</v>
      </c>
      <c r="H185" t="s">
        <v>268</v>
      </c>
      <c r="I185" t="s">
        <v>69</v>
      </c>
      <c r="J185" t="s">
        <v>162</v>
      </c>
      <c r="K185">
        <v>7</v>
      </c>
      <c r="L185">
        <v>64</v>
      </c>
      <c r="M185">
        <v>60400</v>
      </c>
      <c r="N185">
        <v>0</v>
      </c>
      <c r="O185">
        <v>60400</v>
      </c>
      <c r="P185">
        <v>48900</v>
      </c>
      <c r="Q185">
        <v>11500</v>
      </c>
      <c r="R185">
        <v>19.04</v>
      </c>
      <c r="S185" t="s">
        <v>126</v>
      </c>
      <c r="T185">
        <v>8300</v>
      </c>
      <c r="U185">
        <v>3.3</v>
      </c>
      <c r="V185" t="s">
        <v>114</v>
      </c>
    </row>
    <row r="186" spans="1:22" x14ac:dyDescent="0.3">
      <c r="A186" t="s">
        <v>4152</v>
      </c>
      <c r="B186" t="s">
        <v>2905</v>
      </c>
      <c r="C186" t="s">
        <v>2906</v>
      </c>
      <c r="D186" s="2">
        <v>45751</v>
      </c>
      <c r="E186" t="s">
        <v>134</v>
      </c>
      <c r="F186" t="s">
        <v>134</v>
      </c>
      <c r="G186" t="s">
        <v>103</v>
      </c>
      <c r="H186" t="s">
        <v>5470</v>
      </c>
      <c r="I186" t="s">
        <v>29</v>
      </c>
      <c r="J186" t="s">
        <v>30</v>
      </c>
      <c r="K186">
        <v>4</v>
      </c>
      <c r="L186">
        <v>40</v>
      </c>
      <c r="M186">
        <v>49000</v>
      </c>
      <c r="N186">
        <v>4900</v>
      </c>
      <c r="O186">
        <v>44100</v>
      </c>
      <c r="P186">
        <v>22100</v>
      </c>
      <c r="Q186">
        <v>22000</v>
      </c>
      <c r="R186">
        <v>49.89</v>
      </c>
      <c r="S186" t="s">
        <v>58</v>
      </c>
      <c r="T186">
        <v>2600</v>
      </c>
      <c r="U186">
        <v>3.8</v>
      </c>
      <c r="V186" t="s">
        <v>79</v>
      </c>
    </row>
    <row r="187" spans="1:22" x14ac:dyDescent="0.3">
      <c r="A187" t="s">
        <v>1100</v>
      </c>
      <c r="B187" t="s">
        <v>1101</v>
      </c>
      <c r="C187" t="s">
        <v>1102</v>
      </c>
      <c r="D187" s="2">
        <v>45751</v>
      </c>
      <c r="E187" t="s">
        <v>26</v>
      </c>
      <c r="F187" t="s">
        <v>26</v>
      </c>
      <c r="G187" t="s">
        <v>147</v>
      </c>
      <c r="H187" t="s">
        <v>5471</v>
      </c>
      <c r="I187" t="s">
        <v>69</v>
      </c>
      <c r="J187" t="s">
        <v>70</v>
      </c>
      <c r="K187">
        <v>5</v>
      </c>
      <c r="L187">
        <v>33</v>
      </c>
      <c r="M187">
        <v>69800</v>
      </c>
      <c r="N187">
        <v>3500</v>
      </c>
      <c r="O187">
        <v>66300</v>
      </c>
      <c r="P187">
        <v>44500</v>
      </c>
      <c r="Q187">
        <v>21800</v>
      </c>
      <c r="R187">
        <v>32.880000000000003</v>
      </c>
      <c r="S187" t="s">
        <v>79</v>
      </c>
      <c r="T187">
        <v>7700</v>
      </c>
      <c r="U187">
        <v>2.9</v>
      </c>
      <c r="V187" t="s">
        <v>114</v>
      </c>
    </row>
    <row r="188" spans="1:22" x14ac:dyDescent="0.3">
      <c r="A188" t="s">
        <v>4946</v>
      </c>
      <c r="B188" t="s">
        <v>2191</v>
      </c>
      <c r="C188" t="s">
        <v>2192</v>
      </c>
      <c r="D188" s="2">
        <v>45751</v>
      </c>
      <c r="E188" t="s">
        <v>134</v>
      </c>
      <c r="F188" t="s">
        <v>134</v>
      </c>
      <c r="G188" t="s">
        <v>147</v>
      </c>
      <c r="H188" t="s">
        <v>229</v>
      </c>
      <c r="I188" t="s">
        <v>29</v>
      </c>
      <c r="J188" t="s">
        <v>30</v>
      </c>
      <c r="K188">
        <v>4</v>
      </c>
      <c r="L188">
        <v>36</v>
      </c>
      <c r="M188">
        <v>16400</v>
      </c>
      <c r="N188">
        <v>0</v>
      </c>
      <c r="O188">
        <v>16400</v>
      </c>
      <c r="P188">
        <v>7700</v>
      </c>
      <c r="Q188">
        <v>8700</v>
      </c>
      <c r="R188">
        <v>53.05</v>
      </c>
      <c r="S188" t="s">
        <v>39</v>
      </c>
      <c r="T188">
        <v>1600</v>
      </c>
      <c r="U188">
        <v>4.3</v>
      </c>
      <c r="V188" t="s">
        <v>42</v>
      </c>
    </row>
    <row r="189" spans="1:22" x14ac:dyDescent="0.3">
      <c r="A189" t="s">
        <v>5296</v>
      </c>
      <c r="B189" t="s">
        <v>5297</v>
      </c>
      <c r="C189" t="s">
        <v>5298</v>
      </c>
      <c r="D189" s="2">
        <v>45753</v>
      </c>
      <c r="E189" t="s">
        <v>26</v>
      </c>
      <c r="F189" t="s">
        <v>26</v>
      </c>
      <c r="G189" t="s">
        <v>67</v>
      </c>
      <c r="H189" t="s">
        <v>68</v>
      </c>
      <c r="I189" t="s">
        <v>29</v>
      </c>
      <c r="J189" t="s">
        <v>70</v>
      </c>
      <c r="K189">
        <v>3</v>
      </c>
      <c r="L189">
        <v>56</v>
      </c>
      <c r="M189">
        <v>151400</v>
      </c>
      <c r="N189">
        <v>22700</v>
      </c>
      <c r="O189">
        <v>128700</v>
      </c>
      <c r="P189">
        <v>99300</v>
      </c>
      <c r="Q189">
        <v>29400</v>
      </c>
      <c r="R189">
        <v>22.84</v>
      </c>
      <c r="S189" t="s">
        <v>97</v>
      </c>
      <c r="T189">
        <v>5300</v>
      </c>
      <c r="U189">
        <v>2.9</v>
      </c>
      <c r="V189" t="s">
        <v>82</v>
      </c>
    </row>
    <row r="190" spans="1:22" x14ac:dyDescent="0.3">
      <c r="A190" t="s">
        <v>2787</v>
      </c>
      <c r="B190" t="s">
        <v>1186</v>
      </c>
      <c r="C190" t="s">
        <v>1187</v>
      </c>
      <c r="D190" s="2">
        <v>45753</v>
      </c>
      <c r="E190" t="s">
        <v>134</v>
      </c>
      <c r="F190" t="s">
        <v>134</v>
      </c>
      <c r="G190" t="s">
        <v>27</v>
      </c>
      <c r="H190" t="s">
        <v>68</v>
      </c>
      <c r="I190" t="s">
        <v>29</v>
      </c>
      <c r="J190" t="s">
        <v>70</v>
      </c>
      <c r="K190">
        <v>8</v>
      </c>
      <c r="L190">
        <v>13</v>
      </c>
      <c r="M190">
        <v>52400</v>
      </c>
      <c r="N190">
        <v>7900</v>
      </c>
      <c r="O190">
        <v>44500</v>
      </c>
      <c r="P190">
        <v>38500</v>
      </c>
      <c r="Q190">
        <v>6000</v>
      </c>
      <c r="R190">
        <v>13.48</v>
      </c>
      <c r="S190" t="s">
        <v>58</v>
      </c>
      <c r="T190">
        <v>4300</v>
      </c>
      <c r="U190">
        <v>4.5999999999999996</v>
      </c>
      <c r="V190" t="s">
        <v>82</v>
      </c>
    </row>
    <row r="191" spans="1:22" x14ac:dyDescent="0.3">
      <c r="A191" t="s">
        <v>3143</v>
      </c>
      <c r="B191" t="s">
        <v>962</v>
      </c>
      <c r="C191" t="s">
        <v>963</v>
      </c>
      <c r="D191" s="2">
        <v>45753</v>
      </c>
      <c r="E191" t="s">
        <v>188</v>
      </c>
      <c r="F191" t="s">
        <v>188</v>
      </c>
      <c r="G191" t="s">
        <v>27</v>
      </c>
      <c r="H191" t="s">
        <v>28</v>
      </c>
      <c r="I191" t="s">
        <v>29</v>
      </c>
      <c r="J191" t="s">
        <v>30</v>
      </c>
      <c r="K191">
        <v>6</v>
      </c>
      <c r="L191">
        <v>39</v>
      </c>
      <c r="M191">
        <v>77700</v>
      </c>
      <c r="N191">
        <v>11700</v>
      </c>
      <c r="O191">
        <v>66000</v>
      </c>
      <c r="P191">
        <v>58200</v>
      </c>
      <c r="Q191">
        <v>7800</v>
      </c>
      <c r="R191">
        <v>11.82</v>
      </c>
      <c r="S191" t="s">
        <v>182</v>
      </c>
      <c r="T191">
        <v>9400</v>
      </c>
      <c r="U191">
        <v>4.3</v>
      </c>
      <c r="V191" t="s">
        <v>42</v>
      </c>
    </row>
    <row r="192" spans="1:22" x14ac:dyDescent="0.3">
      <c r="A192" t="s">
        <v>3757</v>
      </c>
      <c r="B192" t="s">
        <v>2426</v>
      </c>
      <c r="C192" t="s">
        <v>2427</v>
      </c>
      <c r="D192" s="2">
        <v>45754</v>
      </c>
      <c r="E192" t="s">
        <v>282</v>
      </c>
      <c r="F192" t="s">
        <v>282</v>
      </c>
      <c r="G192" t="s">
        <v>27</v>
      </c>
      <c r="H192" t="s">
        <v>28</v>
      </c>
      <c r="I192" t="s">
        <v>69</v>
      </c>
      <c r="J192" t="s">
        <v>30</v>
      </c>
      <c r="K192">
        <v>7</v>
      </c>
      <c r="L192">
        <v>60</v>
      </c>
      <c r="M192">
        <v>23600</v>
      </c>
      <c r="N192">
        <v>4700</v>
      </c>
      <c r="O192">
        <v>18900</v>
      </c>
      <c r="P192">
        <v>13500</v>
      </c>
      <c r="Q192">
        <v>5400</v>
      </c>
      <c r="R192">
        <v>28.57</v>
      </c>
      <c r="S192" t="s">
        <v>126</v>
      </c>
      <c r="T192">
        <v>3100</v>
      </c>
      <c r="U192">
        <v>4.3</v>
      </c>
      <c r="V192" t="s">
        <v>58</v>
      </c>
    </row>
    <row r="193" spans="1:22" x14ac:dyDescent="0.3">
      <c r="A193" t="s">
        <v>311</v>
      </c>
      <c r="B193" t="s">
        <v>312</v>
      </c>
      <c r="C193" t="s">
        <v>313</v>
      </c>
      <c r="D193" s="2">
        <v>45754</v>
      </c>
      <c r="E193" t="s">
        <v>161</v>
      </c>
      <c r="F193" t="s">
        <v>161</v>
      </c>
      <c r="G193" t="s">
        <v>48</v>
      </c>
      <c r="H193" t="s">
        <v>28</v>
      </c>
      <c r="I193" t="s">
        <v>29</v>
      </c>
      <c r="J193" t="s">
        <v>70</v>
      </c>
      <c r="K193">
        <v>3</v>
      </c>
      <c r="L193">
        <v>12</v>
      </c>
      <c r="M193">
        <v>35200</v>
      </c>
      <c r="N193">
        <v>3500</v>
      </c>
      <c r="O193">
        <v>31700</v>
      </c>
      <c r="P193">
        <v>16500</v>
      </c>
      <c r="Q193">
        <v>15200</v>
      </c>
      <c r="R193">
        <v>47.95</v>
      </c>
      <c r="S193" t="s">
        <v>58</v>
      </c>
      <c r="T193">
        <v>2400</v>
      </c>
      <c r="U193">
        <v>3.8</v>
      </c>
      <c r="V193" t="s">
        <v>42</v>
      </c>
    </row>
    <row r="194" spans="1:22" x14ac:dyDescent="0.3">
      <c r="A194" t="s">
        <v>3980</v>
      </c>
      <c r="B194" t="s">
        <v>1566</v>
      </c>
      <c r="C194" t="s">
        <v>1567</v>
      </c>
      <c r="D194" s="2">
        <v>45755</v>
      </c>
      <c r="E194" t="s">
        <v>282</v>
      </c>
      <c r="F194" t="s">
        <v>282</v>
      </c>
      <c r="G194" t="s">
        <v>147</v>
      </c>
      <c r="H194" t="s">
        <v>88</v>
      </c>
      <c r="I194" t="s">
        <v>69</v>
      </c>
      <c r="J194" t="s">
        <v>30</v>
      </c>
      <c r="K194">
        <v>9</v>
      </c>
      <c r="L194">
        <v>29</v>
      </c>
      <c r="M194">
        <v>36100</v>
      </c>
      <c r="N194">
        <v>0</v>
      </c>
      <c r="O194">
        <v>36100</v>
      </c>
      <c r="P194">
        <v>16000</v>
      </c>
      <c r="Q194">
        <v>20100</v>
      </c>
      <c r="R194">
        <v>55.68</v>
      </c>
      <c r="S194" t="s">
        <v>58</v>
      </c>
      <c r="T194">
        <v>3800</v>
      </c>
      <c r="U194">
        <v>5</v>
      </c>
      <c r="V194" t="s">
        <v>82</v>
      </c>
    </row>
    <row r="195" spans="1:22" x14ac:dyDescent="0.3">
      <c r="A195" t="s">
        <v>4605</v>
      </c>
      <c r="B195" t="s">
        <v>688</v>
      </c>
      <c r="C195" t="s">
        <v>689</v>
      </c>
      <c r="D195" s="2">
        <v>45755</v>
      </c>
      <c r="E195" t="s">
        <v>26</v>
      </c>
      <c r="F195" t="s">
        <v>26</v>
      </c>
      <c r="G195" t="s">
        <v>118</v>
      </c>
      <c r="H195" t="s">
        <v>229</v>
      </c>
      <c r="I195" t="s">
        <v>69</v>
      </c>
      <c r="J195" t="s">
        <v>70</v>
      </c>
      <c r="K195">
        <v>8</v>
      </c>
      <c r="M195">
        <v>71700</v>
      </c>
      <c r="N195">
        <v>3600</v>
      </c>
      <c r="O195">
        <v>68100</v>
      </c>
      <c r="P195">
        <v>51600</v>
      </c>
      <c r="Q195">
        <v>16500</v>
      </c>
      <c r="R195">
        <v>24.23</v>
      </c>
      <c r="S195" t="s">
        <v>58</v>
      </c>
      <c r="T195">
        <v>3700</v>
      </c>
      <c r="U195">
        <v>4.2</v>
      </c>
      <c r="V195" t="s">
        <v>42</v>
      </c>
    </row>
    <row r="196" spans="1:22" x14ac:dyDescent="0.3">
      <c r="A196" t="s">
        <v>5244</v>
      </c>
      <c r="B196" t="s">
        <v>539</v>
      </c>
      <c r="C196" t="s">
        <v>540</v>
      </c>
      <c r="D196" s="2">
        <v>45756</v>
      </c>
      <c r="E196" t="s">
        <v>282</v>
      </c>
      <c r="F196" t="s">
        <v>282</v>
      </c>
      <c r="G196" t="s">
        <v>27</v>
      </c>
      <c r="H196" t="s">
        <v>229</v>
      </c>
      <c r="I196" t="s">
        <v>69</v>
      </c>
      <c r="J196" t="s">
        <v>70</v>
      </c>
      <c r="K196">
        <v>7</v>
      </c>
      <c r="L196">
        <v>39</v>
      </c>
      <c r="M196">
        <v>37700</v>
      </c>
      <c r="N196">
        <v>1900</v>
      </c>
      <c r="O196">
        <v>35800</v>
      </c>
      <c r="P196">
        <v>19900</v>
      </c>
      <c r="Q196">
        <v>15900</v>
      </c>
      <c r="R196">
        <v>44.41</v>
      </c>
      <c r="S196" t="s">
        <v>58</v>
      </c>
      <c r="T196">
        <v>2000</v>
      </c>
      <c r="U196">
        <v>3.5</v>
      </c>
      <c r="V196" t="s">
        <v>42</v>
      </c>
    </row>
    <row r="197" spans="1:22" x14ac:dyDescent="0.3">
      <c r="A197" t="s">
        <v>5427</v>
      </c>
      <c r="B197" t="s">
        <v>2426</v>
      </c>
      <c r="C197" t="s">
        <v>2427</v>
      </c>
      <c r="D197" s="2">
        <v>45757</v>
      </c>
      <c r="E197" t="s">
        <v>244</v>
      </c>
      <c r="F197" t="s">
        <v>244</v>
      </c>
      <c r="G197" t="s">
        <v>147</v>
      </c>
      <c r="H197" t="s">
        <v>229</v>
      </c>
      <c r="I197" t="s">
        <v>69</v>
      </c>
      <c r="J197" t="s">
        <v>30</v>
      </c>
      <c r="K197">
        <v>3</v>
      </c>
      <c r="L197">
        <v>19</v>
      </c>
      <c r="M197">
        <v>88900</v>
      </c>
      <c r="N197">
        <v>17800</v>
      </c>
      <c r="O197">
        <v>71100</v>
      </c>
      <c r="P197">
        <v>48400</v>
      </c>
      <c r="Q197">
        <v>22700</v>
      </c>
      <c r="R197">
        <v>31.93</v>
      </c>
      <c r="S197" t="s">
        <v>39</v>
      </c>
      <c r="T197">
        <v>9300</v>
      </c>
      <c r="U197">
        <v>5</v>
      </c>
      <c r="V197" t="s">
        <v>82</v>
      </c>
    </row>
    <row r="198" spans="1:22" x14ac:dyDescent="0.3">
      <c r="A198" t="s">
        <v>2975</v>
      </c>
      <c r="B198" t="s">
        <v>2976</v>
      </c>
      <c r="C198" t="s">
        <v>2977</v>
      </c>
      <c r="D198" s="2">
        <v>45757</v>
      </c>
      <c r="E198" t="s">
        <v>134</v>
      </c>
      <c r="F198" t="s">
        <v>134</v>
      </c>
      <c r="G198" t="s">
        <v>103</v>
      </c>
      <c r="H198" t="s">
        <v>49</v>
      </c>
      <c r="I198" t="s">
        <v>69</v>
      </c>
      <c r="J198" t="s">
        <v>70</v>
      </c>
      <c r="K198">
        <v>3</v>
      </c>
      <c r="L198">
        <v>57</v>
      </c>
      <c r="M198">
        <v>49600</v>
      </c>
      <c r="N198">
        <v>2500</v>
      </c>
      <c r="O198">
        <v>47100</v>
      </c>
      <c r="P198">
        <v>21900</v>
      </c>
      <c r="Q198">
        <v>25200</v>
      </c>
      <c r="R198">
        <v>53.5</v>
      </c>
      <c r="S198" t="s">
        <v>182</v>
      </c>
      <c r="T198">
        <v>6500</v>
      </c>
      <c r="U198">
        <v>4.5</v>
      </c>
      <c r="V198" t="s">
        <v>114</v>
      </c>
    </row>
    <row r="199" spans="1:22" x14ac:dyDescent="0.3">
      <c r="A199" t="s">
        <v>5348</v>
      </c>
      <c r="B199" t="s">
        <v>951</v>
      </c>
      <c r="C199" t="s">
        <v>952</v>
      </c>
      <c r="D199" s="2">
        <v>45757</v>
      </c>
      <c r="E199" t="s">
        <v>134</v>
      </c>
      <c r="F199" t="s">
        <v>134</v>
      </c>
      <c r="G199" t="s">
        <v>580</v>
      </c>
      <c r="H199" t="s">
        <v>68</v>
      </c>
      <c r="I199" t="s">
        <v>69</v>
      </c>
      <c r="J199" t="s">
        <v>30</v>
      </c>
      <c r="K199">
        <v>4</v>
      </c>
      <c r="L199">
        <v>37</v>
      </c>
      <c r="M199">
        <v>106300</v>
      </c>
      <c r="N199">
        <v>5300</v>
      </c>
      <c r="O199">
        <v>101000</v>
      </c>
      <c r="P199">
        <v>82100</v>
      </c>
      <c r="Q199">
        <v>18900</v>
      </c>
      <c r="R199">
        <v>18.71</v>
      </c>
      <c r="S199" t="s">
        <v>182</v>
      </c>
      <c r="T199">
        <v>7800</v>
      </c>
      <c r="U199">
        <v>5</v>
      </c>
      <c r="V199" t="s">
        <v>114</v>
      </c>
    </row>
    <row r="200" spans="1:22" x14ac:dyDescent="0.3">
      <c r="A200" t="s">
        <v>4673</v>
      </c>
      <c r="B200" t="s">
        <v>4222</v>
      </c>
      <c r="C200" t="s">
        <v>4223</v>
      </c>
      <c r="D200" s="2">
        <v>45758</v>
      </c>
      <c r="E200" t="s">
        <v>161</v>
      </c>
      <c r="F200" t="s">
        <v>161</v>
      </c>
      <c r="G200" t="s">
        <v>67</v>
      </c>
      <c r="H200" t="s">
        <v>68</v>
      </c>
      <c r="I200" t="s">
        <v>69</v>
      </c>
      <c r="J200" t="s">
        <v>162</v>
      </c>
      <c r="K200">
        <v>6</v>
      </c>
      <c r="L200">
        <v>33</v>
      </c>
      <c r="M200">
        <v>41500</v>
      </c>
      <c r="N200">
        <v>2100</v>
      </c>
      <c r="O200">
        <v>39400</v>
      </c>
      <c r="P200">
        <v>20100</v>
      </c>
      <c r="Q200">
        <v>19300</v>
      </c>
      <c r="R200">
        <v>48.98</v>
      </c>
      <c r="S200" t="s">
        <v>182</v>
      </c>
      <c r="T200">
        <v>1700</v>
      </c>
      <c r="U200">
        <v>3.4</v>
      </c>
      <c r="V200" t="s">
        <v>79</v>
      </c>
    </row>
    <row r="201" spans="1:22" x14ac:dyDescent="0.3">
      <c r="A201" t="s">
        <v>5133</v>
      </c>
      <c r="B201" t="s">
        <v>1754</v>
      </c>
      <c r="C201" t="s">
        <v>1755</v>
      </c>
      <c r="D201" s="2">
        <v>45759</v>
      </c>
      <c r="E201" t="s">
        <v>161</v>
      </c>
      <c r="F201" t="s">
        <v>161</v>
      </c>
      <c r="G201" t="s">
        <v>27</v>
      </c>
      <c r="H201" t="s">
        <v>88</v>
      </c>
      <c r="I201" t="s">
        <v>69</v>
      </c>
      <c r="J201" t="s">
        <v>30</v>
      </c>
      <c r="K201">
        <v>7</v>
      </c>
      <c r="L201">
        <v>52</v>
      </c>
      <c r="M201">
        <v>39600</v>
      </c>
      <c r="N201">
        <v>2000</v>
      </c>
      <c r="O201">
        <v>37600</v>
      </c>
      <c r="P201">
        <v>32500</v>
      </c>
      <c r="Q201">
        <v>5100</v>
      </c>
      <c r="R201">
        <v>13.56</v>
      </c>
      <c r="S201" t="s">
        <v>58</v>
      </c>
      <c r="T201">
        <v>2400</v>
      </c>
      <c r="U201">
        <v>3</v>
      </c>
      <c r="V201" t="s">
        <v>58</v>
      </c>
    </row>
    <row r="202" spans="1:22" x14ac:dyDescent="0.3">
      <c r="A202" t="s">
        <v>2834</v>
      </c>
      <c r="B202" t="s">
        <v>1468</v>
      </c>
      <c r="C202" t="s">
        <v>1469</v>
      </c>
      <c r="D202" s="2">
        <v>45759</v>
      </c>
      <c r="E202" t="s">
        <v>244</v>
      </c>
      <c r="F202" t="s">
        <v>244</v>
      </c>
      <c r="G202" t="s">
        <v>580</v>
      </c>
      <c r="H202" t="s">
        <v>5470</v>
      </c>
      <c r="I202" t="s">
        <v>69</v>
      </c>
      <c r="J202" t="s">
        <v>30</v>
      </c>
      <c r="K202">
        <v>4</v>
      </c>
      <c r="L202">
        <v>69</v>
      </c>
      <c r="M202">
        <v>38000</v>
      </c>
      <c r="N202">
        <v>3800</v>
      </c>
      <c r="O202">
        <v>34200</v>
      </c>
      <c r="P202">
        <v>21300</v>
      </c>
      <c r="Q202">
        <v>12900</v>
      </c>
      <c r="R202">
        <v>37.72</v>
      </c>
      <c r="S202" t="s">
        <v>58</v>
      </c>
      <c r="T202">
        <v>4200</v>
      </c>
      <c r="U202">
        <v>4.4000000000000004</v>
      </c>
      <c r="V202" t="s">
        <v>82</v>
      </c>
    </row>
    <row r="203" spans="1:22" x14ac:dyDescent="0.3">
      <c r="A203" t="s">
        <v>1372</v>
      </c>
      <c r="B203" t="s">
        <v>1373</v>
      </c>
      <c r="C203" t="s">
        <v>1374</v>
      </c>
      <c r="D203" s="2">
        <v>45759</v>
      </c>
      <c r="E203" t="s">
        <v>244</v>
      </c>
      <c r="F203" t="s">
        <v>244</v>
      </c>
      <c r="G203" t="s">
        <v>147</v>
      </c>
      <c r="H203" t="s">
        <v>268</v>
      </c>
      <c r="I203" t="s">
        <v>29</v>
      </c>
      <c r="J203" t="s">
        <v>70</v>
      </c>
      <c r="K203">
        <v>7</v>
      </c>
      <c r="L203">
        <v>61</v>
      </c>
      <c r="M203">
        <v>98200</v>
      </c>
      <c r="N203">
        <v>9800</v>
      </c>
      <c r="O203">
        <v>88400</v>
      </c>
      <c r="P203">
        <v>72800</v>
      </c>
      <c r="Q203">
        <v>15600</v>
      </c>
      <c r="R203">
        <v>17.649999999999999</v>
      </c>
      <c r="S203" t="s">
        <v>58</v>
      </c>
      <c r="T203">
        <v>13300</v>
      </c>
      <c r="U203">
        <v>2.9</v>
      </c>
      <c r="V203" t="s">
        <v>114</v>
      </c>
    </row>
    <row r="204" spans="1:22" x14ac:dyDescent="0.3">
      <c r="A204" t="s">
        <v>3581</v>
      </c>
      <c r="B204" t="s">
        <v>3300</v>
      </c>
      <c r="C204" t="s">
        <v>3301</v>
      </c>
      <c r="D204" s="2">
        <v>45759</v>
      </c>
      <c r="E204" t="s">
        <v>244</v>
      </c>
      <c r="F204" t="s">
        <v>244</v>
      </c>
      <c r="G204" t="s">
        <v>118</v>
      </c>
      <c r="H204" t="s">
        <v>68</v>
      </c>
      <c r="I204" t="s">
        <v>69</v>
      </c>
      <c r="J204" t="s">
        <v>162</v>
      </c>
      <c r="K204">
        <v>5</v>
      </c>
      <c r="L204">
        <v>60</v>
      </c>
      <c r="M204">
        <v>150400</v>
      </c>
      <c r="N204">
        <v>7500</v>
      </c>
      <c r="O204">
        <v>142900</v>
      </c>
      <c r="P204">
        <v>93900</v>
      </c>
      <c r="Q204">
        <v>49000</v>
      </c>
      <c r="R204">
        <v>34.29</v>
      </c>
      <c r="S204" t="s">
        <v>58</v>
      </c>
      <c r="T204">
        <v>11800</v>
      </c>
      <c r="U204">
        <v>4.0999999999999996</v>
      </c>
      <c r="V204" t="s">
        <v>42</v>
      </c>
    </row>
    <row r="205" spans="1:22" x14ac:dyDescent="0.3">
      <c r="A205" t="s">
        <v>5368</v>
      </c>
      <c r="B205" t="s">
        <v>1630</v>
      </c>
      <c r="C205" t="s">
        <v>1631</v>
      </c>
      <c r="D205" s="2">
        <v>45759</v>
      </c>
      <c r="E205" t="s">
        <v>244</v>
      </c>
      <c r="F205" t="s">
        <v>244</v>
      </c>
      <c r="G205" t="s">
        <v>118</v>
      </c>
      <c r="H205" t="s">
        <v>5470</v>
      </c>
      <c r="I205" t="s">
        <v>29</v>
      </c>
      <c r="J205" t="s">
        <v>162</v>
      </c>
      <c r="K205">
        <v>9</v>
      </c>
      <c r="L205">
        <v>47</v>
      </c>
      <c r="M205">
        <v>59500</v>
      </c>
      <c r="N205">
        <v>0</v>
      </c>
      <c r="O205">
        <v>59500</v>
      </c>
      <c r="P205">
        <v>30800</v>
      </c>
      <c r="Q205">
        <v>28700</v>
      </c>
      <c r="R205">
        <v>48.24</v>
      </c>
      <c r="S205" t="s">
        <v>97</v>
      </c>
      <c r="T205">
        <v>7200</v>
      </c>
      <c r="U205">
        <v>3.7</v>
      </c>
      <c r="V205" t="s">
        <v>114</v>
      </c>
    </row>
    <row r="206" spans="1:22" x14ac:dyDescent="0.3">
      <c r="A206" t="s">
        <v>3837</v>
      </c>
      <c r="B206" t="s">
        <v>2443</v>
      </c>
      <c r="C206" t="s">
        <v>2444</v>
      </c>
      <c r="D206" s="2">
        <v>45759</v>
      </c>
      <c r="E206" t="s">
        <v>282</v>
      </c>
      <c r="F206" t="s">
        <v>282</v>
      </c>
      <c r="G206" t="s">
        <v>213</v>
      </c>
      <c r="H206" t="s">
        <v>5470</v>
      </c>
      <c r="I206" t="s">
        <v>69</v>
      </c>
      <c r="J206" t="s">
        <v>70</v>
      </c>
      <c r="K206">
        <v>4</v>
      </c>
      <c r="L206">
        <v>58</v>
      </c>
      <c r="M206">
        <v>60200</v>
      </c>
      <c r="N206">
        <v>3000</v>
      </c>
      <c r="O206">
        <v>57200</v>
      </c>
      <c r="P206">
        <v>42600</v>
      </c>
      <c r="Q206">
        <v>14600</v>
      </c>
      <c r="R206">
        <v>25.52</v>
      </c>
      <c r="S206" t="s">
        <v>79</v>
      </c>
      <c r="T206">
        <v>5900</v>
      </c>
      <c r="U206">
        <v>2.7</v>
      </c>
      <c r="V206" t="s">
        <v>79</v>
      </c>
    </row>
    <row r="207" spans="1:22" x14ac:dyDescent="0.3">
      <c r="A207" t="s">
        <v>4290</v>
      </c>
      <c r="B207" t="s">
        <v>845</v>
      </c>
      <c r="C207" t="s">
        <v>846</v>
      </c>
      <c r="D207" s="2">
        <v>45759</v>
      </c>
      <c r="E207" t="s">
        <v>134</v>
      </c>
      <c r="F207" t="s">
        <v>134</v>
      </c>
      <c r="G207" t="s">
        <v>213</v>
      </c>
      <c r="H207" t="s">
        <v>268</v>
      </c>
      <c r="I207" t="s">
        <v>69</v>
      </c>
      <c r="J207" t="s">
        <v>30</v>
      </c>
      <c r="K207">
        <v>2</v>
      </c>
      <c r="L207">
        <v>70</v>
      </c>
      <c r="M207">
        <v>18100</v>
      </c>
      <c r="N207">
        <v>0</v>
      </c>
      <c r="O207">
        <v>18100</v>
      </c>
      <c r="P207">
        <v>13000</v>
      </c>
      <c r="Q207">
        <v>5100</v>
      </c>
      <c r="R207">
        <v>28.18</v>
      </c>
      <c r="S207" t="s">
        <v>79</v>
      </c>
      <c r="T207">
        <v>1200</v>
      </c>
      <c r="U207">
        <v>4.0999999999999996</v>
      </c>
      <c r="V207" t="s">
        <v>114</v>
      </c>
    </row>
    <row r="208" spans="1:22" x14ac:dyDescent="0.3">
      <c r="A208" t="s">
        <v>5205</v>
      </c>
      <c r="B208" t="s">
        <v>4222</v>
      </c>
      <c r="C208" t="s">
        <v>4223</v>
      </c>
      <c r="D208" s="2">
        <v>45760</v>
      </c>
      <c r="E208" t="s">
        <v>161</v>
      </c>
      <c r="F208" t="s">
        <v>161</v>
      </c>
      <c r="G208" t="s">
        <v>27</v>
      </c>
      <c r="H208" t="s">
        <v>28</v>
      </c>
      <c r="I208" t="s">
        <v>69</v>
      </c>
      <c r="J208" t="s">
        <v>30</v>
      </c>
      <c r="K208">
        <v>7</v>
      </c>
      <c r="L208">
        <v>25</v>
      </c>
      <c r="M208">
        <v>53300</v>
      </c>
      <c r="N208">
        <v>0</v>
      </c>
      <c r="O208">
        <v>53300</v>
      </c>
      <c r="P208">
        <v>25500</v>
      </c>
      <c r="Q208">
        <v>27800</v>
      </c>
      <c r="R208">
        <v>52.16</v>
      </c>
      <c r="S208" t="s">
        <v>97</v>
      </c>
      <c r="T208">
        <v>7600</v>
      </c>
      <c r="U208">
        <v>4.4000000000000004</v>
      </c>
      <c r="V208" t="s">
        <v>82</v>
      </c>
    </row>
    <row r="209" spans="1:22" x14ac:dyDescent="0.3">
      <c r="A209" t="s">
        <v>2223</v>
      </c>
      <c r="B209" t="s">
        <v>2224</v>
      </c>
      <c r="C209" t="s">
        <v>2225</v>
      </c>
      <c r="D209" s="2">
        <v>45760</v>
      </c>
      <c r="E209" t="s">
        <v>134</v>
      </c>
      <c r="F209" t="s">
        <v>134</v>
      </c>
      <c r="G209" t="s">
        <v>147</v>
      </c>
      <c r="H209" t="s">
        <v>49</v>
      </c>
      <c r="I209" t="s">
        <v>29</v>
      </c>
      <c r="J209" t="s">
        <v>70</v>
      </c>
      <c r="K209">
        <v>5</v>
      </c>
      <c r="L209">
        <v>31</v>
      </c>
      <c r="M209">
        <v>44000</v>
      </c>
      <c r="N209">
        <v>8800</v>
      </c>
      <c r="O209">
        <v>35200</v>
      </c>
      <c r="P209">
        <v>25900</v>
      </c>
      <c r="Q209">
        <v>9300</v>
      </c>
      <c r="R209">
        <v>26.42</v>
      </c>
      <c r="S209" t="s">
        <v>182</v>
      </c>
      <c r="T209">
        <v>5900</v>
      </c>
      <c r="U209">
        <v>4.5999999999999996</v>
      </c>
      <c r="V209" t="s">
        <v>79</v>
      </c>
    </row>
    <row r="210" spans="1:22" x14ac:dyDescent="0.3">
      <c r="A210" t="s">
        <v>3385</v>
      </c>
      <c r="B210" t="s">
        <v>1662</v>
      </c>
      <c r="C210" t="s">
        <v>1663</v>
      </c>
      <c r="D210" s="2">
        <v>45760</v>
      </c>
      <c r="E210" t="s">
        <v>244</v>
      </c>
      <c r="F210" t="s">
        <v>244</v>
      </c>
      <c r="G210" t="s">
        <v>580</v>
      </c>
      <c r="H210" t="s">
        <v>5470</v>
      </c>
      <c r="I210" t="s">
        <v>29</v>
      </c>
      <c r="J210" t="s">
        <v>70</v>
      </c>
      <c r="K210">
        <v>8</v>
      </c>
      <c r="L210">
        <v>19</v>
      </c>
      <c r="M210">
        <v>87200</v>
      </c>
      <c r="N210">
        <v>4400</v>
      </c>
      <c r="O210">
        <v>82800</v>
      </c>
      <c r="P210">
        <v>60200</v>
      </c>
      <c r="Q210">
        <v>22600</v>
      </c>
      <c r="R210">
        <v>27.29</v>
      </c>
      <c r="S210" t="s">
        <v>39</v>
      </c>
      <c r="T210">
        <v>14100</v>
      </c>
      <c r="U210">
        <v>3.3</v>
      </c>
      <c r="V210" t="s">
        <v>42</v>
      </c>
    </row>
    <row r="211" spans="1:22" x14ac:dyDescent="0.3">
      <c r="A211" t="s">
        <v>2069</v>
      </c>
      <c r="B211" t="s">
        <v>2070</v>
      </c>
      <c r="C211" t="s">
        <v>2071</v>
      </c>
      <c r="D211" s="2">
        <v>45760</v>
      </c>
      <c r="E211" t="s">
        <v>134</v>
      </c>
      <c r="F211" t="s">
        <v>134</v>
      </c>
      <c r="G211" t="s">
        <v>118</v>
      </c>
      <c r="H211" t="s">
        <v>28</v>
      </c>
      <c r="I211" t="s">
        <v>29</v>
      </c>
      <c r="J211" t="s">
        <v>70</v>
      </c>
      <c r="K211">
        <v>4</v>
      </c>
      <c r="L211">
        <v>16</v>
      </c>
      <c r="M211">
        <v>33200</v>
      </c>
      <c r="N211">
        <v>5000</v>
      </c>
      <c r="O211">
        <v>28200</v>
      </c>
      <c r="P211">
        <v>20800</v>
      </c>
      <c r="Q211">
        <v>7400</v>
      </c>
      <c r="R211">
        <v>26.24</v>
      </c>
      <c r="S211" t="s">
        <v>126</v>
      </c>
      <c r="T211">
        <v>4200</v>
      </c>
      <c r="V211" t="s">
        <v>114</v>
      </c>
    </row>
    <row r="212" spans="1:22" x14ac:dyDescent="0.3">
      <c r="A212" t="s">
        <v>5191</v>
      </c>
      <c r="B212" t="s">
        <v>1195</v>
      </c>
      <c r="C212" t="s">
        <v>1196</v>
      </c>
      <c r="D212" s="2">
        <v>45761</v>
      </c>
      <c r="E212" t="s">
        <v>66</v>
      </c>
      <c r="F212" t="s">
        <v>66</v>
      </c>
      <c r="G212" t="s">
        <v>213</v>
      </c>
      <c r="H212" t="s">
        <v>229</v>
      </c>
      <c r="I212" t="s">
        <v>29</v>
      </c>
      <c r="J212" t="s">
        <v>30</v>
      </c>
      <c r="K212">
        <v>2</v>
      </c>
      <c r="L212">
        <v>66</v>
      </c>
      <c r="M212">
        <v>15200</v>
      </c>
      <c r="N212">
        <v>0</v>
      </c>
      <c r="O212">
        <v>15200</v>
      </c>
      <c r="P212">
        <v>10300</v>
      </c>
      <c r="Q212">
        <v>4900</v>
      </c>
      <c r="R212">
        <v>32.24</v>
      </c>
      <c r="S212" t="s">
        <v>39</v>
      </c>
      <c r="T212">
        <v>2600</v>
      </c>
      <c r="U212">
        <v>4.4000000000000004</v>
      </c>
      <c r="V212" t="s">
        <v>82</v>
      </c>
    </row>
    <row r="213" spans="1:22" x14ac:dyDescent="0.3">
      <c r="A213" t="s">
        <v>2248</v>
      </c>
      <c r="B213" t="s">
        <v>1019</v>
      </c>
      <c r="C213" t="s">
        <v>1020</v>
      </c>
      <c r="D213" s="2">
        <v>45761</v>
      </c>
      <c r="E213" t="s">
        <v>161</v>
      </c>
      <c r="F213" t="s">
        <v>161</v>
      </c>
      <c r="G213" t="s">
        <v>213</v>
      </c>
      <c r="H213" t="s">
        <v>28</v>
      </c>
      <c r="I213" t="s">
        <v>69</v>
      </c>
      <c r="J213" t="s">
        <v>30</v>
      </c>
      <c r="K213">
        <v>7</v>
      </c>
      <c r="L213">
        <v>22</v>
      </c>
      <c r="M213">
        <v>30900</v>
      </c>
      <c r="N213">
        <v>0</v>
      </c>
      <c r="O213">
        <v>30900</v>
      </c>
      <c r="P213">
        <v>23800</v>
      </c>
      <c r="Q213">
        <v>7100</v>
      </c>
      <c r="R213">
        <v>22.98</v>
      </c>
      <c r="S213" t="s">
        <v>97</v>
      </c>
      <c r="T213">
        <v>4100</v>
      </c>
      <c r="U213">
        <v>4.2</v>
      </c>
      <c r="V213" t="s">
        <v>79</v>
      </c>
    </row>
    <row r="214" spans="1:22" x14ac:dyDescent="0.3">
      <c r="A214" t="s">
        <v>2816</v>
      </c>
      <c r="B214" t="s">
        <v>2817</v>
      </c>
      <c r="C214" t="s">
        <v>2818</v>
      </c>
      <c r="D214" s="2">
        <v>45761</v>
      </c>
      <c r="E214" t="s">
        <v>161</v>
      </c>
      <c r="F214" t="s">
        <v>161</v>
      </c>
      <c r="G214" t="s">
        <v>213</v>
      </c>
      <c r="H214" t="s">
        <v>268</v>
      </c>
      <c r="I214" t="s">
        <v>69</v>
      </c>
      <c r="J214" t="s">
        <v>30</v>
      </c>
      <c r="K214">
        <v>7</v>
      </c>
      <c r="L214">
        <v>46</v>
      </c>
      <c r="M214">
        <v>59900</v>
      </c>
      <c r="N214">
        <v>9000</v>
      </c>
      <c r="O214">
        <v>50900</v>
      </c>
      <c r="P214">
        <v>32500</v>
      </c>
      <c r="Q214">
        <v>18400</v>
      </c>
      <c r="R214">
        <v>36.15</v>
      </c>
      <c r="S214" t="s">
        <v>79</v>
      </c>
      <c r="T214">
        <v>4400</v>
      </c>
      <c r="U214">
        <v>4.2</v>
      </c>
      <c r="V214" t="s">
        <v>82</v>
      </c>
    </row>
    <row r="215" spans="1:22" x14ac:dyDescent="0.3">
      <c r="A215" t="s">
        <v>1999</v>
      </c>
      <c r="B215" t="s">
        <v>2000</v>
      </c>
      <c r="C215" t="s">
        <v>2001</v>
      </c>
      <c r="D215" s="2">
        <v>45762</v>
      </c>
      <c r="E215" t="s">
        <v>134</v>
      </c>
      <c r="F215" t="s">
        <v>134</v>
      </c>
      <c r="G215" t="s">
        <v>580</v>
      </c>
      <c r="H215" t="s">
        <v>268</v>
      </c>
      <c r="I215" t="s">
        <v>69</v>
      </c>
      <c r="J215" t="s">
        <v>30</v>
      </c>
      <c r="K215">
        <v>5</v>
      </c>
      <c r="L215">
        <v>37</v>
      </c>
      <c r="M215">
        <v>26000</v>
      </c>
      <c r="N215">
        <v>0</v>
      </c>
      <c r="O215">
        <v>26000</v>
      </c>
      <c r="P215">
        <v>18800</v>
      </c>
      <c r="Q215">
        <v>7200</v>
      </c>
      <c r="R215">
        <v>27.69</v>
      </c>
      <c r="S215" t="s">
        <v>126</v>
      </c>
      <c r="T215">
        <v>2900</v>
      </c>
      <c r="U215">
        <v>2.9</v>
      </c>
      <c r="V215" t="s">
        <v>42</v>
      </c>
    </row>
    <row r="216" spans="1:22" x14ac:dyDescent="0.3">
      <c r="A216" t="s">
        <v>2383</v>
      </c>
      <c r="B216" t="s">
        <v>2384</v>
      </c>
      <c r="C216" t="s">
        <v>2385</v>
      </c>
      <c r="D216" s="2">
        <v>45762</v>
      </c>
      <c r="E216" t="s">
        <v>161</v>
      </c>
      <c r="F216" t="s">
        <v>161</v>
      </c>
      <c r="G216" t="s">
        <v>118</v>
      </c>
      <c r="H216" t="s">
        <v>268</v>
      </c>
      <c r="I216" t="s">
        <v>69</v>
      </c>
      <c r="J216" t="s">
        <v>30</v>
      </c>
      <c r="K216">
        <v>2</v>
      </c>
      <c r="L216">
        <v>34</v>
      </c>
      <c r="M216">
        <v>160100</v>
      </c>
      <c r="N216">
        <v>0</v>
      </c>
      <c r="O216">
        <v>160100</v>
      </c>
      <c r="P216">
        <v>93000</v>
      </c>
      <c r="Q216">
        <v>67100</v>
      </c>
      <c r="R216">
        <v>41.91</v>
      </c>
      <c r="S216" t="s">
        <v>126</v>
      </c>
      <c r="T216">
        <v>22900</v>
      </c>
      <c r="U216">
        <v>3.4</v>
      </c>
      <c r="V216" t="s">
        <v>42</v>
      </c>
    </row>
    <row r="217" spans="1:22" x14ac:dyDescent="0.3">
      <c r="A217" t="s">
        <v>3227</v>
      </c>
      <c r="B217" t="s">
        <v>3228</v>
      </c>
      <c r="C217" t="s">
        <v>3229</v>
      </c>
      <c r="D217" s="2">
        <v>45763</v>
      </c>
      <c r="E217" t="s">
        <v>228</v>
      </c>
      <c r="F217" t="s">
        <v>228</v>
      </c>
      <c r="G217" t="s">
        <v>118</v>
      </c>
      <c r="H217" t="s">
        <v>5470</v>
      </c>
      <c r="I217" t="s">
        <v>69</v>
      </c>
      <c r="J217" t="s">
        <v>70</v>
      </c>
      <c r="K217">
        <v>8</v>
      </c>
      <c r="L217">
        <v>5</v>
      </c>
      <c r="M217">
        <v>67400</v>
      </c>
      <c r="N217">
        <v>3400</v>
      </c>
      <c r="O217">
        <v>64000</v>
      </c>
      <c r="P217">
        <v>29400</v>
      </c>
      <c r="Q217">
        <v>34600</v>
      </c>
      <c r="R217">
        <v>54.06</v>
      </c>
      <c r="S217" t="s">
        <v>126</v>
      </c>
      <c r="T217">
        <v>10000</v>
      </c>
      <c r="U217">
        <v>4.8</v>
      </c>
      <c r="V217" t="s">
        <v>58</v>
      </c>
    </row>
    <row r="218" spans="1:22" x14ac:dyDescent="0.3">
      <c r="A218" t="s">
        <v>4420</v>
      </c>
      <c r="B218" t="s">
        <v>3015</v>
      </c>
      <c r="C218" t="s">
        <v>3016</v>
      </c>
      <c r="D218" s="2">
        <v>45764</v>
      </c>
      <c r="E218" t="s">
        <v>66</v>
      </c>
      <c r="F218" t="s">
        <v>66</v>
      </c>
      <c r="G218" t="s">
        <v>118</v>
      </c>
      <c r="H218" t="s">
        <v>268</v>
      </c>
      <c r="I218" t="s">
        <v>69</v>
      </c>
      <c r="J218" t="s">
        <v>162</v>
      </c>
      <c r="K218">
        <v>6</v>
      </c>
      <c r="L218">
        <v>35</v>
      </c>
      <c r="M218">
        <v>88000</v>
      </c>
      <c r="N218">
        <v>0</v>
      </c>
      <c r="O218">
        <v>88000</v>
      </c>
      <c r="P218">
        <v>50400</v>
      </c>
      <c r="Q218">
        <v>37600</v>
      </c>
      <c r="R218">
        <v>42.73</v>
      </c>
      <c r="S218" t="s">
        <v>97</v>
      </c>
      <c r="T218">
        <v>10600</v>
      </c>
      <c r="U218">
        <v>3.1</v>
      </c>
      <c r="V218" t="s">
        <v>42</v>
      </c>
    </row>
    <row r="219" spans="1:22" x14ac:dyDescent="0.3">
      <c r="A219" t="s">
        <v>4302</v>
      </c>
      <c r="B219" t="s">
        <v>100</v>
      </c>
      <c r="C219" t="s">
        <v>101</v>
      </c>
      <c r="D219" s="2">
        <v>45765</v>
      </c>
      <c r="E219" t="s">
        <v>134</v>
      </c>
      <c r="F219" t="s">
        <v>134</v>
      </c>
      <c r="G219" t="s">
        <v>580</v>
      </c>
      <c r="H219" t="s">
        <v>5470</v>
      </c>
      <c r="I219" t="s">
        <v>69</v>
      </c>
      <c r="J219" t="s">
        <v>30</v>
      </c>
      <c r="K219">
        <v>3</v>
      </c>
      <c r="L219">
        <v>60</v>
      </c>
      <c r="M219">
        <v>66300</v>
      </c>
      <c r="N219">
        <v>3300</v>
      </c>
      <c r="O219">
        <v>63000</v>
      </c>
      <c r="P219">
        <v>53500</v>
      </c>
      <c r="Q219">
        <v>9500</v>
      </c>
      <c r="R219">
        <v>15.08</v>
      </c>
      <c r="S219" t="s">
        <v>182</v>
      </c>
      <c r="T219">
        <v>3500</v>
      </c>
      <c r="U219">
        <v>4.4000000000000004</v>
      </c>
      <c r="V219" t="s">
        <v>82</v>
      </c>
    </row>
    <row r="220" spans="1:22" x14ac:dyDescent="0.3">
      <c r="A220" t="s">
        <v>223</v>
      </c>
      <c r="B220" t="s">
        <v>224</v>
      </c>
      <c r="C220" t="s">
        <v>225</v>
      </c>
      <c r="D220" s="2">
        <v>45766</v>
      </c>
      <c r="E220" t="s">
        <v>228</v>
      </c>
      <c r="F220" t="s">
        <v>228</v>
      </c>
      <c r="G220" t="s">
        <v>213</v>
      </c>
      <c r="H220" t="s">
        <v>229</v>
      </c>
      <c r="I220" t="s">
        <v>69</v>
      </c>
      <c r="J220" t="s">
        <v>162</v>
      </c>
      <c r="K220">
        <v>6</v>
      </c>
      <c r="L220">
        <v>62</v>
      </c>
      <c r="M220">
        <v>42600</v>
      </c>
      <c r="N220">
        <v>8500</v>
      </c>
      <c r="O220">
        <v>34100</v>
      </c>
      <c r="P220">
        <v>19900</v>
      </c>
      <c r="Q220">
        <v>14200</v>
      </c>
      <c r="R220">
        <v>41.64</v>
      </c>
      <c r="S220" t="s">
        <v>79</v>
      </c>
      <c r="T220">
        <v>5400</v>
      </c>
      <c r="U220">
        <v>4.8</v>
      </c>
      <c r="V220" t="s">
        <v>58</v>
      </c>
    </row>
    <row r="221" spans="1:22" x14ac:dyDescent="0.3">
      <c r="A221" t="s">
        <v>2182</v>
      </c>
      <c r="B221" t="s">
        <v>364</v>
      </c>
      <c r="C221" t="s">
        <v>365</v>
      </c>
      <c r="D221" s="2">
        <v>45766</v>
      </c>
      <c r="E221" t="s">
        <v>26</v>
      </c>
      <c r="F221" t="s">
        <v>26</v>
      </c>
      <c r="G221" t="s">
        <v>48</v>
      </c>
      <c r="H221" t="s">
        <v>5470</v>
      </c>
      <c r="I221" t="s">
        <v>29</v>
      </c>
      <c r="J221" t="s">
        <v>30</v>
      </c>
      <c r="K221">
        <v>4</v>
      </c>
      <c r="L221">
        <v>58</v>
      </c>
      <c r="M221">
        <v>97500</v>
      </c>
      <c r="N221">
        <v>19500</v>
      </c>
      <c r="O221">
        <v>78000</v>
      </c>
      <c r="P221">
        <v>47400</v>
      </c>
      <c r="Q221">
        <v>30600</v>
      </c>
      <c r="R221">
        <v>39.229999999999997</v>
      </c>
      <c r="S221" t="s">
        <v>182</v>
      </c>
      <c r="T221">
        <v>13800</v>
      </c>
      <c r="U221">
        <v>3.5</v>
      </c>
      <c r="V221" t="s">
        <v>82</v>
      </c>
    </row>
    <row r="222" spans="1:22" x14ac:dyDescent="0.3">
      <c r="A222" t="s">
        <v>3793</v>
      </c>
      <c r="B222" t="s">
        <v>1592</v>
      </c>
      <c r="C222" t="s">
        <v>1593</v>
      </c>
      <c r="D222" s="2">
        <v>45766</v>
      </c>
      <c r="E222" t="s">
        <v>66</v>
      </c>
      <c r="F222" t="s">
        <v>66</v>
      </c>
      <c r="G222" t="s">
        <v>5471</v>
      </c>
      <c r="H222" t="s">
        <v>5470</v>
      </c>
      <c r="I222" t="s">
        <v>69</v>
      </c>
      <c r="J222" t="s">
        <v>30</v>
      </c>
      <c r="K222">
        <v>8</v>
      </c>
      <c r="L222">
        <v>34</v>
      </c>
      <c r="M222">
        <v>43800</v>
      </c>
      <c r="N222">
        <v>6600</v>
      </c>
      <c r="O222">
        <v>37200</v>
      </c>
      <c r="P222">
        <v>34400</v>
      </c>
      <c r="Q222">
        <v>2800</v>
      </c>
      <c r="R222">
        <v>7.53</v>
      </c>
      <c r="S222" t="s">
        <v>39</v>
      </c>
      <c r="T222">
        <v>2300</v>
      </c>
      <c r="U222">
        <v>3.7</v>
      </c>
      <c r="V222" t="s">
        <v>114</v>
      </c>
    </row>
    <row r="223" spans="1:22" x14ac:dyDescent="0.3">
      <c r="A223" t="s">
        <v>4691</v>
      </c>
      <c r="B223" t="s">
        <v>980</v>
      </c>
      <c r="C223" t="s">
        <v>981</v>
      </c>
      <c r="D223" s="2">
        <v>45767</v>
      </c>
      <c r="E223" t="s">
        <v>66</v>
      </c>
      <c r="F223" t="s">
        <v>66</v>
      </c>
      <c r="G223" t="s">
        <v>580</v>
      </c>
      <c r="H223" t="s">
        <v>229</v>
      </c>
      <c r="I223" t="s">
        <v>69</v>
      </c>
      <c r="J223" t="s">
        <v>30</v>
      </c>
      <c r="K223">
        <v>7</v>
      </c>
      <c r="L223">
        <v>44</v>
      </c>
      <c r="M223">
        <v>82900</v>
      </c>
      <c r="N223">
        <v>8300</v>
      </c>
      <c r="O223">
        <v>74600</v>
      </c>
      <c r="P223">
        <v>35000</v>
      </c>
      <c r="Q223">
        <v>39600</v>
      </c>
      <c r="R223">
        <v>53.08</v>
      </c>
      <c r="S223" t="s">
        <v>39</v>
      </c>
      <c r="T223">
        <v>4300</v>
      </c>
      <c r="U223">
        <v>4.0999999999999996</v>
      </c>
      <c r="V223" t="s">
        <v>42</v>
      </c>
    </row>
    <row r="224" spans="1:22" x14ac:dyDescent="0.3">
      <c r="A224" t="s">
        <v>3240</v>
      </c>
      <c r="B224" t="s">
        <v>240</v>
      </c>
      <c r="C224" t="s">
        <v>241</v>
      </c>
      <c r="D224" s="2">
        <v>45769</v>
      </c>
      <c r="E224" t="s">
        <v>26</v>
      </c>
      <c r="F224" t="s">
        <v>26</v>
      </c>
      <c r="G224" t="s">
        <v>27</v>
      </c>
      <c r="H224" t="s">
        <v>49</v>
      </c>
      <c r="I224" t="s">
        <v>69</v>
      </c>
      <c r="J224" t="s">
        <v>30</v>
      </c>
      <c r="K224">
        <v>8</v>
      </c>
      <c r="L224">
        <v>25</v>
      </c>
      <c r="M224">
        <v>25200</v>
      </c>
      <c r="N224">
        <v>5000</v>
      </c>
      <c r="O224">
        <v>20200</v>
      </c>
      <c r="P224">
        <v>16100</v>
      </c>
      <c r="Q224">
        <v>4100</v>
      </c>
      <c r="R224">
        <v>20.3</v>
      </c>
      <c r="S224" t="s">
        <v>79</v>
      </c>
      <c r="T224">
        <v>3000</v>
      </c>
      <c r="U224">
        <v>4.2</v>
      </c>
      <c r="V224" t="s">
        <v>58</v>
      </c>
    </row>
    <row r="225" spans="1:22" x14ac:dyDescent="0.3">
      <c r="A225" t="s">
        <v>5417</v>
      </c>
      <c r="B225" t="s">
        <v>688</v>
      </c>
      <c r="C225" t="s">
        <v>689</v>
      </c>
      <c r="D225" s="2">
        <v>45769</v>
      </c>
      <c r="E225" t="s">
        <v>228</v>
      </c>
      <c r="F225" t="s">
        <v>228</v>
      </c>
      <c r="G225" t="s">
        <v>48</v>
      </c>
      <c r="H225" t="s">
        <v>88</v>
      </c>
      <c r="I225" t="s">
        <v>69</v>
      </c>
      <c r="J225" t="s">
        <v>70</v>
      </c>
      <c r="K225">
        <v>10</v>
      </c>
      <c r="L225">
        <v>28</v>
      </c>
      <c r="M225">
        <v>69300</v>
      </c>
      <c r="N225">
        <v>10400</v>
      </c>
      <c r="O225">
        <v>58900</v>
      </c>
      <c r="P225">
        <v>39200</v>
      </c>
      <c r="Q225">
        <v>19700</v>
      </c>
      <c r="R225">
        <v>33.450000000000003</v>
      </c>
      <c r="S225" t="s">
        <v>79</v>
      </c>
      <c r="T225">
        <v>9700</v>
      </c>
      <c r="U225">
        <v>4</v>
      </c>
      <c r="V225" t="s">
        <v>114</v>
      </c>
    </row>
    <row r="226" spans="1:22" x14ac:dyDescent="0.3">
      <c r="A226" t="s">
        <v>5151</v>
      </c>
      <c r="B226" t="s">
        <v>2657</v>
      </c>
      <c r="C226" t="s">
        <v>2658</v>
      </c>
      <c r="D226" s="2">
        <v>45769</v>
      </c>
      <c r="E226" t="s">
        <v>228</v>
      </c>
      <c r="F226" t="s">
        <v>228</v>
      </c>
      <c r="G226" t="s">
        <v>118</v>
      </c>
      <c r="H226" t="s">
        <v>214</v>
      </c>
      <c r="I226" t="s">
        <v>29</v>
      </c>
      <c r="J226" t="s">
        <v>30</v>
      </c>
      <c r="K226">
        <v>5</v>
      </c>
      <c r="L226">
        <v>37</v>
      </c>
      <c r="M226">
        <v>49800</v>
      </c>
      <c r="N226">
        <v>7500</v>
      </c>
      <c r="O226">
        <v>42300</v>
      </c>
      <c r="P226">
        <v>22500</v>
      </c>
      <c r="Q226">
        <v>19800</v>
      </c>
      <c r="R226">
        <v>46.81</v>
      </c>
      <c r="S226" t="s">
        <v>39</v>
      </c>
      <c r="T226">
        <v>5200</v>
      </c>
      <c r="U226">
        <v>3.1</v>
      </c>
      <c r="V226" t="s">
        <v>82</v>
      </c>
    </row>
    <row r="227" spans="1:22" x14ac:dyDescent="0.3">
      <c r="A227" t="s">
        <v>3106</v>
      </c>
      <c r="B227" t="s">
        <v>2915</v>
      </c>
      <c r="C227" t="s">
        <v>2916</v>
      </c>
      <c r="D227" s="2">
        <v>45769</v>
      </c>
      <c r="E227" t="s">
        <v>244</v>
      </c>
      <c r="F227" t="s">
        <v>244</v>
      </c>
      <c r="G227" t="s">
        <v>103</v>
      </c>
      <c r="H227" t="s">
        <v>28</v>
      </c>
      <c r="I227" t="s">
        <v>69</v>
      </c>
      <c r="J227" t="s">
        <v>30</v>
      </c>
      <c r="K227">
        <v>9</v>
      </c>
      <c r="L227">
        <v>10</v>
      </c>
      <c r="M227">
        <v>67000</v>
      </c>
      <c r="N227">
        <v>0</v>
      </c>
      <c r="O227">
        <v>67000</v>
      </c>
      <c r="P227">
        <v>32800</v>
      </c>
      <c r="Q227">
        <v>34200</v>
      </c>
      <c r="R227">
        <v>51.04</v>
      </c>
      <c r="S227" t="s">
        <v>97</v>
      </c>
      <c r="T227">
        <v>8400</v>
      </c>
      <c r="U227">
        <v>5</v>
      </c>
      <c r="V227" t="s">
        <v>42</v>
      </c>
    </row>
    <row r="228" spans="1:22" x14ac:dyDescent="0.3">
      <c r="A228" t="s">
        <v>4917</v>
      </c>
      <c r="B228" t="s">
        <v>2233</v>
      </c>
      <c r="C228" t="s">
        <v>2234</v>
      </c>
      <c r="D228" s="2">
        <v>45769</v>
      </c>
      <c r="E228" t="s">
        <v>282</v>
      </c>
      <c r="F228" t="s">
        <v>282</v>
      </c>
      <c r="G228" t="s">
        <v>27</v>
      </c>
      <c r="H228" t="s">
        <v>5470</v>
      </c>
      <c r="I228" t="s">
        <v>69</v>
      </c>
      <c r="J228" t="s">
        <v>30</v>
      </c>
      <c r="K228">
        <v>6</v>
      </c>
      <c r="L228">
        <v>49</v>
      </c>
      <c r="M228">
        <v>17900</v>
      </c>
      <c r="N228">
        <v>0</v>
      </c>
      <c r="O228">
        <v>17900</v>
      </c>
      <c r="P228">
        <v>9200</v>
      </c>
      <c r="Q228">
        <v>8700</v>
      </c>
      <c r="R228">
        <v>48.6</v>
      </c>
      <c r="S228" t="s">
        <v>182</v>
      </c>
      <c r="T228">
        <v>1500</v>
      </c>
      <c r="U228">
        <v>3.4</v>
      </c>
      <c r="V228" t="s">
        <v>114</v>
      </c>
    </row>
    <row r="229" spans="1:22" x14ac:dyDescent="0.3">
      <c r="A229" t="s">
        <v>1591</v>
      </c>
      <c r="B229" t="s">
        <v>1592</v>
      </c>
      <c r="C229" t="s">
        <v>1593</v>
      </c>
      <c r="D229" s="2">
        <v>45770</v>
      </c>
      <c r="E229" t="s">
        <v>188</v>
      </c>
      <c r="F229" t="s">
        <v>188</v>
      </c>
      <c r="G229" t="s">
        <v>580</v>
      </c>
      <c r="H229" t="s">
        <v>268</v>
      </c>
      <c r="I229" t="s">
        <v>69</v>
      </c>
      <c r="J229" t="s">
        <v>30</v>
      </c>
      <c r="K229">
        <v>8</v>
      </c>
      <c r="L229">
        <v>47</v>
      </c>
      <c r="M229">
        <v>91100</v>
      </c>
      <c r="N229">
        <v>4600</v>
      </c>
      <c r="O229">
        <v>86500</v>
      </c>
      <c r="P229">
        <v>55900</v>
      </c>
      <c r="Q229">
        <v>30600</v>
      </c>
      <c r="R229">
        <v>35.380000000000003</v>
      </c>
      <c r="S229" t="s">
        <v>97</v>
      </c>
      <c r="T229">
        <v>14300</v>
      </c>
      <c r="U229">
        <v>5</v>
      </c>
      <c r="V229" t="s">
        <v>58</v>
      </c>
    </row>
    <row r="230" spans="1:22" x14ac:dyDescent="0.3">
      <c r="A230" t="s">
        <v>3412</v>
      </c>
      <c r="B230" t="s">
        <v>3413</v>
      </c>
      <c r="C230" t="s">
        <v>3414</v>
      </c>
      <c r="D230" s="2">
        <v>45770</v>
      </c>
      <c r="E230" t="s">
        <v>134</v>
      </c>
      <c r="F230" t="s">
        <v>134</v>
      </c>
      <c r="G230" t="s">
        <v>48</v>
      </c>
      <c r="H230" t="s">
        <v>49</v>
      </c>
      <c r="I230" t="s">
        <v>69</v>
      </c>
      <c r="J230" t="s">
        <v>30</v>
      </c>
      <c r="K230">
        <v>7</v>
      </c>
      <c r="L230">
        <v>22</v>
      </c>
      <c r="M230">
        <v>25200</v>
      </c>
      <c r="N230">
        <v>1300</v>
      </c>
      <c r="O230">
        <v>23900</v>
      </c>
      <c r="P230">
        <v>15900</v>
      </c>
      <c r="Q230">
        <v>8000</v>
      </c>
      <c r="R230">
        <v>33.47</v>
      </c>
      <c r="S230" t="s">
        <v>58</v>
      </c>
      <c r="T230">
        <v>2800</v>
      </c>
      <c r="U230">
        <v>4</v>
      </c>
      <c r="V230" t="s">
        <v>114</v>
      </c>
    </row>
    <row r="231" spans="1:22" x14ac:dyDescent="0.3">
      <c r="A231" t="s">
        <v>4664</v>
      </c>
      <c r="B231" t="s">
        <v>1186</v>
      </c>
      <c r="C231" t="s">
        <v>1187</v>
      </c>
      <c r="D231" s="2">
        <v>45770</v>
      </c>
      <c r="E231" t="s">
        <v>188</v>
      </c>
      <c r="F231" t="s">
        <v>188</v>
      </c>
      <c r="G231" t="s">
        <v>580</v>
      </c>
      <c r="H231" t="s">
        <v>68</v>
      </c>
      <c r="I231" t="s">
        <v>29</v>
      </c>
      <c r="J231" t="s">
        <v>30</v>
      </c>
      <c r="K231">
        <v>2</v>
      </c>
      <c r="L231">
        <v>5</v>
      </c>
      <c r="M231">
        <v>21800</v>
      </c>
      <c r="N231">
        <v>0</v>
      </c>
      <c r="O231">
        <v>21800</v>
      </c>
      <c r="P231">
        <v>17000</v>
      </c>
      <c r="Q231">
        <v>4800</v>
      </c>
      <c r="R231">
        <v>22.02</v>
      </c>
      <c r="S231" t="s">
        <v>182</v>
      </c>
      <c r="T231">
        <v>2500</v>
      </c>
      <c r="U231">
        <v>4.3</v>
      </c>
      <c r="V231" t="s">
        <v>82</v>
      </c>
    </row>
    <row r="232" spans="1:22" x14ac:dyDescent="0.3">
      <c r="A232" t="s">
        <v>4865</v>
      </c>
      <c r="B232" t="s">
        <v>1793</v>
      </c>
      <c r="C232" t="s">
        <v>1794</v>
      </c>
      <c r="D232" s="2">
        <v>45770</v>
      </c>
      <c r="E232" t="s">
        <v>282</v>
      </c>
      <c r="F232" t="s">
        <v>282</v>
      </c>
      <c r="G232" t="s">
        <v>580</v>
      </c>
      <c r="H232" t="s">
        <v>268</v>
      </c>
      <c r="I232" t="s">
        <v>29</v>
      </c>
      <c r="J232" t="s">
        <v>30</v>
      </c>
      <c r="K232">
        <v>3</v>
      </c>
      <c r="L232">
        <v>33</v>
      </c>
      <c r="M232">
        <v>94200</v>
      </c>
      <c r="N232">
        <v>9400</v>
      </c>
      <c r="O232">
        <v>84800</v>
      </c>
      <c r="P232">
        <v>58100</v>
      </c>
      <c r="Q232">
        <v>26700</v>
      </c>
      <c r="R232">
        <v>31.49</v>
      </c>
      <c r="S232" t="s">
        <v>39</v>
      </c>
      <c r="T232">
        <v>14000</v>
      </c>
      <c r="U232">
        <v>4.0999999999999996</v>
      </c>
      <c r="V232" t="s">
        <v>114</v>
      </c>
    </row>
    <row r="233" spans="1:22" x14ac:dyDescent="0.3">
      <c r="A233" t="s">
        <v>4345</v>
      </c>
      <c r="B233" t="s">
        <v>2495</v>
      </c>
      <c r="C233" t="s">
        <v>2496</v>
      </c>
      <c r="D233" s="2">
        <v>45770</v>
      </c>
      <c r="E233" t="s">
        <v>161</v>
      </c>
      <c r="F233" t="s">
        <v>161</v>
      </c>
      <c r="G233" t="s">
        <v>213</v>
      </c>
      <c r="H233" t="s">
        <v>229</v>
      </c>
      <c r="I233" t="s">
        <v>29</v>
      </c>
      <c r="J233" t="s">
        <v>70</v>
      </c>
      <c r="K233">
        <v>3</v>
      </c>
      <c r="L233">
        <v>65</v>
      </c>
      <c r="M233">
        <v>29600</v>
      </c>
      <c r="N233">
        <v>3000</v>
      </c>
      <c r="O233">
        <v>26600</v>
      </c>
      <c r="P233">
        <v>15000</v>
      </c>
      <c r="Q233">
        <v>11600</v>
      </c>
      <c r="R233">
        <v>43.61</v>
      </c>
      <c r="S233" t="s">
        <v>182</v>
      </c>
      <c r="T233">
        <v>2700</v>
      </c>
      <c r="U233">
        <v>3</v>
      </c>
      <c r="V233" t="s">
        <v>42</v>
      </c>
    </row>
    <row r="234" spans="1:22" x14ac:dyDescent="0.3">
      <c r="A234" t="s">
        <v>1390</v>
      </c>
      <c r="B234" t="s">
        <v>1391</v>
      </c>
      <c r="C234" t="s">
        <v>1392</v>
      </c>
      <c r="D234" s="2">
        <v>45771</v>
      </c>
      <c r="E234" t="s">
        <v>282</v>
      </c>
      <c r="F234" t="s">
        <v>282</v>
      </c>
      <c r="G234" t="s">
        <v>103</v>
      </c>
      <c r="H234" t="s">
        <v>68</v>
      </c>
      <c r="I234" t="s">
        <v>29</v>
      </c>
      <c r="J234" t="s">
        <v>30</v>
      </c>
      <c r="K234">
        <v>9</v>
      </c>
      <c r="L234">
        <v>60</v>
      </c>
      <c r="M234">
        <v>30500</v>
      </c>
      <c r="N234">
        <v>4600</v>
      </c>
      <c r="O234">
        <v>25900</v>
      </c>
      <c r="P234">
        <v>17700</v>
      </c>
      <c r="Q234">
        <v>8200</v>
      </c>
      <c r="R234">
        <v>31.66</v>
      </c>
      <c r="S234" t="s">
        <v>126</v>
      </c>
      <c r="T234">
        <v>2800</v>
      </c>
      <c r="U234">
        <v>3.1</v>
      </c>
      <c r="V234" t="s">
        <v>79</v>
      </c>
    </row>
    <row r="235" spans="1:22" x14ac:dyDescent="0.3">
      <c r="A235" t="s">
        <v>4024</v>
      </c>
      <c r="B235" t="s">
        <v>2017</v>
      </c>
      <c r="C235" t="s">
        <v>2018</v>
      </c>
      <c r="D235" s="2">
        <v>45771</v>
      </c>
      <c r="E235" t="s">
        <v>161</v>
      </c>
      <c r="F235" t="s">
        <v>161</v>
      </c>
      <c r="G235" t="s">
        <v>580</v>
      </c>
      <c r="H235" t="s">
        <v>49</v>
      </c>
      <c r="I235" t="s">
        <v>69</v>
      </c>
      <c r="J235" t="s">
        <v>162</v>
      </c>
      <c r="K235">
        <v>7</v>
      </c>
      <c r="L235">
        <v>25</v>
      </c>
      <c r="M235">
        <v>31200</v>
      </c>
      <c r="N235">
        <v>1600</v>
      </c>
      <c r="O235">
        <v>29600</v>
      </c>
      <c r="P235">
        <v>22500</v>
      </c>
      <c r="Q235">
        <v>7100</v>
      </c>
      <c r="R235">
        <v>23.99</v>
      </c>
      <c r="S235" t="s">
        <v>126</v>
      </c>
      <c r="T235">
        <v>2100</v>
      </c>
      <c r="U235">
        <v>4.4000000000000004</v>
      </c>
      <c r="V235" t="s">
        <v>82</v>
      </c>
    </row>
    <row r="236" spans="1:22" x14ac:dyDescent="0.3">
      <c r="A236" t="s">
        <v>5169</v>
      </c>
      <c r="B236" t="s">
        <v>1311</v>
      </c>
      <c r="C236" t="s">
        <v>1312</v>
      </c>
      <c r="D236" s="2">
        <v>45771</v>
      </c>
      <c r="E236" t="s">
        <v>282</v>
      </c>
      <c r="F236" t="s">
        <v>282</v>
      </c>
      <c r="G236" t="s">
        <v>27</v>
      </c>
      <c r="H236" t="s">
        <v>229</v>
      </c>
      <c r="I236" t="s">
        <v>29</v>
      </c>
      <c r="J236" t="s">
        <v>30</v>
      </c>
      <c r="K236">
        <v>9</v>
      </c>
      <c r="L236">
        <v>14</v>
      </c>
      <c r="M236">
        <v>44900</v>
      </c>
      <c r="N236">
        <v>6700</v>
      </c>
      <c r="O236">
        <v>38200</v>
      </c>
      <c r="P236">
        <v>21100</v>
      </c>
      <c r="Q236">
        <v>17100</v>
      </c>
      <c r="R236">
        <v>44.76</v>
      </c>
      <c r="S236" t="s">
        <v>97</v>
      </c>
      <c r="T236">
        <v>5600</v>
      </c>
      <c r="U236">
        <v>3.4</v>
      </c>
      <c r="V236" t="s">
        <v>79</v>
      </c>
    </row>
    <row r="237" spans="1:22" x14ac:dyDescent="0.3">
      <c r="A237" t="s">
        <v>3568</v>
      </c>
      <c r="B237" t="s">
        <v>1245</v>
      </c>
      <c r="C237" t="s">
        <v>1246</v>
      </c>
      <c r="D237" s="2">
        <v>45772</v>
      </c>
      <c r="E237" t="s">
        <v>161</v>
      </c>
      <c r="F237" t="s">
        <v>161</v>
      </c>
      <c r="G237" t="s">
        <v>48</v>
      </c>
      <c r="H237" t="s">
        <v>88</v>
      </c>
      <c r="I237" t="s">
        <v>69</v>
      </c>
      <c r="J237" t="s">
        <v>30</v>
      </c>
      <c r="K237">
        <v>3</v>
      </c>
      <c r="L237">
        <v>72</v>
      </c>
      <c r="M237">
        <v>26300</v>
      </c>
      <c r="N237">
        <v>1300</v>
      </c>
      <c r="O237">
        <v>25000</v>
      </c>
      <c r="P237">
        <v>18900</v>
      </c>
      <c r="Q237">
        <v>6100</v>
      </c>
      <c r="R237">
        <v>24.4</v>
      </c>
      <c r="S237" t="s">
        <v>79</v>
      </c>
      <c r="T237">
        <v>2400</v>
      </c>
      <c r="U237">
        <v>4.0999999999999996</v>
      </c>
      <c r="V237" t="s">
        <v>42</v>
      </c>
    </row>
    <row r="238" spans="1:22" x14ac:dyDescent="0.3">
      <c r="A238" t="s">
        <v>3224</v>
      </c>
      <c r="B238" t="s">
        <v>2871</v>
      </c>
      <c r="C238" t="s">
        <v>2872</v>
      </c>
      <c r="D238" s="2">
        <v>45773</v>
      </c>
      <c r="E238" t="s">
        <v>26</v>
      </c>
      <c r="F238" t="s">
        <v>26</v>
      </c>
      <c r="G238" t="s">
        <v>67</v>
      </c>
      <c r="H238" t="s">
        <v>229</v>
      </c>
      <c r="I238" t="s">
        <v>69</v>
      </c>
      <c r="J238" t="s">
        <v>30</v>
      </c>
      <c r="K238">
        <v>7</v>
      </c>
      <c r="L238">
        <v>66</v>
      </c>
      <c r="M238">
        <v>18700</v>
      </c>
      <c r="N238">
        <v>0</v>
      </c>
      <c r="O238">
        <v>18700</v>
      </c>
      <c r="P238">
        <v>11900</v>
      </c>
      <c r="Q238">
        <v>6800</v>
      </c>
      <c r="R238">
        <v>36.36</v>
      </c>
      <c r="S238" t="s">
        <v>182</v>
      </c>
      <c r="T238">
        <v>1600</v>
      </c>
      <c r="U238">
        <v>3.8</v>
      </c>
      <c r="V238" t="s">
        <v>58</v>
      </c>
    </row>
    <row r="239" spans="1:22" x14ac:dyDescent="0.3">
      <c r="A239" t="s">
        <v>3121</v>
      </c>
      <c r="B239" t="s">
        <v>1701</v>
      </c>
      <c r="C239" t="s">
        <v>1702</v>
      </c>
      <c r="D239" s="2">
        <v>45774</v>
      </c>
      <c r="E239" t="s">
        <v>26</v>
      </c>
      <c r="F239" t="s">
        <v>26</v>
      </c>
      <c r="G239" t="s">
        <v>48</v>
      </c>
      <c r="H239" t="s">
        <v>68</v>
      </c>
      <c r="I239" t="s">
        <v>29</v>
      </c>
      <c r="J239" t="s">
        <v>70</v>
      </c>
      <c r="K239">
        <v>9</v>
      </c>
      <c r="L239">
        <v>47</v>
      </c>
      <c r="M239">
        <v>26100</v>
      </c>
      <c r="N239">
        <v>2600</v>
      </c>
      <c r="O239">
        <v>23500</v>
      </c>
      <c r="P239">
        <v>21000</v>
      </c>
      <c r="Q239">
        <v>2500</v>
      </c>
      <c r="R239">
        <v>10.64</v>
      </c>
      <c r="S239" t="s">
        <v>58</v>
      </c>
      <c r="T239">
        <v>3200</v>
      </c>
      <c r="U239">
        <v>3.5</v>
      </c>
      <c r="V239" t="s">
        <v>58</v>
      </c>
    </row>
    <row r="240" spans="1:22" x14ac:dyDescent="0.3">
      <c r="A240" t="s">
        <v>2463</v>
      </c>
      <c r="B240" t="s">
        <v>2464</v>
      </c>
      <c r="C240" t="s">
        <v>2465</v>
      </c>
      <c r="D240" s="2">
        <v>45774</v>
      </c>
      <c r="E240" t="s">
        <v>26</v>
      </c>
      <c r="F240" t="s">
        <v>26</v>
      </c>
      <c r="G240" t="s">
        <v>67</v>
      </c>
      <c r="H240" t="s">
        <v>49</v>
      </c>
      <c r="I240" t="s">
        <v>29</v>
      </c>
      <c r="J240" t="s">
        <v>30</v>
      </c>
      <c r="K240">
        <v>3</v>
      </c>
      <c r="L240">
        <v>25</v>
      </c>
      <c r="M240">
        <v>104400</v>
      </c>
      <c r="N240">
        <v>0</v>
      </c>
      <c r="O240">
        <v>104400</v>
      </c>
      <c r="P240">
        <v>50500</v>
      </c>
      <c r="Q240">
        <v>53900</v>
      </c>
      <c r="R240">
        <v>51.63</v>
      </c>
      <c r="S240" t="s">
        <v>126</v>
      </c>
      <c r="T240">
        <v>6100</v>
      </c>
      <c r="U240">
        <v>3.8</v>
      </c>
      <c r="V240" t="s">
        <v>79</v>
      </c>
    </row>
    <row r="241" spans="1:22" x14ac:dyDescent="0.3">
      <c r="A241" t="s">
        <v>3458</v>
      </c>
      <c r="B241" t="s">
        <v>1741</v>
      </c>
      <c r="C241" t="s">
        <v>1742</v>
      </c>
      <c r="D241" s="2">
        <v>45774</v>
      </c>
      <c r="E241" t="s">
        <v>134</v>
      </c>
      <c r="F241" t="s">
        <v>134</v>
      </c>
      <c r="G241" t="s">
        <v>103</v>
      </c>
      <c r="H241" t="s">
        <v>229</v>
      </c>
      <c r="I241" t="s">
        <v>69</v>
      </c>
      <c r="J241" t="s">
        <v>70</v>
      </c>
      <c r="K241">
        <v>9</v>
      </c>
      <c r="L241">
        <v>47</v>
      </c>
      <c r="M241">
        <v>20000</v>
      </c>
      <c r="N241">
        <v>4000</v>
      </c>
      <c r="O241">
        <v>16000</v>
      </c>
      <c r="P241">
        <v>11500</v>
      </c>
      <c r="Q241">
        <v>4500</v>
      </c>
      <c r="R241">
        <v>28.12</v>
      </c>
      <c r="S241" t="s">
        <v>126</v>
      </c>
      <c r="T241">
        <v>1800</v>
      </c>
      <c r="U241">
        <v>2.6</v>
      </c>
      <c r="V241" t="s">
        <v>82</v>
      </c>
    </row>
    <row r="242" spans="1:22" x14ac:dyDescent="0.3">
      <c r="A242" t="s">
        <v>2306</v>
      </c>
      <c r="B242" t="s">
        <v>787</v>
      </c>
      <c r="C242" t="s">
        <v>788</v>
      </c>
      <c r="D242" s="2">
        <v>45776</v>
      </c>
      <c r="E242" t="s">
        <v>26</v>
      </c>
      <c r="F242" t="s">
        <v>26</v>
      </c>
      <c r="G242" t="s">
        <v>580</v>
      </c>
      <c r="H242" t="s">
        <v>268</v>
      </c>
      <c r="I242" t="s">
        <v>69</v>
      </c>
      <c r="J242" t="s">
        <v>70</v>
      </c>
      <c r="K242">
        <v>6</v>
      </c>
      <c r="L242">
        <v>64</v>
      </c>
      <c r="M242">
        <v>30000</v>
      </c>
      <c r="N242">
        <v>4500</v>
      </c>
      <c r="O242">
        <v>25500</v>
      </c>
      <c r="P242">
        <v>23200</v>
      </c>
      <c r="Q242">
        <v>2300</v>
      </c>
      <c r="R242">
        <v>9.02</v>
      </c>
      <c r="S242" t="s">
        <v>39</v>
      </c>
      <c r="T242">
        <v>3600</v>
      </c>
      <c r="U242">
        <v>3.1</v>
      </c>
      <c r="V242" t="s">
        <v>58</v>
      </c>
    </row>
    <row r="243" spans="1:22" x14ac:dyDescent="0.3">
      <c r="A243" t="s">
        <v>424</v>
      </c>
      <c r="B243" t="s">
        <v>425</v>
      </c>
      <c r="C243" t="s">
        <v>426</v>
      </c>
      <c r="D243" s="2">
        <v>45776</v>
      </c>
      <c r="E243" t="s">
        <v>228</v>
      </c>
      <c r="F243" t="s">
        <v>228</v>
      </c>
      <c r="G243" t="s">
        <v>67</v>
      </c>
      <c r="H243" t="s">
        <v>268</v>
      </c>
      <c r="I243" t="s">
        <v>29</v>
      </c>
      <c r="J243" t="s">
        <v>70</v>
      </c>
      <c r="K243">
        <v>3</v>
      </c>
      <c r="L243">
        <v>33</v>
      </c>
      <c r="M243">
        <v>63500</v>
      </c>
      <c r="N243">
        <v>12700</v>
      </c>
      <c r="O243">
        <v>50800</v>
      </c>
      <c r="P243">
        <v>41400</v>
      </c>
      <c r="Q243">
        <v>9400</v>
      </c>
      <c r="R243">
        <v>18.5</v>
      </c>
      <c r="S243" t="s">
        <v>182</v>
      </c>
      <c r="T243">
        <v>8700</v>
      </c>
      <c r="U243">
        <v>4.8</v>
      </c>
      <c r="V243" t="s">
        <v>114</v>
      </c>
    </row>
    <row r="244" spans="1:22" x14ac:dyDescent="0.3">
      <c r="A244" t="s">
        <v>4744</v>
      </c>
      <c r="B244" t="s">
        <v>1644</v>
      </c>
      <c r="C244" t="s">
        <v>1645</v>
      </c>
      <c r="D244" s="2">
        <v>45778</v>
      </c>
      <c r="E244" t="s">
        <v>66</v>
      </c>
      <c r="F244" t="s">
        <v>66</v>
      </c>
      <c r="G244" t="s">
        <v>118</v>
      </c>
      <c r="H244" t="s">
        <v>88</v>
      </c>
      <c r="I244" t="s">
        <v>29</v>
      </c>
      <c r="J244" t="s">
        <v>30</v>
      </c>
      <c r="K244">
        <v>9</v>
      </c>
      <c r="L244">
        <v>8</v>
      </c>
      <c r="M244">
        <v>24200</v>
      </c>
      <c r="N244">
        <v>0</v>
      </c>
      <c r="O244">
        <v>24200</v>
      </c>
      <c r="P244">
        <v>18200</v>
      </c>
      <c r="Q244">
        <v>6000</v>
      </c>
      <c r="R244">
        <v>24.79</v>
      </c>
      <c r="S244" t="s">
        <v>79</v>
      </c>
      <c r="T244">
        <v>3700</v>
      </c>
      <c r="U244">
        <v>4</v>
      </c>
      <c r="V244" t="s">
        <v>82</v>
      </c>
    </row>
    <row r="245" spans="1:22" x14ac:dyDescent="0.3">
      <c r="A245" t="s">
        <v>923</v>
      </c>
      <c r="B245" t="s">
        <v>924</v>
      </c>
      <c r="C245" t="s">
        <v>925</v>
      </c>
      <c r="D245" s="2">
        <v>45778</v>
      </c>
      <c r="E245" t="s">
        <v>26</v>
      </c>
      <c r="F245" t="s">
        <v>26</v>
      </c>
      <c r="G245" t="s">
        <v>67</v>
      </c>
      <c r="H245" t="s">
        <v>28</v>
      </c>
      <c r="I245" t="s">
        <v>69</v>
      </c>
      <c r="J245" t="s">
        <v>30</v>
      </c>
      <c r="K245">
        <v>4</v>
      </c>
      <c r="L245">
        <v>6</v>
      </c>
      <c r="M245">
        <v>101200</v>
      </c>
      <c r="N245">
        <v>10100</v>
      </c>
      <c r="O245">
        <v>91100</v>
      </c>
      <c r="P245">
        <v>70700</v>
      </c>
      <c r="Q245">
        <v>20400</v>
      </c>
      <c r="R245">
        <v>22.39</v>
      </c>
      <c r="S245" t="s">
        <v>58</v>
      </c>
      <c r="T245">
        <v>6000</v>
      </c>
      <c r="U245">
        <v>4.5999999999999996</v>
      </c>
      <c r="V245" t="s">
        <v>79</v>
      </c>
    </row>
    <row r="246" spans="1:22" x14ac:dyDescent="0.3">
      <c r="A246" t="s">
        <v>1475</v>
      </c>
      <c r="B246" t="s">
        <v>454</v>
      </c>
      <c r="C246" t="s">
        <v>455</v>
      </c>
      <c r="D246" s="2">
        <v>45778</v>
      </c>
      <c r="E246" t="s">
        <v>161</v>
      </c>
      <c r="F246" t="s">
        <v>161</v>
      </c>
      <c r="G246" t="s">
        <v>580</v>
      </c>
      <c r="H246" t="s">
        <v>49</v>
      </c>
      <c r="I246" t="s">
        <v>69</v>
      </c>
      <c r="J246" t="s">
        <v>70</v>
      </c>
      <c r="K246">
        <v>6</v>
      </c>
      <c r="L246">
        <v>50</v>
      </c>
      <c r="M246">
        <v>58500</v>
      </c>
      <c r="N246">
        <v>2900</v>
      </c>
      <c r="O246">
        <v>55600</v>
      </c>
      <c r="P246">
        <v>40500</v>
      </c>
      <c r="Q246">
        <v>15100</v>
      </c>
      <c r="R246">
        <v>27.16</v>
      </c>
      <c r="S246" t="s">
        <v>182</v>
      </c>
      <c r="T246">
        <v>8100</v>
      </c>
      <c r="U246">
        <v>4.7</v>
      </c>
      <c r="V246" t="s">
        <v>82</v>
      </c>
    </row>
    <row r="247" spans="1:22" x14ac:dyDescent="0.3">
      <c r="A247" t="s">
        <v>4383</v>
      </c>
      <c r="B247" t="s">
        <v>2585</v>
      </c>
      <c r="C247" t="s">
        <v>2586</v>
      </c>
      <c r="D247" s="2">
        <v>45779</v>
      </c>
      <c r="E247" t="s">
        <v>66</v>
      </c>
      <c r="F247" t="s">
        <v>66</v>
      </c>
      <c r="G247" t="s">
        <v>103</v>
      </c>
      <c r="H247" t="s">
        <v>268</v>
      </c>
      <c r="I247" t="s">
        <v>69</v>
      </c>
      <c r="J247" t="s">
        <v>30</v>
      </c>
      <c r="K247">
        <v>4</v>
      </c>
      <c r="L247">
        <v>5</v>
      </c>
      <c r="M247">
        <v>15000</v>
      </c>
      <c r="N247">
        <v>1500</v>
      </c>
      <c r="O247">
        <v>13500</v>
      </c>
      <c r="P247">
        <v>7900</v>
      </c>
      <c r="Q247">
        <v>5600</v>
      </c>
      <c r="R247">
        <v>41.48</v>
      </c>
      <c r="S247" t="s">
        <v>39</v>
      </c>
      <c r="T247">
        <v>1600</v>
      </c>
      <c r="U247">
        <v>5</v>
      </c>
      <c r="V247" t="s">
        <v>114</v>
      </c>
    </row>
    <row r="248" spans="1:22" x14ac:dyDescent="0.3">
      <c r="A248" t="s">
        <v>4699</v>
      </c>
      <c r="B248" t="s">
        <v>1292</v>
      </c>
      <c r="C248" t="s">
        <v>1293</v>
      </c>
      <c r="D248" s="2">
        <v>45781</v>
      </c>
      <c r="E248" t="s">
        <v>228</v>
      </c>
      <c r="F248" t="s">
        <v>228</v>
      </c>
      <c r="G248" t="s">
        <v>27</v>
      </c>
      <c r="H248" t="s">
        <v>214</v>
      </c>
      <c r="I248" t="s">
        <v>69</v>
      </c>
      <c r="J248" t="s">
        <v>30</v>
      </c>
      <c r="K248">
        <v>10</v>
      </c>
      <c r="L248">
        <v>73</v>
      </c>
      <c r="M248">
        <v>34500</v>
      </c>
      <c r="N248">
        <v>5200</v>
      </c>
      <c r="O248">
        <v>29300</v>
      </c>
      <c r="P248">
        <v>21400</v>
      </c>
      <c r="Q248">
        <v>7900</v>
      </c>
      <c r="R248">
        <v>26.96</v>
      </c>
      <c r="S248" t="s">
        <v>39</v>
      </c>
      <c r="T248">
        <v>5300</v>
      </c>
      <c r="U248">
        <v>3.1</v>
      </c>
      <c r="V248" t="s">
        <v>58</v>
      </c>
    </row>
    <row r="249" spans="1:22" x14ac:dyDescent="0.3">
      <c r="A249" t="s">
        <v>794</v>
      </c>
      <c r="B249" t="s">
        <v>795</v>
      </c>
      <c r="C249" t="s">
        <v>796</v>
      </c>
      <c r="D249" s="2">
        <v>45781</v>
      </c>
      <c r="E249" t="s">
        <v>66</v>
      </c>
      <c r="F249" t="s">
        <v>66</v>
      </c>
      <c r="G249" t="s">
        <v>213</v>
      </c>
      <c r="H249" t="s">
        <v>49</v>
      </c>
      <c r="I249" t="s">
        <v>29</v>
      </c>
      <c r="J249" t="s">
        <v>30</v>
      </c>
      <c r="K249">
        <v>5</v>
      </c>
      <c r="L249">
        <v>12</v>
      </c>
      <c r="M249">
        <v>27800</v>
      </c>
      <c r="N249">
        <v>4200</v>
      </c>
      <c r="O249">
        <v>23600</v>
      </c>
      <c r="P249">
        <v>17600</v>
      </c>
      <c r="Q249">
        <v>6000</v>
      </c>
      <c r="R249">
        <v>25.42</v>
      </c>
      <c r="S249" t="s">
        <v>79</v>
      </c>
      <c r="T249">
        <v>4100</v>
      </c>
      <c r="U249">
        <v>4.0999999999999996</v>
      </c>
      <c r="V249" t="s">
        <v>79</v>
      </c>
    </row>
    <row r="250" spans="1:22" x14ac:dyDescent="0.3">
      <c r="A250" t="s">
        <v>4351</v>
      </c>
      <c r="B250" t="s">
        <v>4145</v>
      </c>
      <c r="C250" t="s">
        <v>4146</v>
      </c>
      <c r="D250" s="2">
        <v>45781</v>
      </c>
      <c r="E250" t="s">
        <v>228</v>
      </c>
      <c r="F250" t="s">
        <v>228</v>
      </c>
      <c r="G250" t="s">
        <v>103</v>
      </c>
      <c r="H250" t="s">
        <v>68</v>
      </c>
      <c r="I250" t="s">
        <v>29</v>
      </c>
      <c r="J250" t="s">
        <v>30</v>
      </c>
      <c r="K250">
        <v>4</v>
      </c>
      <c r="L250">
        <v>29</v>
      </c>
      <c r="M250">
        <v>34700</v>
      </c>
      <c r="N250">
        <v>0</v>
      </c>
      <c r="O250">
        <v>34700</v>
      </c>
      <c r="P250">
        <v>17500</v>
      </c>
      <c r="Q250">
        <v>17200</v>
      </c>
      <c r="R250">
        <v>49.57</v>
      </c>
      <c r="S250" t="s">
        <v>58</v>
      </c>
      <c r="T250">
        <v>6100</v>
      </c>
      <c r="U250">
        <v>3.7</v>
      </c>
      <c r="V250" t="s">
        <v>42</v>
      </c>
    </row>
    <row r="251" spans="1:22" x14ac:dyDescent="0.3">
      <c r="A251" t="s">
        <v>4842</v>
      </c>
      <c r="B251" t="s">
        <v>2277</v>
      </c>
      <c r="C251" t="s">
        <v>2278</v>
      </c>
      <c r="D251" s="2">
        <v>45781</v>
      </c>
      <c r="E251" t="s">
        <v>244</v>
      </c>
      <c r="F251" t="s">
        <v>244</v>
      </c>
      <c r="G251" t="s">
        <v>27</v>
      </c>
      <c r="H251" t="s">
        <v>68</v>
      </c>
      <c r="I251" t="s">
        <v>29</v>
      </c>
      <c r="J251" t="s">
        <v>30</v>
      </c>
      <c r="K251">
        <v>8</v>
      </c>
      <c r="L251">
        <v>9</v>
      </c>
      <c r="M251">
        <v>48000</v>
      </c>
      <c r="N251">
        <v>0</v>
      </c>
      <c r="O251">
        <v>48000</v>
      </c>
      <c r="P251">
        <v>27000</v>
      </c>
      <c r="Q251">
        <v>21000</v>
      </c>
      <c r="R251">
        <v>43.75</v>
      </c>
      <c r="S251" t="s">
        <v>39</v>
      </c>
      <c r="T251">
        <v>5600</v>
      </c>
      <c r="U251">
        <v>4.7</v>
      </c>
      <c r="V251" t="s">
        <v>79</v>
      </c>
    </row>
    <row r="252" spans="1:22" x14ac:dyDescent="0.3">
      <c r="A252" t="s">
        <v>1478</v>
      </c>
      <c r="B252" t="s">
        <v>1479</v>
      </c>
      <c r="C252" t="s">
        <v>1480</v>
      </c>
      <c r="D252" s="2">
        <v>45783</v>
      </c>
      <c r="E252" t="s">
        <v>282</v>
      </c>
      <c r="F252" t="s">
        <v>282</v>
      </c>
      <c r="G252" t="s">
        <v>213</v>
      </c>
      <c r="H252" t="s">
        <v>214</v>
      </c>
      <c r="I252" t="s">
        <v>29</v>
      </c>
      <c r="J252" t="s">
        <v>162</v>
      </c>
      <c r="K252">
        <v>4</v>
      </c>
      <c r="L252">
        <v>34</v>
      </c>
      <c r="M252">
        <v>48100</v>
      </c>
      <c r="N252">
        <v>9600</v>
      </c>
      <c r="O252">
        <v>38500</v>
      </c>
      <c r="P252">
        <v>26600</v>
      </c>
      <c r="Q252">
        <v>11900</v>
      </c>
      <c r="R252">
        <v>30.91</v>
      </c>
      <c r="S252" t="s">
        <v>39</v>
      </c>
      <c r="T252">
        <v>6400</v>
      </c>
      <c r="U252">
        <v>3.6</v>
      </c>
      <c r="V252" t="s">
        <v>82</v>
      </c>
    </row>
    <row r="253" spans="1:22" x14ac:dyDescent="0.3">
      <c r="A253" t="s">
        <v>4773</v>
      </c>
      <c r="B253" t="s">
        <v>2959</v>
      </c>
      <c r="C253" t="s">
        <v>2960</v>
      </c>
      <c r="D253" s="2">
        <v>45783</v>
      </c>
      <c r="E253" t="s">
        <v>282</v>
      </c>
      <c r="F253" t="s">
        <v>282</v>
      </c>
      <c r="G253" t="s">
        <v>103</v>
      </c>
      <c r="H253" t="s">
        <v>214</v>
      </c>
      <c r="I253" t="s">
        <v>69</v>
      </c>
      <c r="J253" t="s">
        <v>30</v>
      </c>
      <c r="K253">
        <v>3</v>
      </c>
      <c r="L253">
        <v>40</v>
      </c>
      <c r="M253">
        <v>24800</v>
      </c>
      <c r="N253">
        <v>3700</v>
      </c>
      <c r="O253">
        <v>21100</v>
      </c>
      <c r="P253">
        <v>19300</v>
      </c>
      <c r="Q253">
        <v>1800</v>
      </c>
      <c r="R253">
        <v>8.5299999999999994</v>
      </c>
      <c r="S253" t="s">
        <v>97</v>
      </c>
      <c r="T253">
        <v>1800</v>
      </c>
      <c r="U253">
        <v>3</v>
      </c>
      <c r="V253" t="s">
        <v>82</v>
      </c>
    </row>
    <row r="254" spans="1:22" x14ac:dyDescent="0.3">
      <c r="A254" t="s">
        <v>4236</v>
      </c>
      <c r="B254" t="s">
        <v>130</v>
      </c>
      <c r="C254" t="s">
        <v>131</v>
      </c>
      <c r="D254" s="2">
        <v>45784</v>
      </c>
      <c r="E254" t="s">
        <v>282</v>
      </c>
      <c r="F254" t="s">
        <v>282</v>
      </c>
      <c r="G254" t="s">
        <v>580</v>
      </c>
      <c r="H254" t="s">
        <v>5470</v>
      </c>
      <c r="I254" t="s">
        <v>69</v>
      </c>
      <c r="J254" t="s">
        <v>162</v>
      </c>
      <c r="K254">
        <v>4</v>
      </c>
      <c r="L254">
        <v>41</v>
      </c>
      <c r="M254">
        <v>35200</v>
      </c>
      <c r="N254">
        <v>0</v>
      </c>
      <c r="O254">
        <v>35200</v>
      </c>
      <c r="P254">
        <v>20500</v>
      </c>
      <c r="Q254">
        <v>14700</v>
      </c>
      <c r="R254">
        <v>41.76</v>
      </c>
      <c r="S254" t="s">
        <v>97</v>
      </c>
      <c r="T254">
        <v>4000</v>
      </c>
      <c r="U254">
        <v>4.7</v>
      </c>
      <c r="V254" t="s">
        <v>82</v>
      </c>
    </row>
    <row r="255" spans="1:22" x14ac:dyDescent="0.3">
      <c r="A255" t="s">
        <v>4666</v>
      </c>
      <c r="B255" t="s">
        <v>2173</v>
      </c>
      <c r="C255" t="s">
        <v>2174</v>
      </c>
      <c r="D255" s="2">
        <v>45784</v>
      </c>
      <c r="E255" t="s">
        <v>66</v>
      </c>
      <c r="F255" t="s">
        <v>66</v>
      </c>
      <c r="G255" t="s">
        <v>48</v>
      </c>
      <c r="H255" t="s">
        <v>229</v>
      </c>
      <c r="I255" t="s">
        <v>69</v>
      </c>
      <c r="J255" t="s">
        <v>30</v>
      </c>
      <c r="K255">
        <v>2</v>
      </c>
      <c r="L255">
        <v>50</v>
      </c>
      <c r="M255">
        <v>28300</v>
      </c>
      <c r="N255">
        <v>5700</v>
      </c>
      <c r="O255">
        <v>22600</v>
      </c>
      <c r="P255">
        <v>16800</v>
      </c>
      <c r="Q255">
        <v>5800</v>
      </c>
      <c r="R255">
        <v>25.66</v>
      </c>
      <c r="S255" t="s">
        <v>97</v>
      </c>
      <c r="T255">
        <v>4000</v>
      </c>
      <c r="U255">
        <v>4.2</v>
      </c>
      <c r="V255" t="s">
        <v>42</v>
      </c>
    </row>
    <row r="256" spans="1:22" x14ac:dyDescent="0.3">
      <c r="A256" t="s">
        <v>5465</v>
      </c>
      <c r="B256" t="s">
        <v>869</v>
      </c>
      <c r="C256" t="s">
        <v>870</v>
      </c>
      <c r="D256" s="2">
        <v>45784</v>
      </c>
      <c r="E256" t="s">
        <v>134</v>
      </c>
      <c r="F256" t="s">
        <v>134</v>
      </c>
      <c r="G256" t="s">
        <v>103</v>
      </c>
      <c r="H256" t="s">
        <v>68</v>
      </c>
      <c r="I256" t="s">
        <v>69</v>
      </c>
      <c r="J256" t="s">
        <v>30</v>
      </c>
      <c r="K256">
        <v>3</v>
      </c>
      <c r="L256">
        <v>39</v>
      </c>
      <c r="M256">
        <v>15000</v>
      </c>
      <c r="N256">
        <v>0</v>
      </c>
      <c r="O256">
        <v>15000</v>
      </c>
      <c r="P256">
        <v>6400</v>
      </c>
      <c r="Q256">
        <v>8600</v>
      </c>
      <c r="R256">
        <v>57.33</v>
      </c>
      <c r="S256" t="s">
        <v>58</v>
      </c>
      <c r="T256">
        <v>2500</v>
      </c>
      <c r="U256">
        <v>2.6</v>
      </c>
      <c r="V256" t="s">
        <v>58</v>
      </c>
    </row>
    <row r="257" spans="1:22" x14ac:dyDescent="0.3">
      <c r="A257" t="s">
        <v>2368</v>
      </c>
      <c r="B257" t="s">
        <v>1512</v>
      </c>
      <c r="C257" t="s">
        <v>1513</v>
      </c>
      <c r="D257" s="2">
        <v>45784</v>
      </c>
      <c r="E257" t="s">
        <v>161</v>
      </c>
      <c r="F257" t="s">
        <v>161</v>
      </c>
      <c r="G257" t="s">
        <v>580</v>
      </c>
      <c r="H257" t="s">
        <v>68</v>
      </c>
      <c r="I257" t="s">
        <v>69</v>
      </c>
      <c r="J257" t="s">
        <v>30</v>
      </c>
      <c r="K257">
        <v>2</v>
      </c>
      <c r="L257">
        <v>11</v>
      </c>
      <c r="M257">
        <v>28000</v>
      </c>
      <c r="N257">
        <v>0</v>
      </c>
      <c r="O257">
        <v>28000</v>
      </c>
      <c r="P257">
        <v>17200</v>
      </c>
      <c r="Q257">
        <v>10800</v>
      </c>
      <c r="R257">
        <v>38.57</v>
      </c>
      <c r="S257" t="s">
        <v>58</v>
      </c>
      <c r="T257">
        <v>4600</v>
      </c>
      <c r="U257">
        <v>3.8</v>
      </c>
      <c r="V257" t="s">
        <v>58</v>
      </c>
    </row>
    <row r="258" spans="1:22" x14ac:dyDescent="0.3">
      <c r="A258" t="s">
        <v>538</v>
      </c>
      <c r="B258" t="s">
        <v>539</v>
      </c>
      <c r="C258" t="s">
        <v>540</v>
      </c>
      <c r="D258" s="2">
        <v>45785</v>
      </c>
      <c r="E258" t="s">
        <v>188</v>
      </c>
      <c r="F258" t="s">
        <v>188</v>
      </c>
      <c r="G258" t="s">
        <v>118</v>
      </c>
      <c r="H258" t="s">
        <v>28</v>
      </c>
      <c r="I258" t="s">
        <v>69</v>
      </c>
      <c r="J258" t="s">
        <v>30</v>
      </c>
      <c r="K258">
        <v>6</v>
      </c>
      <c r="L258">
        <v>46</v>
      </c>
      <c r="M258">
        <v>40500</v>
      </c>
      <c r="N258">
        <v>2000</v>
      </c>
      <c r="O258">
        <v>38500</v>
      </c>
      <c r="P258">
        <v>17800</v>
      </c>
      <c r="Q258">
        <v>20700</v>
      </c>
      <c r="R258">
        <v>53.77</v>
      </c>
      <c r="S258" t="s">
        <v>97</v>
      </c>
      <c r="T258">
        <v>3400</v>
      </c>
      <c r="U258">
        <v>3.7</v>
      </c>
      <c r="V258" t="s">
        <v>82</v>
      </c>
    </row>
    <row r="259" spans="1:22" x14ac:dyDescent="0.3">
      <c r="A259" t="s">
        <v>1432</v>
      </c>
      <c r="B259" t="s">
        <v>624</v>
      </c>
      <c r="C259" t="s">
        <v>625</v>
      </c>
      <c r="D259" s="2">
        <v>45785</v>
      </c>
      <c r="E259" t="s">
        <v>188</v>
      </c>
      <c r="F259" t="s">
        <v>188</v>
      </c>
      <c r="G259" t="s">
        <v>580</v>
      </c>
      <c r="H259" t="s">
        <v>28</v>
      </c>
      <c r="I259" t="s">
        <v>29</v>
      </c>
      <c r="J259" t="s">
        <v>30</v>
      </c>
      <c r="K259">
        <v>7</v>
      </c>
      <c r="L259">
        <v>47</v>
      </c>
      <c r="M259">
        <v>22300</v>
      </c>
      <c r="N259">
        <v>2200</v>
      </c>
      <c r="O259">
        <v>20100</v>
      </c>
      <c r="P259">
        <v>14000</v>
      </c>
      <c r="Q259">
        <v>6100</v>
      </c>
      <c r="R259">
        <v>30.35</v>
      </c>
      <c r="S259" t="s">
        <v>126</v>
      </c>
      <c r="T259">
        <v>3600</v>
      </c>
      <c r="U259">
        <v>4.5</v>
      </c>
      <c r="V259" t="s">
        <v>114</v>
      </c>
    </row>
    <row r="260" spans="1:22" x14ac:dyDescent="0.3">
      <c r="A260" t="s">
        <v>4525</v>
      </c>
      <c r="B260" t="s">
        <v>756</v>
      </c>
      <c r="C260" t="s">
        <v>757</v>
      </c>
      <c r="D260" s="2">
        <v>45786</v>
      </c>
      <c r="E260" t="s">
        <v>244</v>
      </c>
      <c r="F260" t="s">
        <v>244</v>
      </c>
      <c r="G260" t="s">
        <v>147</v>
      </c>
      <c r="H260" t="s">
        <v>49</v>
      </c>
      <c r="I260" t="s">
        <v>69</v>
      </c>
      <c r="J260" t="s">
        <v>70</v>
      </c>
      <c r="K260">
        <v>9</v>
      </c>
      <c r="L260">
        <v>14</v>
      </c>
      <c r="M260">
        <v>62400</v>
      </c>
      <c r="N260">
        <v>12500</v>
      </c>
      <c r="O260">
        <v>49900</v>
      </c>
      <c r="P260">
        <v>43100</v>
      </c>
      <c r="Q260">
        <v>6800</v>
      </c>
      <c r="R260">
        <v>13.63</v>
      </c>
      <c r="S260" t="s">
        <v>97</v>
      </c>
      <c r="T260">
        <v>8700</v>
      </c>
      <c r="U260">
        <v>2.7</v>
      </c>
      <c r="V260" t="s">
        <v>114</v>
      </c>
    </row>
    <row r="261" spans="1:22" x14ac:dyDescent="0.3">
      <c r="A261" t="s">
        <v>4838</v>
      </c>
      <c r="B261" t="s">
        <v>2410</v>
      </c>
      <c r="C261" t="s">
        <v>2411</v>
      </c>
      <c r="D261" s="2">
        <v>45786</v>
      </c>
      <c r="E261" t="s">
        <v>134</v>
      </c>
      <c r="F261" t="s">
        <v>134</v>
      </c>
      <c r="G261" t="s">
        <v>213</v>
      </c>
      <c r="H261" t="s">
        <v>268</v>
      </c>
      <c r="I261" t="s">
        <v>69</v>
      </c>
      <c r="J261" t="s">
        <v>30</v>
      </c>
      <c r="K261">
        <v>10</v>
      </c>
      <c r="L261">
        <v>31</v>
      </c>
      <c r="M261">
        <v>52800</v>
      </c>
      <c r="N261">
        <v>5300</v>
      </c>
      <c r="O261">
        <v>47500</v>
      </c>
      <c r="P261">
        <v>40200</v>
      </c>
      <c r="Q261">
        <v>7300</v>
      </c>
      <c r="R261">
        <v>15.37</v>
      </c>
      <c r="S261" t="s">
        <v>126</v>
      </c>
      <c r="T261">
        <v>7500</v>
      </c>
      <c r="U261">
        <v>3.7</v>
      </c>
      <c r="V261" t="s">
        <v>82</v>
      </c>
    </row>
    <row r="262" spans="1:22" x14ac:dyDescent="0.3">
      <c r="A262" t="s">
        <v>3258</v>
      </c>
      <c r="B262" t="s">
        <v>130</v>
      </c>
      <c r="C262" t="s">
        <v>131</v>
      </c>
      <c r="D262" s="2">
        <v>45786</v>
      </c>
      <c r="E262" t="s">
        <v>66</v>
      </c>
      <c r="F262" t="s">
        <v>66</v>
      </c>
      <c r="G262" t="s">
        <v>147</v>
      </c>
      <c r="H262" t="s">
        <v>68</v>
      </c>
      <c r="I262" t="s">
        <v>69</v>
      </c>
      <c r="J262" t="s">
        <v>30</v>
      </c>
      <c r="K262">
        <v>4</v>
      </c>
      <c r="L262">
        <v>55</v>
      </c>
      <c r="M262">
        <v>25300</v>
      </c>
      <c r="N262">
        <v>5100</v>
      </c>
      <c r="O262">
        <v>20200</v>
      </c>
      <c r="P262">
        <v>13400</v>
      </c>
      <c r="Q262">
        <v>6800</v>
      </c>
      <c r="R262">
        <v>33.659999999999997</v>
      </c>
      <c r="S262" t="s">
        <v>97</v>
      </c>
      <c r="T262">
        <v>1400</v>
      </c>
      <c r="U262">
        <v>4</v>
      </c>
      <c r="V262" t="s">
        <v>79</v>
      </c>
    </row>
    <row r="263" spans="1:22" x14ac:dyDescent="0.3">
      <c r="A263" t="s">
        <v>4617</v>
      </c>
      <c r="B263" t="s">
        <v>1226</v>
      </c>
      <c r="C263" t="s">
        <v>1227</v>
      </c>
      <c r="D263" s="2">
        <v>45787</v>
      </c>
      <c r="E263" t="s">
        <v>282</v>
      </c>
      <c r="F263" t="s">
        <v>282</v>
      </c>
      <c r="G263" t="s">
        <v>48</v>
      </c>
      <c r="H263" t="s">
        <v>214</v>
      </c>
      <c r="I263" t="s">
        <v>29</v>
      </c>
      <c r="J263" t="s">
        <v>162</v>
      </c>
      <c r="K263">
        <v>7</v>
      </c>
      <c r="L263">
        <v>31</v>
      </c>
      <c r="M263">
        <v>25500</v>
      </c>
      <c r="N263">
        <v>5100</v>
      </c>
      <c r="O263">
        <v>20400</v>
      </c>
      <c r="P263">
        <v>20200</v>
      </c>
      <c r="Q263">
        <v>200</v>
      </c>
      <c r="R263">
        <v>0.98</v>
      </c>
      <c r="S263" t="s">
        <v>97</v>
      </c>
      <c r="T263">
        <v>2200</v>
      </c>
      <c r="U263">
        <v>4.0999999999999996</v>
      </c>
      <c r="V263" t="s">
        <v>42</v>
      </c>
    </row>
    <row r="264" spans="1:22" x14ac:dyDescent="0.3">
      <c r="A264" t="s">
        <v>2868</v>
      </c>
      <c r="B264" t="s">
        <v>1754</v>
      </c>
      <c r="C264" t="s">
        <v>1755</v>
      </c>
      <c r="D264" s="2">
        <v>45787</v>
      </c>
      <c r="E264" t="s">
        <v>282</v>
      </c>
      <c r="F264" t="s">
        <v>282</v>
      </c>
      <c r="G264" t="s">
        <v>147</v>
      </c>
      <c r="H264" t="s">
        <v>88</v>
      </c>
      <c r="I264" t="s">
        <v>69</v>
      </c>
      <c r="J264" t="s">
        <v>30</v>
      </c>
      <c r="K264">
        <v>4</v>
      </c>
      <c r="L264">
        <v>57</v>
      </c>
      <c r="M264">
        <v>31400</v>
      </c>
      <c r="N264">
        <v>1600</v>
      </c>
      <c r="O264">
        <v>29800</v>
      </c>
      <c r="P264">
        <v>18900</v>
      </c>
      <c r="Q264">
        <v>10900</v>
      </c>
      <c r="R264">
        <v>36.58</v>
      </c>
      <c r="S264" t="s">
        <v>97</v>
      </c>
      <c r="T264">
        <v>4600</v>
      </c>
      <c r="U264">
        <v>3.8</v>
      </c>
      <c r="V264" t="s">
        <v>82</v>
      </c>
    </row>
    <row r="265" spans="1:22" x14ac:dyDescent="0.3">
      <c r="A265" t="s">
        <v>3857</v>
      </c>
      <c r="B265" t="s">
        <v>3300</v>
      </c>
      <c r="C265" t="s">
        <v>3301</v>
      </c>
      <c r="D265" s="2">
        <v>45787</v>
      </c>
      <c r="E265" t="s">
        <v>161</v>
      </c>
      <c r="F265" t="s">
        <v>161</v>
      </c>
      <c r="G265" t="s">
        <v>103</v>
      </c>
      <c r="H265" t="s">
        <v>5470</v>
      </c>
      <c r="I265" t="s">
        <v>69</v>
      </c>
      <c r="J265" t="s">
        <v>257</v>
      </c>
      <c r="K265">
        <v>10</v>
      </c>
      <c r="L265">
        <v>35</v>
      </c>
      <c r="M265">
        <v>16400</v>
      </c>
      <c r="N265">
        <v>2500</v>
      </c>
      <c r="O265">
        <v>13900</v>
      </c>
      <c r="P265">
        <v>10600</v>
      </c>
      <c r="Q265">
        <v>3300</v>
      </c>
      <c r="R265">
        <v>23.74</v>
      </c>
      <c r="S265" t="s">
        <v>182</v>
      </c>
      <c r="T265">
        <v>2000</v>
      </c>
      <c r="U265">
        <v>3.9</v>
      </c>
      <c r="V265" t="s">
        <v>58</v>
      </c>
    </row>
    <row r="266" spans="1:22" x14ac:dyDescent="0.3">
      <c r="A266" t="s">
        <v>2016</v>
      </c>
      <c r="B266" t="s">
        <v>2017</v>
      </c>
      <c r="C266" t="s">
        <v>2018</v>
      </c>
      <c r="D266" s="2">
        <v>45787</v>
      </c>
      <c r="E266" t="s">
        <v>66</v>
      </c>
      <c r="F266" t="s">
        <v>66</v>
      </c>
      <c r="G266" t="s">
        <v>118</v>
      </c>
      <c r="H266" t="s">
        <v>49</v>
      </c>
      <c r="I266" t="s">
        <v>69</v>
      </c>
      <c r="J266" t="s">
        <v>30</v>
      </c>
      <c r="K266">
        <v>4</v>
      </c>
      <c r="L266">
        <v>45</v>
      </c>
      <c r="M266">
        <v>23000</v>
      </c>
      <c r="N266">
        <v>3400</v>
      </c>
      <c r="O266">
        <v>19600</v>
      </c>
      <c r="P266">
        <v>12900</v>
      </c>
      <c r="Q266">
        <v>6700</v>
      </c>
      <c r="R266">
        <v>34.18</v>
      </c>
      <c r="S266" t="s">
        <v>97</v>
      </c>
      <c r="T266">
        <v>2300</v>
      </c>
      <c r="U266">
        <v>4.4000000000000004</v>
      </c>
      <c r="V266" t="s">
        <v>79</v>
      </c>
    </row>
    <row r="267" spans="1:22" x14ac:dyDescent="0.3">
      <c r="A267" t="s">
        <v>961</v>
      </c>
      <c r="B267" t="s">
        <v>962</v>
      </c>
      <c r="C267" t="s">
        <v>963</v>
      </c>
      <c r="D267" s="2">
        <v>45787</v>
      </c>
      <c r="E267" t="s">
        <v>282</v>
      </c>
      <c r="F267" t="s">
        <v>282</v>
      </c>
      <c r="G267" t="s">
        <v>27</v>
      </c>
      <c r="H267" t="s">
        <v>214</v>
      </c>
      <c r="I267" t="s">
        <v>29</v>
      </c>
      <c r="J267" t="s">
        <v>257</v>
      </c>
      <c r="K267">
        <v>10</v>
      </c>
      <c r="L267">
        <v>38</v>
      </c>
      <c r="M267">
        <v>68900</v>
      </c>
      <c r="N267">
        <v>6900</v>
      </c>
      <c r="O267">
        <v>62000</v>
      </c>
      <c r="P267">
        <v>35400</v>
      </c>
      <c r="Q267">
        <v>26600</v>
      </c>
      <c r="R267">
        <v>42.9</v>
      </c>
      <c r="S267" t="s">
        <v>39</v>
      </c>
      <c r="T267">
        <v>5700</v>
      </c>
      <c r="U267">
        <v>4.0999999999999996</v>
      </c>
      <c r="V267" t="s">
        <v>58</v>
      </c>
    </row>
    <row r="268" spans="1:22" x14ac:dyDescent="0.3">
      <c r="A268" t="s">
        <v>3743</v>
      </c>
      <c r="B268" t="s">
        <v>444</v>
      </c>
      <c r="C268" t="s">
        <v>445</v>
      </c>
      <c r="D268" s="2">
        <v>45788</v>
      </c>
      <c r="E268" t="s">
        <v>188</v>
      </c>
      <c r="F268" t="s">
        <v>188</v>
      </c>
      <c r="G268" t="s">
        <v>118</v>
      </c>
      <c r="H268" t="s">
        <v>28</v>
      </c>
      <c r="I268" t="s">
        <v>29</v>
      </c>
      <c r="J268" t="s">
        <v>162</v>
      </c>
      <c r="K268">
        <v>9</v>
      </c>
      <c r="L268">
        <v>34</v>
      </c>
      <c r="M268">
        <v>31200</v>
      </c>
      <c r="N268">
        <v>0</v>
      </c>
      <c r="O268">
        <v>31200</v>
      </c>
      <c r="P268">
        <v>15300</v>
      </c>
      <c r="Q268">
        <v>15900</v>
      </c>
      <c r="R268">
        <v>50.96</v>
      </c>
      <c r="S268" t="s">
        <v>126</v>
      </c>
      <c r="T268">
        <v>2700</v>
      </c>
      <c r="U268">
        <v>5</v>
      </c>
      <c r="V268" t="s">
        <v>82</v>
      </c>
    </row>
    <row r="269" spans="1:22" x14ac:dyDescent="0.3">
      <c r="A269" t="s">
        <v>3983</v>
      </c>
      <c r="B269" t="s">
        <v>2547</v>
      </c>
      <c r="C269" t="s">
        <v>2548</v>
      </c>
      <c r="D269" s="2">
        <v>45788</v>
      </c>
      <c r="E269" t="s">
        <v>26</v>
      </c>
      <c r="F269" t="s">
        <v>26</v>
      </c>
      <c r="G269" t="s">
        <v>147</v>
      </c>
      <c r="H269" t="s">
        <v>268</v>
      </c>
      <c r="I269" t="s">
        <v>69</v>
      </c>
      <c r="J269" t="s">
        <v>162</v>
      </c>
      <c r="K269">
        <v>2</v>
      </c>
      <c r="L269">
        <v>25</v>
      </c>
      <c r="M269">
        <v>19100</v>
      </c>
      <c r="N269">
        <v>3800</v>
      </c>
      <c r="O269">
        <v>15300</v>
      </c>
      <c r="P269">
        <v>15100</v>
      </c>
      <c r="Q269">
        <v>200</v>
      </c>
      <c r="R269">
        <v>1.31</v>
      </c>
      <c r="S269" t="s">
        <v>182</v>
      </c>
      <c r="T269">
        <v>2600</v>
      </c>
      <c r="U269">
        <v>4.5</v>
      </c>
      <c r="V269" t="s">
        <v>79</v>
      </c>
    </row>
    <row r="270" spans="1:22" x14ac:dyDescent="0.3">
      <c r="A270" t="s">
        <v>462</v>
      </c>
      <c r="B270" t="s">
        <v>463</v>
      </c>
      <c r="C270" t="s">
        <v>464</v>
      </c>
      <c r="D270" s="2">
        <v>45788</v>
      </c>
      <c r="E270" t="s">
        <v>228</v>
      </c>
      <c r="F270" t="s">
        <v>228</v>
      </c>
      <c r="G270" t="s">
        <v>118</v>
      </c>
      <c r="H270" t="s">
        <v>49</v>
      </c>
      <c r="I270" t="s">
        <v>69</v>
      </c>
      <c r="J270" t="s">
        <v>30</v>
      </c>
      <c r="K270">
        <v>2</v>
      </c>
      <c r="L270">
        <v>44</v>
      </c>
      <c r="M270">
        <v>51600</v>
      </c>
      <c r="N270">
        <v>10300</v>
      </c>
      <c r="O270">
        <v>41300</v>
      </c>
      <c r="P270">
        <v>38100</v>
      </c>
      <c r="Q270">
        <v>3200</v>
      </c>
      <c r="R270">
        <v>7.75</v>
      </c>
      <c r="S270" t="s">
        <v>97</v>
      </c>
      <c r="T270">
        <v>5400</v>
      </c>
      <c r="U270">
        <v>4.5999999999999996</v>
      </c>
      <c r="V270" t="s">
        <v>114</v>
      </c>
    </row>
    <row r="271" spans="1:22" x14ac:dyDescent="0.3">
      <c r="A271" t="s">
        <v>5021</v>
      </c>
      <c r="B271" t="s">
        <v>3056</v>
      </c>
      <c r="C271" t="s">
        <v>3057</v>
      </c>
      <c r="D271" s="2">
        <v>45789</v>
      </c>
      <c r="E271" t="s">
        <v>26</v>
      </c>
      <c r="F271" t="s">
        <v>26</v>
      </c>
      <c r="G271" t="s">
        <v>48</v>
      </c>
      <c r="H271" t="s">
        <v>229</v>
      </c>
      <c r="I271" t="s">
        <v>69</v>
      </c>
      <c r="J271" t="s">
        <v>70</v>
      </c>
      <c r="K271">
        <v>7</v>
      </c>
      <c r="L271">
        <v>37</v>
      </c>
      <c r="M271">
        <v>66200</v>
      </c>
      <c r="N271">
        <v>0</v>
      </c>
      <c r="O271">
        <v>66200</v>
      </c>
      <c r="P271">
        <v>28700</v>
      </c>
      <c r="Q271">
        <v>37500</v>
      </c>
      <c r="R271">
        <v>56.65</v>
      </c>
      <c r="S271" t="s">
        <v>126</v>
      </c>
      <c r="T271">
        <v>8600</v>
      </c>
      <c r="U271">
        <v>4.5</v>
      </c>
      <c r="V271" t="s">
        <v>79</v>
      </c>
    </row>
    <row r="272" spans="1:22" x14ac:dyDescent="0.3">
      <c r="A272" t="s">
        <v>2557</v>
      </c>
      <c r="B272" t="s">
        <v>1046</v>
      </c>
      <c r="C272" t="s">
        <v>1047</v>
      </c>
      <c r="D272" s="2">
        <v>45789</v>
      </c>
      <c r="E272" t="s">
        <v>228</v>
      </c>
      <c r="F272" t="s">
        <v>228</v>
      </c>
      <c r="G272" t="s">
        <v>48</v>
      </c>
      <c r="H272" t="s">
        <v>28</v>
      </c>
      <c r="I272" t="s">
        <v>69</v>
      </c>
      <c r="J272" t="s">
        <v>30</v>
      </c>
      <c r="K272">
        <v>3</v>
      </c>
      <c r="L272">
        <v>41</v>
      </c>
      <c r="M272">
        <v>50700</v>
      </c>
      <c r="N272">
        <v>7600</v>
      </c>
      <c r="O272">
        <v>43100</v>
      </c>
      <c r="P272">
        <v>37100</v>
      </c>
      <c r="Q272">
        <v>6000</v>
      </c>
      <c r="R272">
        <v>13.92</v>
      </c>
      <c r="S272" t="s">
        <v>182</v>
      </c>
      <c r="T272">
        <v>4100</v>
      </c>
      <c r="U272">
        <v>3.8</v>
      </c>
      <c r="V272" t="s">
        <v>114</v>
      </c>
    </row>
    <row r="273" spans="1:22" x14ac:dyDescent="0.3">
      <c r="A273" t="s">
        <v>1117</v>
      </c>
      <c r="B273" t="s">
        <v>1118</v>
      </c>
      <c r="C273" t="s">
        <v>1119</v>
      </c>
      <c r="D273" s="2">
        <v>45791</v>
      </c>
      <c r="E273" t="s">
        <v>66</v>
      </c>
      <c r="F273" t="s">
        <v>66</v>
      </c>
      <c r="G273" t="s">
        <v>27</v>
      </c>
      <c r="H273" t="s">
        <v>88</v>
      </c>
      <c r="I273" t="s">
        <v>29</v>
      </c>
      <c r="J273" t="s">
        <v>30</v>
      </c>
      <c r="K273">
        <v>10</v>
      </c>
      <c r="L273">
        <v>46</v>
      </c>
      <c r="M273">
        <v>105900</v>
      </c>
      <c r="N273">
        <v>0</v>
      </c>
      <c r="O273">
        <v>105900</v>
      </c>
      <c r="P273">
        <v>86700</v>
      </c>
      <c r="Q273">
        <v>19200</v>
      </c>
      <c r="R273">
        <v>18.13</v>
      </c>
      <c r="S273" t="s">
        <v>79</v>
      </c>
      <c r="T273">
        <v>8900</v>
      </c>
      <c r="U273">
        <v>4.5999999999999996</v>
      </c>
      <c r="V273" t="s">
        <v>42</v>
      </c>
    </row>
    <row r="274" spans="1:22" x14ac:dyDescent="0.3">
      <c r="A274" t="s">
        <v>1045</v>
      </c>
      <c r="B274" t="s">
        <v>1046</v>
      </c>
      <c r="C274" t="s">
        <v>1047</v>
      </c>
      <c r="D274" s="2">
        <v>45792</v>
      </c>
      <c r="E274" t="s">
        <v>188</v>
      </c>
      <c r="F274" t="s">
        <v>188</v>
      </c>
      <c r="G274" t="s">
        <v>48</v>
      </c>
      <c r="H274" t="s">
        <v>68</v>
      </c>
      <c r="I274" t="s">
        <v>69</v>
      </c>
      <c r="J274" t="s">
        <v>162</v>
      </c>
      <c r="K274">
        <v>3</v>
      </c>
      <c r="L274">
        <v>23</v>
      </c>
      <c r="M274">
        <v>122500</v>
      </c>
      <c r="N274">
        <v>24500</v>
      </c>
      <c r="O274">
        <v>98000</v>
      </c>
      <c r="P274">
        <v>89100</v>
      </c>
      <c r="Q274">
        <v>8900</v>
      </c>
      <c r="R274">
        <v>9.08</v>
      </c>
      <c r="S274" t="s">
        <v>79</v>
      </c>
      <c r="T274">
        <v>11900</v>
      </c>
      <c r="U274">
        <v>4.3</v>
      </c>
      <c r="V274" t="s">
        <v>114</v>
      </c>
    </row>
    <row r="275" spans="1:22" x14ac:dyDescent="0.3">
      <c r="A275" t="s">
        <v>4259</v>
      </c>
      <c r="B275" t="s">
        <v>1546</v>
      </c>
      <c r="C275" t="s">
        <v>1547</v>
      </c>
      <c r="D275" s="2">
        <v>45792</v>
      </c>
      <c r="E275" t="s">
        <v>161</v>
      </c>
      <c r="F275" t="s">
        <v>161</v>
      </c>
      <c r="G275" t="s">
        <v>147</v>
      </c>
      <c r="H275" t="s">
        <v>268</v>
      </c>
      <c r="I275" t="s">
        <v>29</v>
      </c>
      <c r="J275" t="s">
        <v>70</v>
      </c>
      <c r="K275">
        <v>7</v>
      </c>
      <c r="L275">
        <v>65</v>
      </c>
      <c r="M275">
        <v>82200</v>
      </c>
      <c r="N275">
        <v>0</v>
      </c>
      <c r="O275">
        <v>82200</v>
      </c>
      <c r="P275">
        <v>62000</v>
      </c>
      <c r="Q275">
        <v>20200</v>
      </c>
      <c r="R275">
        <v>24.57</v>
      </c>
      <c r="S275" t="s">
        <v>58</v>
      </c>
      <c r="T275">
        <v>13400</v>
      </c>
      <c r="U275">
        <v>5</v>
      </c>
      <c r="V275" t="s">
        <v>114</v>
      </c>
    </row>
    <row r="276" spans="1:22" x14ac:dyDescent="0.3">
      <c r="A276" t="s">
        <v>2376</v>
      </c>
      <c r="B276" t="s">
        <v>787</v>
      </c>
      <c r="C276" t="s">
        <v>788</v>
      </c>
      <c r="D276" s="2">
        <v>45793</v>
      </c>
      <c r="E276" t="s">
        <v>244</v>
      </c>
      <c r="F276" t="s">
        <v>244</v>
      </c>
      <c r="G276" t="s">
        <v>103</v>
      </c>
      <c r="H276" t="s">
        <v>268</v>
      </c>
      <c r="I276" t="s">
        <v>69</v>
      </c>
      <c r="J276" t="s">
        <v>30</v>
      </c>
      <c r="K276">
        <v>4</v>
      </c>
      <c r="L276">
        <v>34</v>
      </c>
      <c r="M276">
        <v>87100</v>
      </c>
      <c r="N276">
        <v>13100</v>
      </c>
      <c r="O276">
        <v>74000</v>
      </c>
      <c r="P276">
        <v>47100</v>
      </c>
      <c r="Q276">
        <v>26900</v>
      </c>
      <c r="R276">
        <v>36.35</v>
      </c>
      <c r="S276" t="s">
        <v>182</v>
      </c>
      <c r="T276">
        <v>5000</v>
      </c>
      <c r="U276">
        <v>4</v>
      </c>
      <c r="V276" t="s">
        <v>82</v>
      </c>
    </row>
    <row r="277" spans="1:22" x14ac:dyDescent="0.3">
      <c r="A277" t="s">
        <v>2040</v>
      </c>
      <c r="B277" t="s">
        <v>845</v>
      </c>
      <c r="C277" t="s">
        <v>846</v>
      </c>
      <c r="D277" s="2">
        <v>45793</v>
      </c>
      <c r="E277" t="s">
        <v>134</v>
      </c>
      <c r="F277" t="s">
        <v>134</v>
      </c>
      <c r="G277" t="s">
        <v>27</v>
      </c>
      <c r="H277" t="s">
        <v>229</v>
      </c>
      <c r="I277" t="s">
        <v>69</v>
      </c>
      <c r="J277" t="s">
        <v>30</v>
      </c>
      <c r="K277">
        <v>6</v>
      </c>
      <c r="L277">
        <v>71</v>
      </c>
      <c r="M277">
        <v>108800</v>
      </c>
      <c r="N277">
        <v>10900</v>
      </c>
      <c r="O277">
        <v>97900</v>
      </c>
      <c r="P277">
        <v>80700</v>
      </c>
      <c r="Q277">
        <v>17200</v>
      </c>
      <c r="R277">
        <v>17.57</v>
      </c>
      <c r="S277" t="s">
        <v>126</v>
      </c>
      <c r="T277">
        <v>15200</v>
      </c>
      <c r="U277">
        <v>4.7</v>
      </c>
      <c r="V277" t="s">
        <v>42</v>
      </c>
    </row>
    <row r="278" spans="1:22" x14ac:dyDescent="0.3">
      <c r="A278" t="s">
        <v>4340</v>
      </c>
      <c r="B278" t="s">
        <v>1298</v>
      </c>
      <c r="C278" t="s">
        <v>1299</v>
      </c>
      <c r="D278" s="2">
        <v>45794</v>
      </c>
      <c r="E278" t="s">
        <v>66</v>
      </c>
      <c r="F278" t="s">
        <v>66</v>
      </c>
      <c r="G278" t="s">
        <v>147</v>
      </c>
      <c r="H278" t="s">
        <v>68</v>
      </c>
      <c r="I278" t="s">
        <v>29</v>
      </c>
      <c r="J278" t="s">
        <v>30</v>
      </c>
      <c r="K278">
        <v>8</v>
      </c>
      <c r="L278">
        <v>39</v>
      </c>
      <c r="M278">
        <v>34100</v>
      </c>
      <c r="N278">
        <v>1700</v>
      </c>
      <c r="O278">
        <v>32400</v>
      </c>
      <c r="P278">
        <v>22800</v>
      </c>
      <c r="Q278">
        <v>9600</v>
      </c>
      <c r="R278">
        <v>29.63</v>
      </c>
      <c r="S278" t="s">
        <v>97</v>
      </c>
      <c r="T278">
        <v>5700</v>
      </c>
      <c r="U278">
        <v>5</v>
      </c>
      <c r="V278" t="s">
        <v>114</v>
      </c>
    </row>
    <row r="279" spans="1:22" x14ac:dyDescent="0.3">
      <c r="A279" t="s">
        <v>5303</v>
      </c>
      <c r="B279" t="s">
        <v>1468</v>
      </c>
      <c r="C279" t="s">
        <v>1469</v>
      </c>
      <c r="D279" s="2">
        <v>45794</v>
      </c>
      <c r="E279" t="s">
        <v>188</v>
      </c>
      <c r="F279" t="s">
        <v>188</v>
      </c>
      <c r="G279" t="s">
        <v>27</v>
      </c>
      <c r="H279" t="s">
        <v>229</v>
      </c>
      <c r="I279" t="s">
        <v>69</v>
      </c>
      <c r="J279" t="s">
        <v>30</v>
      </c>
      <c r="K279">
        <v>8</v>
      </c>
      <c r="L279">
        <v>11</v>
      </c>
      <c r="M279">
        <v>53400</v>
      </c>
      <c r="N279">
        <v>10700</v>
      </c>
      <c r="O279">
        <v>42700</v>
      </c>
      <c r="P279">
        <v>37400</v>
      </c>
      <c r="Q279">
        <v>5300</v>
      </c>
      <c r="R279">
        <v>12.41</v>
      </c>
      <c r="S279" t="s">
        <v>79</v>
      </c>
      <c r="T279">
        <v>7600</v>
      </c>
      <c r="U279">
        <v>3.6</v>
      </c>
      <c r="V279" t="s">
        <v>79</v>
      </c>
    </row>
    <row r="280" spans="1:22" x14ac:dyDescent="0.3">
      <c r="A280" t="s">
        <v>4192</v>
      </c>
      <c r="B280" t="s">
        <v>2288</v>
      </c>
      <c r="C280" t="s">
        <v>2289</v>
      </c>
      <c r="D280" s="2">
        <v>45795</v>
      </c>
      <c r="E280" t="s">
        <v>228</v>
      </c>
      <c r="F280" t="s">
        <v>228</v>
      </c>
      <c r="G280" t="s">
        <v>580</v>
      </c>
      <c r="H280" t="s">
        <v>49</v>
      </c>
      <c r="I280" t="s">
        <v>69</v>
      </c>
      <c r="J280" t="s">
        <v>30</v>
      </c>
      <c r="K280">
        <v>5</v>
      </c>
      <c r="L280">
        <v>58</v>
      </c>
      <c r="M280">
        <v>44000</v>
      </c>
      <c r="N280">
        <v>4400</v>
      </c>
      <c r="O280">
        <v>39600</v>
      </c>
      <c r="P280">
        <v>26500</v>
      </c>
      <c r="Q280">
        <v>13100</v>
      </c>
      <c r="R280">
        <v>33.08</v>
      </c>
      <c r="S280" t="s">
        <v>79</v>
      </c>
      <c r="T280">
        <v>5600</v>
      </c>
      <c r="U280">
        <v>4.7</v>
      </c>
      <c r="V280" t="s">
        <v>114</v>
      </c>
    </row>
    <row r="281" spans="1:22" x14ac:dyDescent="0.3">
      <c r="A281" t="s">
        <v>2934</v>
      </c>
      <c r="B281" t="s">
        <v>801</v>
      </c>
      <c r="C281" t="s">
        <v>802</v>
      </c>
      <c r="D281" s="2">
        <v>45795</v>
      </c>
      <c r="E281" t="s">
        <v>188</v>
      </c>
      <c r="F281" t="s">
        <v>188</v>
      </c>
      <c r="G281" t="s">
        <v>580</v>
      </c>
      <c r="H281" t="s">
        <v>268</v>
      </c>
      <c r="I281" t="s">
        <v>69</v>
      </c>
      <c r="J281" t="s">
        <v>162</v>
      </c>
      <c r="K281">
        <v>6</v>
      </c>
      <c r="L281">
        <v>39</v>
      </c>
      <c r="M281">
        <v>20200</v>
      </c>
      <c r="N281">
        <v>3000</v>
      </c>
      <c r="O281">
        <v>17200</v>
      </c>
      <c r="P281">
        <v>14400</v>
      </c>
      <c r="Q281">
        <v>2800</v>
      </c>
      <c r="R281">
        <v>16.28</v>
      </c>
      <c r="S281" t="s">
        <v>182</v>
      </c>
      <c r="T281">
        <v>2700</v>
      </c>
      <c r="U281">
        <v>3.8</v>
      </c>
      <c r="V281" t="s">
        <v>79</v>
      </c>
    </row>
    <row r="282" spans="1:22" x14ac:dyDescent="0.3">
      <c r="A282" t="s">
        <v>3147</v>
      </c>
      <c r="B282" t="s">
        <v>3148</v>
      </c>
      <c r="C282" t="s">
        <v>3149</v>
      </c>
      <c r="D282" s="2">
        <v>45795</v>
      </c>
      <c r="E282" t="s">
        <v>66</v>
      </c>
      <c r="F282" t="s">
        <v>66</v>
      </c>
      <c r="G282" t="s">
        <v>118</v>
      </c>
      <c r="H282" t="s">
        <v>28</v>
      </c>
      <c r="I282" t="s">
        <v>69</v>
      </c>
      <c r="J282" t="s">
        <v>70</v>
      </c>
      <c r="K282">
        <v>3</v>
      </c>
      <c r="L282">
        <v>5</v>
      </c>
      <c r="M282">
        <v>51500</v>
      </c>
      <c r="N282">
        <v>0</v>
      </c>
      <c r="O282">
        <v>51500</v>
      </c>
      <c r="P282">
        <v>31800</v>
      </c>
      <c r="Q282">
        <v>19700</v>
      </c>
      <c r="R282">
        <v>38.25</v>
      </c>
      <c r="S282" t="s">
        <v>182</v>
      </c>
      <c r="T282">
        <v>3000</v>
      </c>
      <c r="U282">
        <v>4.5999999999999996</v>
      </c>
      <c r="V282" t="s">
        <v>114</v>
      </c>
    </row>
    <row r="283" spans="1:22" x14ac:dyDescent="0.3">
      <c r="A283" t="s">
        <v>3031</v>
      </c>
      <c r="B283" t="s">
        <v>1797</v>
      </c>
      <c r="C283" t="s">
        <v>1798</v>
      </c>
      <c r="D283" s="2">
        <v>45796</v>
      </c>
      <c r="E283" t="s">
        <v>228</v>
      </c>
      <c r="F283" t="s">
        <v>228</v>
      </c>
      <c r="G283" t="s">
        <v>48</v>
      </c>
      <c r="H283" t="s">
        <v>49</v>
      </c>
      <c r="I283" t="s">
        <v>69</v>
      </c>
      <c r="J283" t="s">
        <v>30</v>
      </c>
      <c r="K283">
        <v>9</v>
      </c>
      <c r="L283">
        <v>29</v>
      </c>
      <c r="M283">
        <v>80800</v>
      </c>
      <c r="N283">
        <v>12100</v>
      </c>
      <c r="O283">
        <v>68700</v>
      </c>
      <c r="P283">
        <v>45400</v>
      </c>
      <c r="Q283">
        <v>23300</v>
      </c>
      <c r="R283">
        <v>33.92</v>
      </c>
      <c r="S283" t="s">
        <v>182</v>
      </c>
      <c r="T283">
        <v>3300</v>
      </c>
      <c r="U283">
        <v>4.5</v>
      </c>
      <c r="V283" t="s">
        <v>58</v>
      </c>
    </row>
    <row r="284" spans="1:22" x14ac:dyDescent="0.3">
      <c r="A284" t="s">
        <v>1718</v>
      </c>
      <c r="B284" t="s">
        <v>1195</v>
      </c>
      <c r="C284" t="s">
        <v>1196</v>
      </c>
      <c r="D284" s="2">
        <v>45796</v>
      </c>
      <c r="E284" t="s">
        <v>161</v>
      </c>
      <c r="F284" t="s">
        <v>161</v>
      </c>
      <c r="G284" t="s">
        <v>580</v>
      </c>
      <c r="H284" t="s">
        <v>28</v>
      </c>
      <c r="I284" t="s">
        <v>29</v>
      </c>
      <c r="J284" t="s">
        <v>30</v>
      </c>
      <c r="K284">
        <v>8</v>
      </c>
      <c r="L284">
        <v>48</v>
      </c>
      <c r="M284">
        <v>65200</v>
      </c>
      <c r="N284">
        <v>3300</v>
      </c>
      <c r="O284">
        <v>61900</v>
      </c>
      <c r="P284">
        <v>48200</v>
      </c>
      <c r="Q284">
        <v>13700</v>
      </c>
      <c r="R284">
        <v>22.13</v>
      </c>
      <c r="S284" t="s">
        <v>58</v>
      </c>
      <c r="T284">
        <v>10000</v>
      </c>
      <c r="U284">
        <v>3.1</v>
      </c>
      <c r="V284" t="s">
        <v>42</v>
      </c>
    </row>
    <row r="285" spans="1:22" x14ac:dyDescent="0.3">
      <c r="A285" t="s">
        <v>4931</v>
      </c>
      <c r="B285" t="s">
        <v>2080</v>
      </c>
      <c r="C285" t="s">
        <v>2081</v>
      </c>
      <c r="D285" s="2">
        <v>45796</v>
      </c>
      <c r="E285" t="s">
        <v>188</v>
      </c>
      <c r="F285" t="s">
        <v>188</v>
      </c>
      <c r="G285" t="s">
        <v>147</v>
      </c>
      <c r="H285" t="s">
        <v>229</v>
      </c>
      <c r="I285" t="s">
        <v>69</v>
      </c>
      <c r="J285" t="s">
        <v>30</v>
      </c>
      <c r="K285">
        <v>4</v>
      </c>
      <c r="L285">
        <v>35</v>
      </c>
      <c r="M285">
        <v>56500</v>
      </c>
      <c r="N285">
        <v>0</v>
      </c>
      <c r="O285">
        <v>56500</v>
      </c>
      <c r="P285">
        <v>28200</v>
      </c>
      <c r="Q285">
        <v>28300</v>
      </c>
      <c r="R285">
        <v>50.09</v>
      </c>
      <c r="S285" t="s">
        <v>58</v>
      </c>
      <c r="T285">
        <v>3800</v>
      </c>
      <c r="U285">
        <v>4.9000000000000004</v>
      </c>
      <c r="V285" t="s">
        <v>114</v>
      </c>
    </row>
    <row r="286" spans="1:22" x14ac:dyDescent="0.3">
      <c r="A286" t="s">
        <v>1081</v>
      </c>
      <c r="B286" t="s">
        <v>1082</v>
      </c>
      <c r="C286" t="s">
        <v>1083</v>
      </c>
      <c r="D286" s="2">
        <v>45796</v>
      </c>
      <c r="E286" t="s">
        <v>134</v>
      </c>
      <c r="F286" t="s">
        <v>134</v>
      </c>
      <c r="G286" t="s">
        <v>213</v>
      </c>
      <c r="H286" t="s">
        <v>28</v>
      </c>
      <c r="I286" t="s">
        <v>69</v>
      </c>
      <c r="J286" t="s">
        <v>30</v>
      </c>
      <c r="K286">
        <v>8</v>
      </c>
      <c r="L286">
        <v>48</v>
      </c>
      <c r="M286">
        <v>37200</v>
      </c>
      <c r="N286">
        <v>1900</v>
      </c>
      <c r="O286">
        <v>35300</v>
      </c>
      <c r="P286">
        <v>27700</v>
      </c>
      <c r="Q286">
        <v>7600</v>
      </c>
      <c r="R286">
        <v>21.53</v>
      </c>
      <c r="S286" t="s">
        <v>97</v>
      </c>
      <c r="T286">
        <v>4500</v>
      </c>
      <c r="U286">
        <v>3.9</v>
      </c>
      <c r="V286" t="s">
        <v>42</v>
      </c>
    </row>
    <row r="287" spans="1:22" x14ac:dyDescent="0.3">
      <c r="A287" t="s">
        <v>2884</v>
      </c>
      <c r="B287" t="s">
        <v>2885</v>
      </c>
      <c r="C287" t="s">
        <v>2886</v>
      </c>
      <c r="D287" s="2">
        <v>45797</v>
      </c>
      <c r="E287" t="s">
        <v>244</v>
      </c>
      <c r="F287" t="s">
        <v>244</v>
      </c>
      <c r="G287" t="s">
        <v>580</v>
      </c>
      <c r="H287" t="s">
        <v>214</v>
      </c>
      <c r="I287" t="s">
        <v>69</v>
      </c>
      <c r="J287" t="s">
        <v>30</v>
      </c>
      <c r="K287">
        <v>7</v>
      </c>
      <c r="L287">
        <v>5</v>
      </c>
      <c r="M287">
        <v>62400</v>
      </c>
      <c r="N287">
        <v>12500</v>
      </c>
      <c r="O287">
        <v>49900</v>
      </c>
      <c r="P287">
        <v>31700</v>
      </c>
      <c r="Q287">
        <v>18200</v>
      </c>
      <c r="R287">
        <v>36.47</v>
      </c>
      <c r="S287" t="s">
        <v>126</v>
      </c>
      <c r="T287">
        <v>7100</v>
      </c>
      <c r="U287">
        <v>5</v>
      </c>
      <c r="V287" t="s">
        <v>42</v>
      </c>
    </row>
    <row r="288" spans="1:22" x14ac:dyDescent="0.3">
      <c r="A288" t="s">
        <v>2898</v>
      </c>
      <c r="B288" t="s">
        <v>763</v>
      </c>
      <c r="C288" t="s">
        <v>764</v>
      </c>
      <c r="D288" s="2">
        <v>45797</v>
      </c>
      <c r="E288" t="s">
        <v>26</v>
      </c>
      <c r="F288" t="s">
        <v>26</v>
      </c>
      <c r="G288" t="s">
        <v>580</v>
      </c>
      <c r="H288" t="s">
        <v>268</v>
      </c>
      <c r="I288" t="s">
        <v>29</v>
      </c>
      <c r="J288" t="s">
        <v>30</v>
      </c>
      <c r="K288">
        <v>6</v>
      </c>
      <c r="L288">
        <v>5</v>
      </c>
      <c r="M288">
        <v>52400</v>
      </c>
      <c r="N288">
        <v>5200</v>
      </c>
      <c r="O288">
        <v>47200</v>
      </c>
      <c r="P288">
        <v>36200</v>
      </c>
      <c r="Q288">
        <v>11000</v>
      </c>
      <c r="R288">
        <v>23.31</v>
      </c>
      <c r="S288" t="s">
        <v>97</v>
      </c>
      <c r="T288">
        <v>2800</v>
      </c>
      <c r="U288">
        <v>4.8</v>
      </c>
      <c r="V288" t="s">
        <v>58</v>
      </c>
    </row>
    <row r="289" spans="1:22" x14ac:dyDescent="0.3">
      <c r="A289" t="s">
        <v>5194</v>
      </c>
      <c r="B289" t="s">
        <v>2219</v>
      </c>
      <c r="C289" t="s">
        <v>2220</v>
      </c>
      <c r="D289" s="2">
        <v>45798</v>
      </c>
      <c r="E289" t="s">
        <v>188</v>
      </c>
      <c r="F289" t="s">
        <v>188</v>
      </c>
      <c r="G289" t="s">
        <v>147</v>
      </c>
      <c r="H289" t="s">
        <v>214</v>
      </c>
      <c r="I289" t="s">
        <v>29</v>
      </c>
      <c r="J289" t="s">
        <v>30</v>
      </c>
      <c r="K289">
        <v>9</v>
      </c>
      <c r="L289">
        <v>5</v>
      </c>
      <c r="M289">
        <v>64200</v>
      </c>
      <c r="N289">
        <v>12800</v>
      </c>
      <c r="O289">
        <v>51400</v>
      </c>
      <c r="P289">
        <v>27200</v>
      </c>
      <c r="Q289">
        <v>24200</v>
      </c>
      <c r="R289">
        <v>47.08</v>
      </c>
      <c r="S289" t="s">
        <v>97</v>
      </c>
      <c r="T289">
        <v>7100</v>
      </c>
      <c r="U289">
        <v>3.7</v>
      </c>
      <c r="V289" t="s">
        <v>114</v>
      </c>
    </row>
    <row r="290" spans="1:22" x14ac:dyDescent="0.3">
      <c r="A290" t="s">
        <v>1582</v>
      </c>
      <c r="B290" t="s">
        <v>494</v>
      </c>
      <c r="C290" t="s">
        <v>495</v>
      </c>
      <c r="D290" s="2">
        <v>45798</v>
      </c>
      <c r="E290" t="s">
        <v>244</v>
      </c>
      <c r="F290" t="s">
        <v>244</v>
      </c>
      <c r="G290" t="s">
        <v>213</v>
      </c>
      <c r="H290" t="s">
        <v>68</v>
      </c>
      <c r="I290" t="s">
        <v>29</v>
      </c>
      <c r="J290" t="s">
        <v>70</v>
      </c>
      <c r="K290">
        <v>7</v>
      </c>
      <c r="M290">
        <v>60800</v>
      </c>
      <c r="N290">
        <v>0</v>
      </c>
      <c r="O290">
        <v>60800</v>
      </c>
      <c r="P290">
        <v>29600</v>
      </c>
      <c r="Q290">
        <v>31200</v>
      </c>
      <c r="R290">
        <v>51.32</v>
      </c>
      <c r="S290" t="s">
        <v>126</v>
      </c>
      <c r="T290">
        <v>10500</v>
      </c>
      <c r="U290">
        <v>5</v>
      </c>
      <c r="V290" t="s">
        <v>58</v>
      </c>
    </row>
    <row r="291" spans="1:22" x14ac:dyDescent="0.3">
      <c r="A291" t="s">
        <v>4668</v>
      </c>
      <c r="B291" t="s">
        <v>4669</v>
      </c>
      <c r="C291" t="s">
        <v>4670</v>
      </c>
      <c r="D291" s="2">
        <v>45799</v>
      </c>
      <c r="E291" t="s">
        <v>244</v>
      </c>
      <c r="F291" t="s">
        <v>244</v>
      </c>
      <c r="G291" t="s">
        <v>27</v>
      </c>
      <c r="H291" t="s">
        <v>268</v>
      </c>
      <c r="I291" t="s">
        <v>29</v>
      </c>
      <c r="J291" t="s">
        <v>162</v>
      </c>
      <c r="K291">
        <v>7</v>
      </c>
      <c r="L291">
        <v>71</v>
      </c>
      <c r="M291">
        <v>61600</v>
      </c>
      <c r="N291">
        <v>0</v>
      </c>
      <c r="O291">
        <v>61600</v>
      </c>
      <c r="P291">
        <v>33900</v>
      </c>
      <c r="Q291">
        <v>27700</v>
      </c>
      <c r="R291">
        <v>44.97</v>
      </c>
      <c r="S291" t="s">
        <v>79</v>
      </c>
      <c r="T291">
        <v>10200</v>
      </c>
      <c r="U291">
        <v>4.0999999999999996</v>
      </c>
      <c r="V291" t="s">
        <v>114</v>
      </c>
    </row>
    <row r="292" spans="1:22" x14ac:dyDescent="0.3">
      <c r="A292" t="s">
        <v>184</v>
      </c>
      <c r="B292" t="s">
        <v>185</v>
      </c>
      <c r="C292" t="s">
        <v>186</v>
      </c>
      <c r="D292" s="2">
        <v>45799</v>
      </c>
      <c r="E292" t="s">
        <v>188</v>
      </c>
      <c r="F292" t="s">
        <v>188</v>
      </c>
      <c r="G292" t="s">
        <v>27</v>
      </c>
      <c r="H292" t="s">
        <v>68</v>
      </c>
      <c r="I292" t="s">
        <v>29</v>
      </c>
      <c r="J292" t="s">
        <v>30</v>
      </c>
      <c r="K292">
        <v>10</v>
      </c>
      <c r="L292">
        <v>25</v>
      </c>
      <c r="M292">
        <v>62100</v>
      </c>
      <c r="N292">
        <v>3100</v>
      </c>
      <c r="O292">
        <v>59000</v>
      </c>
      <c r="P292">
        <v>26200</v>
      </c>
      <c r="Q292">
        <v>32800</v>
      </c>
      <c r="R292">
        <v>55.59</v>
      </c>
      <c r="S292" t="s">
        <v>97</v>
      </c>
      <c r="T292">
        <v>4000</v>
      </c>
      <c r="V292" t="s">
        <v>114</v>
      </c>
    </row>
    <row r="293" spans="1:22" x14ac:dyDescent="0.3">
      <c r="A293" t="s">
        <v>5457</v>
      </c>
      <c r="B293" t="s">
        <v>2288</v>
      </c>
      <c r="C293" t="s">
        <v>2289</v>
      </c>
      <c r="D293" s="2">
        <v>45800</v>
      </c>
      <c r="E293" t="s">
        <v>244</v>
      </c>
      <c r="F293" t="s">
        <v>244</v>
      </c>
      <c r="G293" t="s">
        <v>213</v>
      </c>
      <c r="H293" t="s">
        <v>5470</v>
      </c>
      <c r="I293" t="s">
        <v>69</v>
      </c>
      <c r="J293" t="s">
        <v>162</v>
      </c>
      <c r="K293">
        <v>5</v>
      </c>
      <c r="L293">
        <v>34</v>
      </c>
      <c r="M293">
        <v>64600</v>
      </c>
      <c r="N293">
        <v>0</v>
      </c>
      <c r="O293">
        <v>64600</v>
      </c>
      <c r="P293">
        <v>50400</v>
      </c>
      <c r="Q293">
        <v>14200</v>
      </c>
      <c r="R293">
        <v>21.98</v>
      </c>
      <c r="S293" t="s">
        <v>97</v>
      </c>
      <c r="T293">
        <v>11000</v>
      </c>
      <c r="U293">
        <v>3.7</v>
      </c>
      <c r="V293" t="s">
        <v>42</v>
      </c>
    </row>
    <row r="294" spans="1:22" x14ac:dyDescent="0.3">
      <c r="A294" t="s">
        <v>4406</v>
      </c>
      <c r="B294" t="s">
        <v>4091</v>
      </c>
      <c r="C294" t="s">
        <v>4092</v>
      </c>
      <c r="D294" s="2">
        <v>45800</v>
      </c>
      <c r="E294" t="s">
        <v>26</v>
      </c>
      <c r="F294" t="s">
        <v>26</v>
      </c>
      <c r="G294" t="s">
        <v>213</v>
      </c>
      <c r="H294" t="s">
        <v>268</v>
      </c>
      <c r="I294" t="s">
        <v>29</v>
      </c>
      <c r="J294" t="s">
        <v>70</v>
      </c>
      <c r="K294">
        <v>9</v>
      </c>
      <c r="L294">
        <v>53</v>
      </c>
      <c r="M294">
        <v>34800</v>
      </c>
      <c r="N294">
        <v>5200</v>
      </c>
      <c r="O294">
        <v>29600</v>
      </c>
      <c r="P294">
        <v>25700</v>
      </c>
      <c r="Q294">
        <v>3900</v>
      </c>
      <c r="R294">
        <v>13.18</v>
      </c>
      <c r="S294" t="s">
        <v>126</v>
      </c>
      <c r="T294">
        <v>4300</v>
      </c>
      <c r="U294">
        <v>4.9000000000000004</v>
      </c>
      <c r="V294" t="s">
        <v>79</v>
      </c>
    </row>
    <row r="295" spans="1:22" x14ac:dyDescent="0.3">
      <c r="A295" t="s">
        <v>4998</v>
      </c>
      <c r="B295" t="s">
        <v>2871</v>
      </c>
      <c r="C295" t="s">
        <v>2872</v>
      </c>
      <c r="D295" s="2">
        <v>45801</v>
      </c>
      <c r="E295" t="s">
        <v>228</v>
      </c>
      <c r="F295" t="s">
        <v>228</v>
      </c>
      <c r="G295" t="s">
        <v>48</v>
      </c>
      <c r="H295" t="s">
        <v>88</v>
      </c>
      <c r="I295" t="s">
        <v>69</v>
      </c>
      <c r="J295" t="s">
        <v>30</v>
      </c>
      <c r="K295">
        <v>9</v>
      </c>
      <c r="L295">
        <v>19</v>
      </c>
      <c r="M295">
        <v>33000</v>
      </c>
      <c r="N295">
        <v>1600</v>
      </c>
      <c r="O295">
        <v>31400</v>
      </c>
      <c r="P295">
        <v>14200</v>
      </c>
      <c r="Q295">
        <v>17200</v>
      </c>
      <c r="R295">
        <v>54.78</v>
      </c>
      <c r="S295" t="s">
        <v>126</v>
      </c>
      <c r="T295">
        <v>2700</v>
      </c>
      <c r="U295">
        <v>3.7</v>
      </c>
      <c r="V295" t="s">
        <v>42</v>
      </c>
    </row>
    <row r="296" spans="1:22" x14ac:dyDescent="0.3">
      <c r="A296" t="s">
        <v>2668</v>
      </c>
      <c r="B296" t="s">
        <v>2669</v>
      </c>
      <c r="C296" t="s">
        <v>2670</v>
      </c>
      <c r="D296" s="2">
        <v>45801</v>
      </c>
      <c r="E296" t="s">
        <v>26</v>
      </c>
      <c r="F296" t="s">
        <v>26</v>
      </c>
      <c r="G296" t="s">
        <v>27</v>
      </c>
      <c r="H296" t="s">
        <v>88</v>
      </c>
      <c r="I296" t="s">
        <v>29</v>
      </c>
      <c r="J296" t="s">
        <v>30</v>
      </c>
      <c r="K296">
        <v>10</v>
      </c>
      <c r="L296">
        <v>42</v>
      </c>
      <c r="M296">
        <v>32400</v>
      </c>
      <c r="N296">
        <v>0</v>
      </c>
      <c r="O296">
        <v>32400</v>
      </c>
      <c r="P296">
        <v>17100</v>
      </c>
      <c r="Q296">
        <v>15300</v>
      </c>
      <c r="R296">
        <v>47.22</v>
      </c>
      <c r="S296" t="s">
        <v>182</v>
      </c>
      <c r="T296">
        <v>3000</v>
      </c>
      <c r="U296">
        <v>4.5999999999999996</v>
      </c>
      <c r="V296" t="s">
        <v>42</v>
      </c>
    </row>
    <row r="297" spans="1:22" x14ac:dyDescent="0.3">
      <c r="A297" t="s">
        <v>4336</v>
      </c>
      <c r="B297" t="s">
        <v>2470</v>
      </c>
      <c r="C297" t="s">
        <v>2471</v>
      </c>
      <c r="D297" s="2">
        <v>45801</v>
      </c>
      <c r="E297" t="s">
        <v>282</v>
      </c>
      <c r="F297" t="s">
        <v>282</v>
      </c>
      <c r="G297" t="s">
        <v>118</v>
      </c>
      <c r="H297" t="s">
        <v>49</v>
      </c>
      <c r="I297" t="s">
        <v>29</v>
      </c>
      <c r="J297" t="s">
        <v>70</v>
      </c>
      <c r="K297">
        <v>7</v>
      </c>
      <c r="L297">
        <v>74</v>
      </c>
      <c r="M297">
        <v>63200</v>
      </c>
      <c r="N297">
        <v>0</v>
      </c>
      <c r="O297">
        <v>63200</v>
      </c>
      <c r="P297">
        <v>45600</v>
      </c>
      <c r="Q297">
        <v>17600</v>
      </c>
      <c r="R297">
        <v>27.85</v>
      </c>
      <c r="S297" t="s">
        <v>39</v>
      </c>
      <c r="T297">
        <v>3600</v>
      </c>
      <c r="U297">
        <v>3.4</v>
      </c>
      <c r="V297" t="s">
        <v>114</v>
      </c>
    </row>
    <row r="298" spans="1:22" x14ac:dyDescent="0.3">
      <c r="A298" t="s">
        <v>1850</v>
      </c>
      <c r="B298" t="s">
        <v>1851</v>
      </c>
      <c r="C298" t="s">
        <v>1852</v>
      </c>
      <c r="D298" s="2">
        <v>45801</v>
      </c>
      <c r="E298" t="s">
        <v>188</v>
      </c>
      <c r="F298" t="s">
        <v>188</v>
      </c>
      <c r="G298" t="s">
        <v>147</v>
      </c>
      <c r="H298" t="s">
        <v>5470</v>
      </c>
      <c r="I298" t="s">
        <v>69</v>
      </c>
      <c r="J298" t="s">
        <v>30</v>
      </c>
      <c r="K298">
        <v>3</v>
      </c>
      <c r="L298">
        <v>50</v>
      </c>
      <c r="M298">
        <v>75100</v>
      </c>
      <c r="N298">
        <v>0</v>
      </c>
      <c r="O298">
        <v>75100</v>
      </c>
      <c r="P298">
        <v>32600</v>
      </c>
      <c r="Q298">
        <v>42500</v>
      </c>
      <c r="R298">
        <v>56.59</v>
      </c>
      <c r="S298" t="s">
        <v>58</v>
      </c>
      <c r="T298">
        <v>5400</v>
      </c>
      <c r="U298">
        <v>3.3</v>
      </c>
      <c r="V298" t="s">
        <v>114</v>
      </c>
    </row>
    <row r="299" spans="1:22" x14ac:dyDescent="0.3">
      <c r="A299" t="s">
        <v>3381</v>
      </c>
      <c r="B299" t="s">
        <v>1452</v>
      </c>
      <c r="C299" t="s">
        <v>1453</v>
      </c>
      <c r="D299" s="2">
        <v>45802</v>
      </c>
      <c r="E299" t="s">
        <v>26</v>
      </c>
      <c r="F299" t="s">
        <v>26</v>
      </c>
      <c r="G299" t="s">
        <v>213</v>
      </c>
      <c r="H299" t="s">
        <v>214</v>
      </c>
      <c r="I299" t="s">
        <v>29</v>
      </c>
      <c r="J299" t="s">
        <v>30</v>
      </c>
      <c r="K299">
        <v>8</v>
      </c>
      <c r="L299">
        <v>40</v>
      </c>
      <c r="M299">
        <v>77300</v>
      </c>
      <c r="N299">
        <v>3900</v>
      </c>
      <c r="O299">
        <v>73400</v>
      </c>
      <c r="P299">
        <v>42900</v>
      </c>
      <c r="Q299">
        <v>30500</v>
      </c>
      <c r="R299">
        <v>41.55</v>
      </c>
      <c r="S299" t="s">
        <v>79</v>
      </c>
      <c r="T299">
        <v>12300</v>
      </c>
      <c r="U299">
        <v>4.5999999999999996</v>
      </c>
      <c r="V299" t="s">
        <v>58</v>
      </c>
    </row>
    <row r="300" spans="1:22" x14ac:dyDescent="0.3">
      <c r="A300" t="s">
        <v>3931</v>
      </c>
      <c r="B300" t="s">
        <v>2547</v>
      </c>
      <c r="C300" t="s">
        <v>2548</v>
      </c>
      <c r="D300" s="2">
        <v>45803</v>
      </c>
      <c r="E300" t="s">
        <v>134</v>
      </c>
      <c r="F300" t="s">
        <v>134</v>
      </c>
      <c r="G300" t="s">
        <v>103</v>
      </c>
      <c r="H300" t="s">
        <v>28</v>
      </c>
      <c r="I300" t="s">
        <v>69</v>
      </c>
      <c r="J300" t="s">
        <v>30</v>
      </c>
      <c r="K300">
        <v>7</v>
      </c>
      <c r="L300">
        <v>21</v>
      </c>
      <c r="M300">
        <v>103100</v>
      </c>
      <c r="N300">
        <v>20600</v>
      </c>
      <c r="O300">
        <v>82500</v>
      </c>
      <c r="P300">
        <v>78700</v>
      </c>
      <c r="Q300">
        <v>3800</v>
      </c>
      <c r="R300">
        <v>4.6100000000000003</v>
      </c>
      <c r="S300" t="s">
        <v>182</v>
      </c>
      <c r="T300">
        <v>3400</v>
      </c>
      <c r="U300">
        <v>4.0999999999999996</v>
      </c>
      <c r="V300" t="s">
        <v>79</v>
      </c>
    </row>
    <row r="301" spans="1:22" x14ac:dyDescent="0.3">
      <c r="A301" t="s">
        <v>1200</v>
      </c>
      <c r="B301" t="s">
        <v>1109</v>
      </c>
      <c r="C301" t="s">
        <v>1110</v>
      </c>
      <c r="D301" s="2">
        <v>45803</v>
      </c>
      <c r="E301" t="s">
        <v>161</v>
      </c>
      <c r="F301" t="s">
        <v>161</v>
      </c>
      <c r="G301" t="s">
        <v>103</v>
      </c>
      <c r="H301" t="s">
        <v>28</v>
      </c>
      <c r="I301" t="s">
        <v>29</v>
      </c>
      <c r="J301" t="s">
        <v>30</v>
      </c>
      <c r="K301">
        <v>2</v>
      </c>
      <c r="L301">
        <v>25</v>
      </c>
      <c r="M301">
        <v>46300</v>
      </c>
      <c r="N301">
        <v>0</v>
      </c>
      <c r="O301">
        <v>46300</v>
      </c>
      <c r="P301">
        <v>37500</v>
      </c>
      <c r="Q301">
        <v>8800</v>
      </c>
      <c r="R301">
        <v>19.010000000000002</v>
      </c>
      <c r="S301" t="s">
        <v>58</v>
      </c>
      <c r="T301">
        <v>2800</v>
      </c>
      <c r="U301">
        <v>3.1</v>
      </c>
      <c r="V301" t="s">
        <v>79</v>
      </c>
    </row>
    <row r="302" spans="1:22" x14ac:dyDescent="0.3">
      <c r="A302" t="s">
        <v>859</v>
      </c>
      <c r="B302" t="s">
        <v>860</v>
      </c>
      <c r="C302" t="s">
        <v>861</v>
      </c>
      <c r="D302" s="2">
        <v>45803</v>
      </c>
      <c r="E302" t="s">
        <v>228</v>
      </c>
      <c r="F302" t="s">
        <v>228</v>
      </c>
      <c r="G302" t="s">
        <v>67</v>
      </c>
      <c r="H302" t="s">
        <v>214</v>
      </c>
      <c r="I302" t="s">
        <v>29</v>
      </c>
      <c r="J302" t="s">
        <v>30</v>
      </c>
      <c r="K302">
        <v>3</v>
      </c>
      <c r="L302">
        <v>41</v>
      </c>
      <c r="M302">
        <v>106700</v>
      </c>
      <c r="N302">
        <v>5300</v>
      </c>
      <c r="O302">
        <v>101400</v>
      </c>
      <c r="P302">
        <v>77100</v>
      </c>
      <c r="Q302">
        <v>24300</v>
      </c>
      <c r="R302">
        <v>23.96</v>
      </c>
      <c r="S302" t="s">
        <v>39</v>
      </c>
      <c r="T302">
        <v>7600</v>
      </c>
      <c r="U302">
        <v>4.5</v>
      </c>
      <c r="V302" t="s">
        <v>79</v>
      </c>
    </row>
    <row r="303" spans="1:22" x14ac:dyDescent="0.3">
      <c r="A303" t="s">
        <v>4187</v>
      </c>
      <c r="B303" t="s">
        <v>1417</v>
      </c>
      <c r="C303" t="s">
        <v>1418</v>
      </c>
      <c r="D303" s="2">
        <v>45804</v>
      </c>
      <c r="E303" t="s">
        <v>188</v>
      </c>
      <c r="F303" t="s">
        <v>188</v>
      </c>
      <c r="G303" t="s">
        <v>67</v>
      </c>
      <c r="H303" t="s">
        <v>88</v>
      </c>
      <c r="I303" t="s">
        <v>69</v>
      </c>
      <c r="J303" t="s">
        <v>70</v>
      </c>
      <c r="K303">
        <v>6</v>
      </c>
      <c r="L303">
        <v>53</v>
      </c>
      <c r="M303">
        <v>26500</v>
      </c>
      <c r="N303">
        <v>0</v>
      </c>
      <c r="O303">
        <v>26500</v>
      </c>
      <c r="P303">
        <v>20700</v>
      </c>
      <c r="Q303">
        <v>5800</v>
      </c>
      <c r="R303">
        <v>21.89</v>
      </c>
      <c r="S303" t="s">
        <v>79</v>
      </c>
      <c r="T303">
        <v>2100</v>
      </c>
      <c r="U303">
        <v>4.9000000000000004</v>
      </c>
      <c r="V303" t="s">
        <v>79</v>
      </c>
    </row>
    <row r="304" spans="1:22" x14ac:dyDescent="0.3">
      <c r="A304" t="s">
        <v>4402</v>
      </c>
      <c r="B304" t="s">
        <v>1109</v>
      </c>
      <c r="C304" t="s">
        <v>1110</v>
      </c>
      <c r="D304" s="2">
        <v>45804</v>
      </c>
      <c r="E304" t="s">
        <v>134</v>
      </c>
      <c r="F304" t="s">
        <v>134</v>
      </c>
      <c r="G304" t="s">
        <v>48</v>
      </c>
      <c r="H304" t="s">
        <v>5470</v>
      </c>
      <c r="I304" t="s">
        <v>29</v>
      </c>
      <c r="J304" t="s">
        <v>30</v>
      </c>
      <c r="K304">
        <v>3</v>
      </c>
      <c r="L304">
        <v>27</v>
      </c>
      <c r="M304">
        <v>18800</v>
      </c>
      <c r="N304">
        <v>0</v>
      </c>
      <c r="O304">
        <v>18800</v>
      </c>
      <c r="P304">
        <v>14700</v>
      </c>
      <c r="Q304">
        <v>4100</v>
      </c>
      <c r="R304">
        <v>21.81</v>
      </c>
      <c r="S304" t="s">
        <v>97</v>
      </c>
      <c r="T304">
        <v>1300</v>
      </c>
      <c r="U304">
        <v>4</v>
      </c>
      <c r="V304" t="s">
        <v>58</v>
      </c>
    </row>
    <row r="305" spans="1:22" x14ac:dyDescent="0.3">
      <c r="A305" t="s">
        <v>3887</v>
      </c>
      <c r="B305" t="s">
        <v>2697</v>
      </c>
      <c r="C305" t="s">
        <v>2698</v>
      </c>
      <c r="D305" s="2">
        <v>45804</v>
      </c>
      <c r="E305" t="s">
        <v>244</v>
      </c>
      <c r="F305" t="s">
        <v>244</v>
      </c>
      <c r="G305" t="s">
        <v>147</v>
      </c>
      <c r="H305" t="s">
        <v>268</v>
      </c>
      <c r="I305" t="s">
        <v>69</v>
      </c>
      <c r="J305" t="s">
        <v>70</v>
      </c>
      <c r="K305">
        <v>4</v>
      </c>
      <c r="L305">
        <v>36</v>
      </c>
      <c r="M305">
        <v>40200</v>
      </c>
      <c r="N305">
        <v>2000</v>
      </c>
      <c r="O305">
        <v>38200</v>
      </c>
      <c r="P305">
        <v>25100</v>
      </c>
      <c r="Q305">
        <v>13100</v>
      </c>
      <c r="R305">
        <v>34.29</v>
      </c>
      <c r="S305" t="s">
        <v>126</v>
      </c>
      <c r="T305">
        <v>3400</v>
      </c>
      <c r="U305">
        <v>3.7</v>
      </c>
      <c r="V305" t="s">
        <v>114</v>
      </c>
    </row>
    <row r="306" spans="1:22" x14ac:dyDescent="0.3">
      <c r="A306" t="s">
        <v>4226</v>
      </c>
      <c r="B306" t="s">
        <v>2756</v>
      </c>
      <c r="C306" t="s">
        <v>2757</v>
      </c>
      <c r="D306" s="2">
        <v>45804</v>
      </c>
      <c r="E306" t="s">
        <v>134</v>
      </c>
      <c r="F306" t="s">
        <v>134</v>
      </c>
      <c r="G306" t="s">
        <v>213</v>
      </c>
      <c r="H306" t="s">
        <v>214</v>
      </c>
      <c r="I306" t="s">
        <v>69</v>
      </c>
      <c r="J306" t="s">
        <v>162</v>
      </c>
      <c r="K306">
        <v>10</v>
      </c>
      <c r="L306">
        <v>52</v>
      </c>
      <c r="M306">
        <v>45900</v>
      </c>
      <c r="N306">
        <v>9200</v>
      </c>
      <c r="O306">
        <v>36700</v>
      </c>
      <c r="P306">
        <v>28400</v>
      </c>
      <c r="Q306">
        <v>8300</v>
      </c>
      <c r="R306">
        <v>22.62</v>
      </c>
      <c r="S306" t="s">
        <v>39</v>
      </c>
      <c r="T306">
        <v>6500</v>
      </c>
      <c r="U306">
        <v>5</v>
      </c>
      <c r="V306" t="s">
        <v>82</v>
      </c>
    </row>
    <row r="307" spans="1:22" x14ac:dyDescent="0.3">
      <c r="A307" t="s">
        <v>5389</v>
      </c>
      <c r="B307" t="s">
        <v>3041</v>
      </c>
      <c r="C307" t="s">
        <v>3042</v>
      </c>
      <c r="D307" s="2">
        <v>45804</v>
      </c>
      <c r="E307" t="s">
        <v>282</v>
      </c>
      <c r="F307" t="s">
        <v>282</v>
      </c>
      <c r="G307" t="s">
        <v>103</v>
      </c>
      <c r="H307" t="s">
        <v>49</v>
      </c>
      <c r="I307" t="s">
        <v>69</v>
      </c>
      <c r="J307" t="s">
        <v>30</v>
      </c>
      <c r="K307">
        <v>9</v>
      </c>
      <c r="L307">
        <v>19</v>
      </c>
      <c r="M307">
        <v>24800</v>
      </c>
      <c r="N307">
        <v>3700</v>
      </c>
      <c r="O307">
        <v>21100</v>
      </c>
      <c r="P307">
        <v>13400</v>
      </c>
      <c r="Q307">
        <v>7700</v>
      </c>
      <c r="R307">
        <v>36.49</v>
      </c>
      <c r="S307" t="s">
        <v>97</v>
      </c>
      <c r="T307">
        <v>2900</v>
      </c>
      <c r="U307">
        <v>3.9</v>
      </c>
      <c r="V307" t="s">
        <v>82</v>
      </c>
    </row>
    <row r="308" spans="1:22" x14ac:dyDescent="0.3">
      <c r="A308" t="s">
        <v>970</v>
      </c>
      <c r="B308" t="s">
        <v>971</v>
      </c>
      <c r="C308" t="s">
        <v>972</v>
      </c>
      <c r="D308" s="2">
        <v>45805</v>
      </c>
      <c r="E308" t="s">
        <v>282</v>
      </c>
      <c r="F308" t="s">
        <v>282</v>
      </c>
      <c r="G308" t="s">
        <v>27</v>
      </c>
      <c r="H308" t="s">
        <v>214</v>
      </c>
      <c r="I308" t="s">
        <v>29</v>
      </c>
      <c r="J308" t="s">
        <v>162</v>
      </c>
      <c r="K308">
        <v>8</v>
      </c>
      <c r="L308">
        <v>67</v>
      </c>
      <c r="M308">
        <v>38700</v>
      </c>
      <c r="N308">
        <v>1900</v>
      </c>
      <c r="O308">
        <v>36800</v>
      </c>
      <c r="P308">
        <v>16800</v>
      </c>
      <c r="Q308">
        <v>20000</v>
      </c>
      <c r="R308">
        <v>54.35</v>
      </c>
      <c r="S308" t="s">
        <v>126</v>
      </c>
      <c r="T308">
        <v>5100</v>
      </c>
      <c r="U308">
        <v>4.0999999999999996</v>
      </c>
      <c r="V308" t="s">
        <v>82</v>
      </c>
    </row>
    <row r="309" spans="1:22" x14ac:dyDescent="0.3">
      <c r="A309" t="s">
        <v>1846</v>
      </c>
      <c r="B309" t="s">
        <v>1019</v>
      </c>
      <c r="C309" t="s">
        <v>1020</v>
      </c>
      <c r="D309" s="2">
        <v>45805</v>
      </c>
      <c r="E309" t="s">
        <v>134</v>
      </c>
      <c r="F309" t="s">
        <v>134</v>
      </c>
      <c r="G309" t="s">
        <v>213</v>
      </c>
      <c r="H309" t="s">
        <v>49</v>
      </c>
      <c r="I309" t="s">
        <v>69</v>
      </c>
      <c r="J309" t="s">
        <v>162</v>
      </c>
      <c r="K309">
        <v>8</v>
      </c>
      <c r="L309">
        <v>42</v>
      </c>
      <c r="M309">
        <v>69400</v>
      </c>
      <c r="N309">
        <v>10400</v>
      </c>
      <c r="O309">
        <v>59000</v>
      </c>
      <c r="P309">
        <v>53200</v>
      </c>
      <c r="Q309">
        <v>5800</v>
      </c>
      <c r="R309">
        <v>9.83</v>
      </c>
      <c r="S309" t="s">
        <v>182</v>
      </c>
      <c r="T309">
        <v>9200</v>
      </c>
      <c r="U309">
        <v>3.7</v>
      </c>
      <c r="V309" t="s">
        <v>79</v>
      </c>
    </row>
    <row r="310" spans="1:22" x14ac:dyDescent="0.3">
      <c r="A310" t="s">
        <v>3138</v>
      </c>
      <c r="B310" t="s">
        <v>962</v>
      </c>
      <c r="C310" t="s">
        <v>963</v>
      </c>
      <c r="D310" s="2">
        <v>45806</v>
      </c>
      <c r="E310" t="s">
        <v>188</v>
      </c>
      <c r="F310" t="s">
        <v>188</v>
      </c>
      <c r="G310" t="s">
        <v>118</v>
      </c>
      <c r="H310" t="s">
        <v>5470</v>
      </c>
      <c r="I310" t="s">
        <v>29</v>
      </c>
      <c r="J310" t="s">
        <v>70</v>
      </c>
      <c r="K310">
        <v>2</v>
      </c>
      <c r="L310">
        <v>50</v>
      </c>
      <c r="M310">
        <v>62900</v>
      </c>
      <c r="N310">
        <v>0</v>
      </c>
      <c r="O310">
        <v>62900</v>
      </c>
      <c r="P310">
        <v>36800</v>
      </c>
      <c r="Q310">
        <v>26100</v>
      </c>
      <c r="R310">
        <v>41.49</v>
      </c>
      <c r="S310" t="s">
        <v>39</v>
      </c>
      <c r="T310">
        <v>10100</v>
      </c>
      <c r="U310">
        <v>3.4</v>
      </c>
      <c r="V310" t="s">
        <v>42</v>
      </c>
    </row>
    <row r="311" spans="1:22" x14ac:dyDescent="0.3">
      <c r="A311" t="s">
        <v>2573</v>
      </c>
      <c r="B311" t="s">
        <v>2213</v>
      </c>
      <c r="C311" t="s">
        <v>2214</v>
      </c>
      <c r="D311" s="2">
        <v>45806</v>
      </c>
      <c r="E311" t="s">
        <v>244</v>
      </c>
      <c r="F311" t="s">
        <v>244</v>
      </c>
      <c r="G311" t="s">
        <v>67</v>
      </c>
      <c r="H311" t="s">
        <v>68</v>
      </c>
      <c r="I311" t="s">
        <v>69</v>
      </c>
      <c r="J311" t="s">
        <v>70</v>
      </c>
      <c r="K311">
        <v>2</v>
      </c>
      <c r="L311">
        <v>21</v>
      </c>
      <c r="M311">
        <v>30100</v>
      </c>
      <c r="N311">
        <v>0</v>
      </c>
      <c r="O311">
        <v>30100</v>
      </c>
      <c r="P311">
        <v>20900</v>
      </c>
      <c r="Q311">
        <v>9200</v>
      </c>
      <c r="R311">
        <v>30.56</v>
      </c>
      <c r="S311" t="s">
        <v>126</v>
      </c>
      <c r="T311">
        <v>1800</v>
      </c>
      <c r="U311">
        <v>4.0999999999999996</v>
      </c>
      <c r="V311" t="s">
        <v>82</v>
      </c>
    </row>
    <row r="312" spans="1:22" x14ac:dyDescent="0.3">
      <c r="A312" t="s">
        <v>5233</v>
      </c>
      <c r="B312" t="s">
        <v>839</v>
      </c>
      <c r="C312" t="s">
        <v>840</v>
      </c>
      <c r="D312" s="2">
        <v>45806</v>
      </c>
      <c r="E312" t="s">
        <v>188</v>
      </c>
      <c r="F312" t="s">
        <v>188</v>
      </c>
      <c r="G312" t="s">
        <v>147</v>
      </c>
      <c r="H312" t="s">
        <v>49</v>
      </c>
      <c r="I312" t="s">
        <v>69</v>
      </c>
      <c r="J312" t="s">
        <v>70</v>
      </c>
      <c r="K312">
        <v>2</v>
      </c>
      <c r="L312">
        <v>48</v>
      </c>
      <c r="M312">
        <v>40700</v>
      </c>
      <c r="N312">
        <v>0</v>
      </c>
      <c r="O312">
        <v>40700</v>
      </c>
      <c r="P312">
        <v>30400</v>
      </c>
      <c r="Q312">
        <v>10300</v>
      </c>
      <c r="R312">
        <v>25.31</v>
      </c>
      <c r="S312" t="s">
        <v>79</v>
      </c>
      <c r="T312">
        <v>4200</v>
      </c>
      <c r="U312">
        <v>5</v>
      </c>
      <c r="V312" t="s">
        <v>42</v>
      </c>
    </row>
    <row r="313" spans="1:22" x14ac:dyDescent="0.3">
      <c r="A313" t="s">
        <v>3306</v>
      </c>
      <c r="B313" t="s">
        <v>3307</v>
      </c>
      <c r="C313" t="s">
        <v>3308</v>
      </c>
      <c r="D313" s="2">
        <v>45806</v>
      </c>
      <c r="E313" t="s">
        <v>282</v>
      </c>
      <c r="F313" t="s">
        <v>282</v>
      </c>
      <c r="G313" t="s">
        <v>67</v>
      </c>
      <c r="H313" t="s">
        <v>214</v>
      </c>
      <c r="I313" t="s">
        <v>29</v>
      </c>
      <c r="J313" t="s">
        <v>162</v>
      </c>
      <c r="K313">
        <v>10</v>
      </c>
      <c r="L313">
        <v>28</v>
      </c>
      <c r="M313">
        <v>38200</v>
      </c>
      <c r="N313">
        <v>1900</v>
      </c>
      <c r="O313">
        <v>36300</v>
      </c>
      <c r="P313">
        <v>30800</v>
      </c>
      <c r="Q313">
        <v>5500</v>
      </c>
      <c r="R313">
        <v>15.15</v>
      </c>
      <c r="S313" t="s">
        <v>58</v>
      </c>
      <c r="T313">
        <v>3100</v>
      </c>
      <c r="U313">
        <v>4.7</v>
      </c>
      <c r="V313" t="s">
        <v>82</v>
      </c>
    </row>
    <row r="314" spans="1:22" x14ac:dyDescent="0.3">
      <c r="A314" t="s">
        <v>5156</v>
      </c>
      <c r="B314" t="s">
        <v>414</v>
      </c>
      <c r="C314" t="s">
        <v>415</v>
      </c>
      <c r="D314" s="2">
        <v>45806</v>
      </c>
      <c r="E314" t="s">
        <v>66</v>
      </c>
      <c r="F314" t="s">
        <v>66</v>
      </c>
      <c r="G314" t="s">
        <v>118</v>
      </c>
      <c r="H314" t="s">
        <v>214</v>
      </c>
      <c r="I314" t="s">
        <v>69</v>
      </c>
      <c r="J314" t="s">
        <v>30</v>
      </c>
      <c r="K314">
        <v>6</v>
      </c>
      <c r="L314">
        <v>57</v>
      </c>
      <c r="M314">
        <v>33400</v>
      </c>
      <c r="N314">
        <v>6700</v>
      </c>
      <c r="O314">
        <v>26700</v>
      </c>
      <c r="P314">
        <v>23900</v>
      </c>
      <c r="Q314">
        <v>2800</v>
      </c>
      <c r="R314">
        <v>10.49</v>
      </c>
      <c r="S314" t="s">
        <v>126</v>
      </c>
      <c r="T314">
        <v>2900</v>
      </c>
      <c r="U314">
        <v>3.3</v>
      </c>
      <c r="V314" t="s">
        <v>79</v>
      </c>
    </row>
    <row r="315" spans="1:22" x14ac:dyDescent="0.3">
      <c r="A315" t="s">
        <v>3574</v>
      </c>
      <c r="B315" t="s">
        <v>1701</v>
      </c>
      <c r="C315" t="s">
        <v>1702</v>
      </c>
      <c r="D315" s="2">
        <v>45807</v>
      </c>
      <c r="E315" t="s">
        <v>244</v>
      </c>
      <c r="F315" t="s">
        <v>244</v>
      </c>
      <c r="G315" t="s">
        <v>118</v>
      </c>
      <c r="H315" t="s">
        <v>68</v>
      </c>
      <c r="I315" t="s">
        <v>29</v>
      </c>
      <c r="J315" t="s">
        <v>162</v>
      </c>
      <c r="K315">
        <v>6</v>
      </c>
      <c r="L315">
        <v>17</v>
      </c>
      <c r="M315">
        <v>51100</v>
      </c>
      <c r="N315">
        <v>7700</v>
      </c>
      <c r="O315">
        <v>43400</v>
      </c>
      <c r="P315">
        <v>27600</v>
      </c>
      <c r="Q315">
        <v>15800</v>
      </c>
      <c r="R315">
        <v>36.409999999999997</v>
      </c>
      <c r="S315" t="s">
        <v>182</v>
      </c>
      <c r="T315">
        <v>7000</v>
      </c>
      <c r="U315">
        <v>4.2</v>
      </c>
      <c r="V315" t="s">
        <v>58</v>
      </c>
    </row>
    <row r="316" spans="1:22" x14ac:dyDescent="0.3">
      <c r="A316" t="s">
        <v>1002</v>
      </c>
      <c r="B316" t="s">
        <v>463</v>
      </c>
      <c r="C316" t="s">
        <v>464</v>
      </c>
      <c r="D316" s="2">
        <v>45807</v>
      </c>
      <c r="E316" t="s">
        <v>188</v>
      </c>
      <c r="F316" t="s">
        <v>188</v>
      </c>
      <c r="G316" t="s">
        <v>213</v>
      </c>
      <c r="H316" t="s">
        <v>68</v>
      </c>
      <c r="I316" t="s">
        <v>69</v>
      </c>
      <c r="J316" t="s">
        <v>30</v>
      </c>
      <c r="K316">
        <v>5</v>
      </c>
      <c r="L316">
        <v>22</v>
      </c>
      <c r="M316">
        <v>44300</v>
      </c>
      <c r="N316">
        <v>0</v>
      </c>
      <c r="O316">
        <v>44300</v>
      </c>
      <c r="P316">
        <v>28100</v>
      </c>
      <c r="Q316">
        <v>16200</v>
      </c>
      <c r="R316">
        <v>36.57</v>
      </c>
      <c r="S316" t="s">
        <v>39</v>
      </c>
      <c r="T316">
        <v>5200</v>
      </c>
      <c r="U316">
        <v>5</v>
      </c>
      <c r="V316" t="s">
        <v>58</v>
      </c>
    </row>
    <row r="317" spans="1:22" x14ac:dyDescent="0.3">
      <c r="A317" t="s">
        <v>3038</v>
      </c>
      <c r="B317" t="s">
        <v>1153</v>
      </c>
      <c r="C317" t="s">
        <v>1154</v>
      </c>
      <c r="D317" s="2">
        <v>45807</v>
      </c>
      <c r="E317" t="s">
        <v>282</v>
      </c>
      <c r="F317" t="s">
        <v>282</v>
      </c>
      <c r="G317" t="s">
        <v>103</v>
      </c>
      <c r="H317" t="s">
        <v>229</v>
      </c>
      <c r="I317" t="s">
        <v>69</v>
      </c>
      <c r="J317" t="s">
        <v>30</v>
      </c>
      <c r="K317">
        <v>9</v>
      </c>
      <c r="L317">
        <v>56</v>
      </c>
      <c r="M317">
        <v>47300</v>
      </c>
      <c r="N317">
        <v>0</v>
      </c>
      <c r="O317">
        <v>47300</v>
      </c>
      <c r="P317">
        <v>28200</v>
      </c>
      <c r="Q317">
        <v>19100</v>
      </c>
      <c r="R317">
        <v>40.380000000000003</v>
      </c>
      <c r="S317" t="s">
        <v>79</v>
      </c>
      <c r="T317">
        <v>7300</v>
      </c>
      <c r="U317">
        <v>4</v>
      </c>
      <c r="V317" t="s">
        <v>42</v>
      </c>
    </row>
    <row r="318" spans="1:22" x14ac:dyDescent="0.3">
      <c r="A318" t="s">
        <v>4509</v>
      </c>
      <c r="B318" t="s">
        <v>688</v>
      </c>
      <c r="C318" t="s">
        <v>689</v>
      </c>
      <c r="D318" s="2">
        <v>45807</v>
      </c>
      <c r="E318" t="s">
        <v>228</v>
      </c>
      <c r="F318" t="s">
        <v>228</v>
      </c>
      <c r="G318" t="s">
        <v>48</v>
      </c>
      <c r="H318" t="s">
        <v>88</v>
      </c>
      <c r="I318" t="s">
        <v>69</v>
      </c>
      <c r="J318" t="s">
        <v>30</v>
      </c>
      <c r="K318">
        <v>5</v>
      </c>
      <c r="L318">
        <v>45</v>
      </c>
      <c r="M318">
        <v>54100</v>
      </c>
      <c r="N318">
        <v>8100</v>
      </c>
      <c r="O318">
        <v>46000</v>
      </c>
      <c r="P318">
        <v>33200</v>
      </c>
      <c r="Q318">
        <v>12800</v>
      </c>
      <c r="R318">
        <v>27.83</v>
      </c>
      <c r="S318" t="s">
        <v>126</v>
      </c>
      <c r="T318">
        <v>2300</v>
      </c>
      <c r="U318">
        <v>3.3</v>
      </c>
      <c r="V318" t="s">
        <v>79</v>
      </c>
    </row>
    <row r="319" spans="1:22" x14ac:dyDescent="0.3">
      <c r="A319" t="s">
        <v>3242</v>
      </c>
      <c r="B319" t="s">
        <v>2317</v>
      </c>
      <c r="C319" t="s">
        <v>2318</v>
      </c>
      <c r="D319" s="2">
        <v>45808</v>
      </c>
      <c r="E319" t="s">
        <v>244</v>
      </c>
      <c r="F319" t="s">
        <v>244</v>
      </c>
      <c r="G319" t="s">
        <v>48</v>
      </c>
      <c r="H319" t="s">
        <v>214</v>
      </c>
      <c r="I319" t="s">
        <v>69</v>
      </c>
      <c r="J319" t="s">
        <v>30</v>
      </c>
      <c r="K319">
        <v>4</v>
      </c>
      <c r="L319">
        <v>19</v>
      </c>
      <c r="M319">
        <v>95300</v>
      </c>
      <c r="N319">
        <v>19100</v>
      </c>
      <c r="O319">
        <v>76200</v>
      </c>
      <c r="P319">
        <v>67600</v>
      </c>
      <c r="Q319">
        <v>8600</v>
      </c>
      <c r="R319">
        <v>11.29</v>
      </c>
      <c r="S319" t="s">
        <v>79</v>
      </c>
      <c r="T319">
        <v>7200</v>
      </c>
      <c r="U319">
        <v>3.9</v>
      </c>
      <c r="V319" t="s">
        <v>114</v>
      </c>
    </row>
    <row r="320" spans="1:22" x14ac:dyDescent="0.3">
      <c r="A320" t="s">
        <v>4445</v>
      </c>
      <c r="B320" t="s">
        <v>4446</v>
      </c>
      <c r="C320" t="s">
        <v>4447</v>
      </c>
      <c r="D320" s="2">
        <v>45808</v>
      </c>
      <c r="E320" t="s">
        <v>228</v>
      </c>
      <c r="F320" t="s">
        <v>228</v>
      </c>
      <c r="G320" t="s">
        <v>27</v>
      </c>
      <c r="H320" t="s">
        <v>88</v>
      </c>
      <c r="I320" t="s">
        <v>29</v>
      </c>
      <c r="J320" t="s">
        <v>30</v>
      </c>
      <c r="K320">
        <v>7</v>
      </c>
      <c r="L320">
        <v>42</v>
      </c>
      <c r="M320">
        <v>85500</v>
      </c>
      <c r="N320">
        <v>8600</v>
      </c>
      <c r="O320">
        <v>76900</v>
      </c>
      <c r="P320">
        <v>70100</v>
      </c>
      <c r="Q320">
        <v>6800</v>
      </c>
      <c r="R320">
        <v>8.84</v>
      </c>
      <c r="S320" t="s">
        <v>182</v>
      </c>
      <c r="T320">
        <v>3800</v>
      </c>
      <c r="U320">
        <v>5</v>
      </c>
      <c r="V320" t="s">
        <v>79</v>
      </c>
    </row>
    <row r="321" spans="1:22" x14ac:dyDescent="0.3">
      <c r="A321" t="s">
        <v>4179</v>
      </c>
      <c r="B321" t="s">
        <v>1269</v>
      </c>
      <c r="C321" t="s">
        <v>1270</v>
      </c>
      <c r="D321" s="2">
        <v>45808</v>
      </c>
      <c r="E321" t="s">
        <v>282</v>
      </c>
      <c r="F321" t="s">
        <v>282</v>
      </c>
      <c r="G321" t="s">
        <v>213</v>
      </c>
      <c r="H321" t="s">
        <v>88</v>
      </c>
      <c r="I321" t="s">
        <v>69</v>
      </c>
      <c r="J321" t="s">
        <v>30</v>
      </c>
      <c r="K321">
        <v>6</v>
      </c>
      <c r="L321">
        <v>16</v>
      </c>
      <c r="M321">
        <v>26600</v>
      </c>
      <c r="N321">
        <v>5300</v>
      </c>
      <c r="O321">
        <v>21300</v>
      </c>
      <c r="P321">
        <v>13100</v>
      </c>
      <c r="Q321">
        <v>8200</v>
      </c>
      <c r="R321">
        <v>38.5</v>
      </c>
      <c r="S321" t="s">
        <v>39</v>
      </c>
      <c r="T321">
        <v>2200</v>
      </c>
      <c r="U321">
        <v>3.6</v>
      </c>
      <c r="V321" t="s">
        <v>42</v>
      </c>
    </row>
    <row r="322" spans="1:22" x14ac:dyDescent="0.3">
      <c r="A322" t="s">
        <v>4396</v>
      </c>
      <c r="B322" t="s">
        <v>2971</v>
      </c>
      <c r="C322" t="s">
        <v>2972</v>
      </c>
      <c r="D322" s="2">
        <v>45809</v>
      </c>
      <c r="E322" t="s">
        <v>161</v>
      </c>
      <c r="F322" t="s">
        <v>161</v>
      </c>
      <c r="G322" t="s">
        <v>580</v>
      </c>
      <c r="H322" t="s">
        <v>68</v>
      </c>
      <c r="I322" t="s">
        <v>69</v>
      </c>
      <c r="J322" t="s">
        <v>30</v>
      </c>
      <c r="K322">
        <v>9</v>
      </c>
      <c r="L322">
        <v>51</v>
      </c>
      <c r="M322">
        <v>46500</v>
      </c>
      <c r="N322">
        <v>0</v>
      </c>
      <c r="O322">
        <v>46500</v>
      </c>
      <c r="P322">
        <v>37200</v>
      </c>
      <c r="Q322">
        <v>9300</v>
      </c>
      <c r="R322">
        <v>20</v>
      </c>
      <c r="S322" t="s">
        <v>79</v>
      </c>
      <c r="T322">
        <v>7800</v>
      </c>
      <c r="U322">
        <v>3.6</v>
      </c>
      <c r="V322" t="s">
        <v>114</v>
      </c>
    </row>
    <row r="323" spans="1:22" x14ac:dyDescent="0.3">
      <c r="A323" t="s">
        <v>2209</v>
      </c>
      <c r="B323" t="s">
        <v>1446</v>
      </c>
      <c r="C323" t="s">
        <v>1447</v>
      </c>
      <c r="D323" s="2">
        <v>45810</v>
      </c>
      <c r="E323" t="s">
        <v>66</v>
      </c>
      <c r="F323" t="s">
        <v>66</v>
      </c>
      <c r="G323" t="s">
        <v>103</v>
      </c>
      <c r="H323" t="s">
        <v>268</v>
      </c>
      <c r="I323" t="s">
        <v>69</v>
      </c>
      <c r="J323" t="s">
        <v>30</v>
      </c>
      <c r="K323">
        <v>2</v>
      </c>
      <c r="L323">
        <v>33</v>
      </c>
      <c r="M323">
        <v>32000</v>
      </c>
      <c r="N323">
        <v>6400</v>
      </c>
      <c r="O323">
        <v>25600</v>
      </c>
      <c r="P323">
        <v>24500</v>
      </c>
      <c r="Q323">
        <v>1100</v>
      </c>
      <c r="R323">
        <v>4.3</v>
      </c>
      <c r="S323" t="s">
        <v>58</v>
      </c>
      <c r="T323">
        <v>2300</v>
      </c>
      <c r="U323">
        <v>5</v>
      </c>
      <c r="V323" t="s">
        <v>79</v>
      </c>
    </row>
    <row r="324" spans="1:22" x14ac:dyDescent="0.3">
      <c r="A324" t="s">
        <v>1758</v>
      </c>
      <c r="B324" t="s">
        <v>890</v>
      </c>
      <c r="C324" t="s">
        <v>891</v>
      </c>
      <c r="D324" s="2">
        <v>45810</v>
      </c>
      <c r="E324" t="s">
        <v>161</v>
      </c>
      <c r="F324" t="s">
        <v>161</v>
      </c>
      <c r="G324" t="s">
        <v>580</v>
      </c>
      <c r="H324" t="s">
        <v>49</v>
      </c>
      <c r="I324" t="s">
        <v>69</v>
      </c>
      <c r="J324" t="s">
        <v>30</v>
      </c>
      <c r="K324">
        <v>6</v>
      </c>
      <c r="L324">
        <v>29</v>
      </c>
      <c r="M324">
        <v>35100</v>
      </c>
      <c r="N324">
        <v>5300</v>
      </c>
      <c r="O324">
        <v>29800</v>
      </c>
      <c r="P324">
        <v>23400</v>
      </c>
      <c r="Q324">
        <v>6400</v>
      </c>
      <c r="R324">
        <v>21.48</v>
      </c>
      <c r="S324" t="s">
        <v>79</v>
      </c>
      <c r="T324">
        <v>2400</v>
      </c>
      <c r="U324">
        <v>4.7</v>
      </c>
      <c r="V324" t="s">
        <v>82</v>
      </c>
    </row>
    <row r="325" spans="1:22" x14ac:dyDescent="0.3">
      <c r="A325" t="s">
        <v>3748</v>
      </c>
      <c r="B325" t="s">
        <v>2900</v>
      </c>
      <c r="C325" t="s">
        <v>2901</v>
      </c>
      <c r="D325" s="2">
        <v>45810</v>
      </c>
      <c r="E325" t="s">
        <v>244</v>
      </c>
      <c r="F325" t="s">
        <v>244</v>
      </c>
      <c r="G325" t="s">
        <v>580</v>
      </c>
      <c r="H325" t="s">
        <v>268</v>
      </c>
      <c r="I325" t="s">
        <v>29</v>
      </c>
      <c r="J325" t="s">
        <v>30</v>
      </c>
      <c r="K325">
        <v>2</v>
      </c>
      <c r="L325">
        <v>45</v>
      </c>
      <c r="M325">
        <v>38000</v>
      </c>
      <c r="N325">
        <v>5700</v>
      </c>
      <c r="O325">
        <v>32300</v>
      </c>
      <c r="P325">
        <v>18500</v>
      </c>
      <c r="Q325">
        <v>13800</v>
      </c>
      <c r="R325">
        <v>42.72</v>
      </c>
      <c r="S325" t="s">
        <v>79</v>
      </c>
      <c r="T325">
        <v>3700</v>
      </c>
      <c r="U325">
        <v>3.3</v>
      </c>
      <c r="V325" t="s">
        <v>79</v>
      </c>
    </row>
    <row r="326" spans="1:22" x14ac:dyDescent="0.3">
      <c r="A326" t="s">
        <v>2701</v>
      </c>
      <c r="B326" t="s">
        <v>2645</v>
      </c>
      <c r="C326" t="s">
        <v>2646</v>
      </c>
      <c r="D326" s="2">
        <v>45811</v>
      </c>
      <c r="E326" t="s">
        <v>66</v>
      </c>
      <c r="F326" t="s">
        <v>66</v>
      </c>
      <c r="G326" t="s">
        <v>5471</v>
      </c>
      <c r="H326" t="s">
        <v>49</v>
      </c>
      <c r="I326" t="s">
        <v>29</v>
      </c>
      <c r="J326" t="s">
        <v>30</v>
      </c>
      <c r="K326">
        <v>4</v>
      </c>
      <c r="L326">
        <v>5</v>
      </c>
      <c r="M326">
        <v>93200</v>
      </c>
      <c r="N326">
        <v>18600</v>
      </c>
      <c r="O326">
        <v>74600</v>
      </c>
      <c r="P326">
        <v>50700</v>
      </c>
      <c r="Q326">
        <v>23900</v>
      </c>
      <c r="R326">
        <v>32.04</v>
      </c>
      <c r="S326" t="s">
        <v>58</v>
      </c>
      <c r="T326">
        <v>4200</v>
      </c>
      <c r="U326">
        <v>4.2</v>
      </c>
      <c r="V326" t="s">
        <v>82</v>
      </c>
    </row>
    <row r="327" spans="1:22" x14ac:dyDescent="0.3">
      <c r="A327" t="s">
        <v>3290</v>
      </c>
      <c r="B327" t="s">
        <v>3118</v>
      </c>
      <c r="C327" t="s">
        <v>3119</v>
      </c>
      <c r="D327" s="2">
        <v>45812</v>
      </c>
      <c r="E327" t="s">
        <v>228</v>
      </c>
      <c r="F327" t="s">
        <v>228</v>
      </c>
      <c r="G327" t="s">
        <v>67</v>
      </c>
      <c r="H327" t="s">
        <v>49</v>
      </c>
      <c r="I327" t="s">
        <v>69</v>
      </c>
      <c r="J327" t="s">
        <v>30</v>
      </c>
      <c r="K327">
        <v>9</v>
      </c>
      <c r="L327">
        <v>31</v>
      </c>
      <c r="M327">
        <v>101100</v>
      </c>
      <c r="N327">
        <v>0</v>
      </c>
      <c r="O327">
        <v>101100</v>
      </c>
      <c r="P327">
        <v>60500</v>
      </c>
      <c r="Q327">
        <v>40600</v>
      </c>
      <c r="R327">
        <v>40.159999999999997</v>
      </c>
      <c r="S327" t="s">
        <v>58</v>
      </c>
      <c r="T327">
        <v>8700</v>
      </c>
      <c r="U327">
        <v>4.8</v>
      </c>
      <c r="V327" t="s">
        <v>114</v>
      </c>
    </row>
    <row r="328" spans="1:22" x14ac:dyDescent="0.3">
      <c r="A328" t="s">
        <v>3658</v>
      </c>
      <c r="B328" t="s">
        <v>1409</v>
      </c>
      <c r="C328" t="s">
        <v>1410</v>
      </c>
      <c r="D328" s="2">
        <v>45812</v>
      </c>
      <c r="E328" t="s">
        <v>228</v>
      </c>
      <c r="F328" t="s">
        <v>228</v>
      </c>
      <c r="G328" t="s">
        <v>118</v>
      </c>
      <c r="H328" t="s">
        <v>5470</v>
      </c>
      <c r="I328" t="s">
        <v>29</v>
      </c>
      <c r="J328" t="s">
        <v>162</v>
      </c>
      <c r="K328">
        <v>6</v>
      </c>
      <c r="L328">
        <v>68</v>
      </c>
      <c r="M328">
        <v>40400</v>
      </c>
      <c r="N328">
        <v>2000</v>
      </c>
      <c r="O328">
        <v>38400</v>
      </c>
      <c r="P328">
        <v>19200</v>
      </c>
      <c r="Q328">
        <v>19200</v>
      </c>
      <c r="R328">
        <v>50</v>
      </c>
      <c r="S328" t="s">
        <v>97</v>
      </c>
      <c r="T328">
        <v>6100</v>
      </c>
      <c r="U328">
        <v>4.0999999999999996</v>
      </c>
      <c r="V328" t="s">
        <v>114</v>
      </c>
    </row>
    <row r="329" spans="1:22" x14ac:dyDescent="0.3">
      <c r="A329" t="s">
        <v>5430</v>
      </c>
      <c r="B329" t="s">
        <v>4091</v>
      </c>
      <c r="C329" t="s">
        <v>4092</v>
      </c>
      <c r="D329" s="2">
        <v>45812</v>
      </c>
      <c r="E329" t="s">
        <v>188</v>
      </c>
      <c r="F329" t="s">
        <v>188</v>
      </c>
      <c r="G329" t="s">
        <v>118</v>
      </c>
      <c r="H329" t="s">
        <v>229</v>
      </c>
      <c r="I329" t="s">
        <v>29</v>
      </c>
      <c r="J329" t="s">
        <v>30</v>
      </c>
      <c r="K329">
        <v>5</v>
      </c>
      <c r="L329">
        <v>38</v>
      </c>
      <c r="M329">
        <v>85100</v>
      </c>
      <c r="N329">
        <v>8500</v>
      </c>
      <c r="O329">
        <v>76600</v>
      </c>
      <c r="P329">
        <v>38200</v>
      </c>
      <c r="Q329">
        <v>38400</v>
      </c>
      <c r="R329">
        <v>50.13</v>
      </c>
      <c r="S329" t="s">
        <v>182</v>
      </c>
      <c r="T329">
        <v>8800</v>
      </c>
      <c r="U329">
        <v>4.3</v>
      </c>
      <c r="V329" t="s">
        <v>79</v>
      </c>
    </row>
    <row r="330" spans="1:22" x14ac:dyDescent="0.3">
      <c r="A330" t="s">
        <v>3468</v>
      </c>
      <c r="B330" t="s">
        <v>2122</v>
      </c>
      <c r="C330" t="s">
        <v>2123</v>
      </c>
      <c r="D330" s="2">
        <v>45812</v>
      </c>
      <c r="E330" t="s">
        <v>228</v>
      </c>
      <c r="F330" t="s">
        <v>228</v>
      </c>
      <c r="G330" t="s">
        <v>67</v>
      </c>
      <c r="H330" t="s">
        <v>28</v>
      </c>
      <c r="I330" t="s">
        <v>69</v>
      </c>
      <c r="J330" t="s">
        <v>30</v>
      </c>
      <c r="K330">
        <v>5</v>
      </c>
      <c r="L330">
        <v>50</v>
      </c>
      <c r="M330">
        <v>42500</v>
      </c>
      <c r="N330">
        <v>4200</v>
      </c>
      <c r="O330">
        <v>38300</v>
      </c>
      <c r="P330">
        <v>34600</v>
      </c>
      <c r="Q330">
        <v>3700</v>
      </c>
      <c r="R330">
        <v>9.66</v>
      </c>
      <c r="S330" t="s">
        <v>97</v>
      </c>
      <c r="T330">
        <v>2200</v>
      </c>
      <c r="U330">
        <v>3</v>
      </c>
      <c r="V330" t="s">
        <v>58</v>
      </c>
    </row>
    <row r="331" spans="1:22" x14ac:dyDescent="0.3">
      <c r="A331" t="s">
        <v>1792</v>
      </c>
      <c r="B331" t="s">
        <v>1793</v>
      </c>
      <c r="C331" t="s">
        <v>1794</v>
      </c>
      <c r="D331" s="2">
        <v>45814</v>
      </c>
      <c r="E331" t="s">
        <v>161</v>
      </c>
      <c r="F331" t="s">
        <v>161</v>
      </c>
      <c r="G331" t="s">
        <v>103</v>
      </c>
      <c r="H331" t="s">
        <v>214</v>
      </c>
      <c r="I331" t="s">
        <v>29</v>
      </c>
      <c r="J331" t="s">
        <v>30</v>
      </c>
      <c r="K331">
        <v>5</v>
      </c>
      <c r="L331">
        <v>47</v>
      </c>
      <c r="M331">
        <v>36400</v>
      </c>
      <c r="N331">
        <v>5500</v>
      </c>
      <c r="O331">
        <v>30900</v>
      </c>
      <c r="P331">
        <v>22200</v>
      </c>
      <c r="Q331">
        <v>8700</v>
      </c>
      <c r="R331">
        <v>28.16</v>
      </c>
      <c r="S331" t="s">
        <v>182</v>
      </c>
      <c r="T331">
        <v>1700</v>
      </c>
      <c r="U331">
        <v>4.0999999999999996</v>
      </c>
      <c r="V331" t="s">
        <v>82</v>
      </c>
    </row>
    <row r="332" spans="1:22" x14ac:dyDescent="0.3">
      <c r="A332" t="s">
        <v>3802</v>
      </c>
      <c r="B332" t="s">
        <v>2277</v>
      </c>
      <c r="C332" t="s">
        <v>2278</v>
      </c>
      <c r="D332" s="2">
        <v>45814</v>
      </c>
      <c r="E332" t="s">
        <v>26</v>
      </c>
      <c r="F332" t="s">
        <v>26</v>
      </c>
      <c r="G332" t="s">
        <v>147</v>
      </c>
      <c r="H332" t="s">
        <v>214</v>
      </c>
      <c r="I332" t="s">
        <v>29</v>
      </c>
      <c r="J332" t="s">
        <v>257</v>
      </c>
      <c r="K332">
        <v>9</v>
      </c>
      <c r="L332">
        <v>36</v>
      </c>
      <c r="M332">
        <v>86400</v>
      </c>
      <c r="N332">
        <v>8600</v>
      </c>
      <c r="O332">
        <v>77800</v>
      </c>
      <c r="P332">
        <v>59400</v>
      </c>
      <c r="Q332">
        <v>18400</v>
      </c>
      <c r="R332">
        <v>23.65</v>
      </c>
      <c r="S332" t="s">
        <v>182</v>
      </c>
      <c r="T332">
        <v>10500</v>
      </c>
      <c r="U332">
        <v>3.5</v>
      </c>
      <c r="V332" t="s">
        <v>114</v>
      </c>
    </row>
    <row r="333" spans="1:22" x14ac:dyDescent="0.3">
      <c r="A333" t="s">
        <v>1463</v>
      </c>
      <c r="B333" t="s">
        <v>1292</v>
      </c>
      <c r="C333" t="s">
        <v>1293</v>
      </c>
      <c r="D333" s="2">
        <v>45815</v>
      </c>
      <c r="E333" t="s">
        <v>244</v>
      </c>
      <c r="F333" t="s">
        <v>244</v>
      </c>
      <c r="G333" t="s">
        <v>580</v>
      </c>
      <c r="H333" t="s">
        <v>5470</v>
      </c>
      <c r="I333" t="s">
        <v>69</v>
      </c>
      <c r="J333" t="s">
        <v>162</v>
      </c>
      <c r="K333">
        <v>9</v>
      </c>
      <c r="L333">
        <v>56</v>
      </c>
      <c r="M333">
        <v>48200</v>
      </c>
      <c r="N333">
        <v>2400</v>
      </c>
      <c r="O333">
        <v>45800</v>
      </c>
      <c r="P333">
        <v>33000</v>
      </c>
      <c r="Q333">
        <v>12800</v>
      </c>
      <c r="R333">
        <v>27.95</v>
      </c>
      <c r="S333" t="s">
        <v>182</v>
      </c>
      <c r="T333">
        <v>7400</v>
      </c>
      <c r="U333">
        <v>4.7</v>
      </c>
      <c r="V333" t="s">
        <v>114</v>
      </c>
    </row>
    <row r="334" spans="1:22" x14ac:dyDescent="0.3">
      <c r="A334" t="s">
        <v>1866</v>
      </c>
      <c r="B334" t="s">
        <v>157</v>
      </c>
      <c r="C334" t="s">
        <v>158</v>
      </c>
      <c r="D334" s="2">
        <v>45815</v>
      </c>
      <c r="E334" t="s">
        <v>26</v>
      </c>
      <c r="F334" t="s">
        <v>26</v>
      </c>
      <c r="G334" t="s">
        <v>48</v>
      </c>
      <c r="H334" t="s">
        <v>229</v>
      </c>
      <c r="I334" t="s">
        <v>29</v>
      </c>
      <c r="J334" t="s">
        <v>70</v>
      </c>
      <c r="K334">
        <v>8</v>
      </c>
      <c r="L334">
        <v>72</v>
      </c>
      <c r="M334">
        <v>45000</v>
      </c>
      <c r="N334">
        <v>9000</v>
      </c>
      <c r="O334">
        <v>36000</v>
      </c>
      <c r="P334">
        <v>26000</v>
      </c>
      <c r="Q334">
        <v>10000</v>
      </c>
      <c r="R334">
        <v>27.78</v>
      </c>
      <c r="S334" t="s">
        <v>126</v>
      </c>
      <c r="T334">
        <v>5600</v>
      </c>
      <c r="U334">
        <v>2.5</v>
      </c>
      <c r="V334" t="s">
        <v>42</v>
      </c>
    </row>
    <row r="335" spans="1:22" x14ac:dyDescent="0.3">
      <c r="A335" t="s">
        <v>3758</v>
      </c>
      <c r="B335" t="s">
        <v>3638</v>
      </c>
      <c r="C335" t="s">
        <v>3639</v>
      </c>
      <c r="D335" s="2">
        <v>45815</v>
      </c>
      <c r="E335" t="s">
        <v>26</v>
      </c>
      <c r="F335" t="s">
        <v>26</v>
      </c>
      <c r="G335" t="s">
        <v>580</v>
      </c>
      <c r="H335" t="s">
        <v>268</v>
      </c>
      <c r="I335" t="s">
        <v>29</v>
      </c>
      <c r="J335" t="s">
        <v>30</v>
      </c>
      <c r="K335">
        <v>2</v>
      </c>
      <c r="L335">
        <v>20</v>
      </c>
      <c r="M335">
        <v>50100</v>
      </c>
      <c r="N335">
        <v>0</v>
      </c>
      <c r="O335">
        <v>50100</v>
      </c>
      <c r="P335">
        <v>23500</v>
      </c>
      <c r="Q335">
        <v>26600</v>
      </c>
      <c r="R335">
        <v>53.09</v>
      </c>
      <c r="S335" t="s">
        <v>182</v>
      </c>
      <c r="T335">
        <v>6200</v>
      </c>
      <c r="U335">
        <v>4.5</v>
      </c>
      <c r="V335" t="s">
        <v>42</v>
      </c>
    </row>
    <row r="336" spans="1:22" x14ac:dyDescent="0.3">
      <c r="A336" t="s">
        <v>3488</v>
      </c>
      <c r="B336" t="s">
        <v>1373</v>
      </c>
      <c r="C336" t="s">
        <v>1374</v>
      </c>
      <c r="D336" s="2">
        <v>45817</v>
      </c>
      <c r="E336" t="s">
        <v>282</v>
      </c>
      <c r="F336" t="s">
        <v>282</v>
      </c>
      <c r="G336" t="s">
        <v>118</v>
      </c>
      <c r="H336" t="s">
        <v>268</v>
      </c>
      <c r="I336" t="s">
        <v>29</v>
      </c>
      <c r="J336" t="s">
        <v>257</v>
      </c>
      <c r="K336">
        <v>2</v>
      </c>
      <c r="L336">
        <v>28</v>
      </c>
      <c r="M336">
        <v>106900</v>
      </c>
      <c r="N336">
        <v>5300</v>
      </c>
      <c r="O336">
        <v>101600</v>
      </c>
      <c r="P336">
        <v>69600</v>
      </c>
      <c r="Q336">
        <v>32000</v>
      </c>
      <c r="R336">
        <v>31.5</v>
      </c>
      <c r="S336" t="s">
        <v>58</v>
      </c>
      <c r="T336">
        <v>11500</v>
      </c>
      <c r="U336">
        <v>3.7</v>
      </c>
      <c r="V336" t="s">
        <v>82</v>
      </c>
    </row>
    <row r="337" spans="1:22" x14ac:dyDescent="0.3">
      <c r="A337" t="s">
        <v>5419</v>
      </c>
      <c r="B337" t="s">
        <v>2585</v>
      </c>
      <c r="C337" t="s">
        <v>2586</v>
      </c>
      <c r="D337" s="2">
        <v>45818</v>
      </c>
      <c r="E337" t="s">
        <v>188</v>
      </c>
      <c r="F337" t="s">
        <v>188</v>
      </c>
      <c r="G337" t="s">
        <v>213</v>
      </c>
      <c r="H337" t="s">
        <v>214</v>
      </c>
      <c r="I337" t="s">
        <v>69</v>
      </c>
      <c r="J337" t="s">
        <v>162</v>
      </c>
      <c r="K337">
        <v>8</v>
      </c>
      <c r="L337">
        <v>48</v>
      </c>
      <c r="M337">
        <v>38200</v>
      </c>
      <c r="N337">
        <v>0</v>
      </c>
      <c r="O337">
        <v>38200</v>
      </c>
      <c r="P337">
        <v>22800</v>
      </c>
      <c r="Q337">
        <v>15400</v>
      </c>
      <c r="R337">
        <v>40.31</v>
      </c>
      <c r="S337" t="s">
        <v>39</v>
      </c>
      <c r="T337">
        <v>5100</v>
      </c>
      <c r="U337">
        <v>4.8</v>
      </c>
      <c r="V337" t="s">
        <v>114</v>
      </c>
    </row>
    <row r="338" spans="1:22" x14ac:dyDescent="0.3">
      <c r="A338" t="s">
        <v>5000</v>
      </c>
      <c r="B338" t="s">
        <v>409</v>
      </c>
      <c r="C338" t="s">
        <v>410</v>
      </c>
      <c r="D338" s="2">
        <v>45820</v>
      </c>
      <c r="E338" t="s">
        <v>188</v>
      </c>
      <c r="F338" t="s">
        <v>188</v>
      </c>
      <c r="G338" t="s">
        <v>27</v>
      </c>
      <c r="H338" t="s">
        <v>68</v>
      </c>
      <c r="I338" t="s">
        <v>29</v>
      </c>
      <c r="J338" t="s">
        <v>30</v>
      </c>
      <c r="K338">
        <v>8</v>
      </c>
      <c r="L338">
        <v>58</v>
      </c>
      <c r="M338">
        <v>51800</v>
      </c>
      <c r="N338">
        <v>0</v>
      </c>
      <c r="O338">
        <v>51800</v>
      </c>
      <c r="P338">
        <v>30900</v>
      </c>
      <c r="Q338">
        <v>20900</v>
      </c>
      <c r="R338">
        <v>40.35</v>
      </c>
      <c r="S338" t="s">
        <v>126</v>
      </c>
      <c r="T338">
        <v>6900</v>
      </c>
      <c r="V338" t="s">
        <v>82</v>
      </c>
    </row>
    <row r="339" spans="1:22" x14ac:dyDescent="0.3">
      <c r="A339" t="s">
        <v>2358</v>
      </c>
      <c r="B339" t="s">
        <v>302</v>
      </c>
      <c r="C339" t="s">
        <v>303</v>
      </c>
      <c r="D339" s="2">
        <v>45820</v>
      </c>
      <c r="E339" t="s">
        <v>244</v>
      </c>
      <c r="F339" t="s">
        <v>244</v>
      </c>
      <c r="G339" t="s">
        <v>213</v>
      </c>
      <c r="H339" t="s">
        <v>88</v>
      </c>
      <c r="I339" t="s">
        <v>69</v>
      </c>
      <c r="J339" t="s">
        <v>30</v>
      </c>
      <c r="K339">
        <v>3</v>
      </c>
      <c r="L339">
        <v>61</v>
      </c>
      <c r="M339">
        <v>86900</v>
      </c>
      <c r="N339">
        <v>17400</v>
      </c>
      <c r="O339">
        <v>69500</v>
      </c>
      <c r="P339">
        <v>56700</v>
      </c>
      <c r="Q339">
        <v>12800</v>
      </c>
      <c r="R339">
        <v>18.420000000000002</v>
      </c>
      <c r="S339" t="s">
        <v>79</v>
      </c>
      <c r="T339">
        <v>7200</v>
      </c>
      <c r="U339">
        <v>4.2</v>
      </c>
      <c r="V339" t="s">
        <v>114</v>
      </c>
    </row>
    <row r="340" spans="1:22" x14ac:dyDescent="0.3">
      <c r="A340" t="s">
        <v>5259</v>
      </c>
      <c r="B340" t="s">
        <v>2675</v>
      </c>
      <c r="C340" t="s">
        <v>2676</v>
      </c>
      <c r="D340" s="2">
        <v>45821</v>
      </c>
      <c r="E340" t="s">
        <v>134</v>
      </c>
      <c r="F340" t="s">
        <v>134</v>
      </c>
      <c r="G340" t="s">
        <v>103</v>
      </c>
      <c r="H340" t="s">
        <v>229</v>
      </c>
      <c r="I340" t="s">
        <v>69</v>
      </c>
      <c r="J340" t="s">
        <v>30</v>
      </c>
      <c r="K340">
        <v>8</v>
      </c>
      <c r="L340">
        <v>55</v>
      </c>
      <c r="M340">
        <v>36300</v>
      </c>
      <c r="N340">
        <v>5400</v>
      </c>
      <c r="O340">
        <v>30900</v>
      </c>
      <c r="P340">
        <v>19100</v>
      </c>
      <c r="Q340">
        <v>11800</v>
      </c>
      <c r="R340">
        <v>38.19</v>
      </c>
      <c r="S340" t="s">
        <v>39</v>
      </c>
      <c r="T340">
        <v>3100</v>
      </c>
      <c r="U340">
        <v>2.6</v>
      </c>
      <c r="V340" t="s">
        <v>114</v>
      </c>
    </row>
    <row r="341" spans="1:22" x14ac:dyDescent="0.3">
      <c r="A341" t="s">
        <v>3404</v>
      </c>
      <c r="B341" t="s">
        <v>595</v>
      </c>
      <c r="C341" t="s">
        <v>596</v>
      </c>
      <c r="D341" s="2">
        <v>45821</v>
      </c>
      <c r="E341" t="s">
        <v>282</v>
      </c>
      <c r="F341" t="s">
        <v>282</v>
      </c>
      <c r="G341" t="s">
        <v>67</v>
      </c>
      <c r="H341" t="s">
        <v>49</v>
      </c>
      <c r="I341" t="s">
        <v>29</v>
      </c>
      <c r="J341" t="s">
        <v>30</v>
      </c>
      <c r="K341">
        <v>2</v>
      </c>
      <c r="L341">
        <v>27</v>
      </c>
      <c r="M341">
        <v>37700</v>
      </c>
      <c r="N341">
        <v>0</v>
      </c>
      <c r="O341">
        <v>37700</v>
      </c>
      <c r="P341">
        <v>18600</v>
      </c>
      <c r="Q341">
        <v>19100</v>
      </c>
      <c r="R341">
        <v>50.66</v>
      </c>
      <c r="S341" t="s">
        <v>58</v>
      </c>
      <c r="T341">
        <v>4700</v>
      </c>
      <c r="U341">
        <v>3.9</v>
      </c>
      <c r="V341" t="s">
        <v>82</v>
      </c>
    </row>
    <row r="342" spans="1:22" x14ac:dyDescent="0.3">
      <c r="A342" t="s">
        <v>1551</v>
      </c>
      <c r="B342" t="s">
        <v>312</v>
      </c>
      <c r="C342" t="s">
        <v>313</v>
      </c>
      <c r="D342" s="2">
        <v>45821</v>
      </c>
      <c r="E342" t="s">
        <v>188</v>
      </c>
      <c r="F342" t="s">
        <v>188</v>
      </c>
      <c r="G342" t="s">
        <v>580</v>
      </c>
      <c r="H342" t="s">
        <v>268</v>
      </c>
      <c r="I342" t="s">
        <v>29</v>
      </c>
      <c r="J342" t="s">
        <v>257</v>
      </c>
      <c r="K342">
        <v>9</v>
      </c>
      <c r="L342">
        <v>24</v>
      </c>
      <c r="M342">
        <v>44000</v>
      </c>
      <c r="N342">
        <v>6600</v>
      </c>
      <c r="O342">
        <v>37400</v>
      </c>
      <c r="P342">
        <v>28700</v>
      </c>
      <c r="Q342">
        <v>8700</v>
      </c>
      <c r="R342">
        <v>23.26</v>
      </c>
      <c r="S342" t="s">
        <v>58</v>
      </c>
      <c r="T342">
        <v>4600</v>
      </c>
      <c r="U342">
        <v>4.3</v>
      </c>
      <c r="V342" t="s">
        <v>42</v>
      </c>
    </row>
    <row r="343" spans="1:22" x14ac:dyDescent="0.3">
      <c r="A343" t="s">
        <v>5165</v>
      </c>
      <c r="B343" t="s">
        <v>1638</v>
      </c>
      <c r="C343" t="s">
        <v>1639</v>
      </c>
      <c r="D343" s="2">
        <v>45822</v>
      </c>
      <c r="E343" t="s">
        <v>26</v>
      </c>
      <c r="F343" t="s">
        <v>26</v>
      </c>
      <c r="G343" t="s">
        <v>147</v>
      </c>
      <c r="H343" t="s">
        <v>28</v>
      </c>
      <c r="I343" t="s">
        <v>29</v>
      </c>
      <c r="J343" t="s">
        <v>70</v>
      </c>
      <c r="K343">
        <v>7</v>
      </c>
      <c r="L343">
        <v>16</v>
      </c>
      <c r="M343">
        <v>36900</v>
      </c>
      <c r="N343">
        <v>5500</v>
      </c>
      <c r="O343">
        <v>31400</v>
      </c>
      <c r="P343">
        <v>17200</v>
      </c>
      <c r="Q343">
        <v>14200</v>
      </c>
      <c r="R343">
        <v>45.22</v>
      </c>
      <c r="S343" t="s">
        <v>97</v>
      </c>
      <c r="T343">
        <v>1800</v>
      </c>
      <c r="U343">
        <v>4.0999999999999996</v>
      </c>
      <c r="V343" t="s">
        <v>79</v>
      </c>
    </row>
    <row r="344" spans="1:22" x14ac:dyDescent="0.3">
      <c r="A344" t="s">
        <v>4480</v>
      </c>
      <c r="B344" t="s">
        <v>3595</v>
      </c>
      <c r="C344" t="s">
        <v>3596</v>
      </c>
      <c r="D344" s="2">
        <v>45823</v>
      </c>
      <c r="E344" t="s">
        <v>244</v>
      </c>
      <c r="F344" t="s">
        <v>244</v>
      </c>
      <c r="G344" t="s">
        <v>27</v>
      </c>
      <c r="H344" t="s">
        <v>49</v>
      </c>
      <c r="I344" t="s">
        <v>29</v>
      </c>
      <c r="J344" t="s">
        <v>70</v>
      </c>
      <c r="K344">
        <v>4</v>
      </c>
      <c r="L344">
        <v>53</v>
      </c>
      <c r="M344">
        <v>44900</v>
      </c>
      <c r="N344">
        <v>0</v>
      </c>
      <c r="O344">
        <v>44900</v>
      </c>
      <c r="P344">
        <v>35100</v>
      </c>
      <c r="Q344">
        <v>9800</v>
      </c>
      <c r="R344">
        <v>21.83</v>
      </c>
      <c r="S344" t="s">
        <v>79</v>
      </c>
      <c r="T344">
        <v>4200</v>
      </c>
      <c r="U344">
        <v>4.3</v>
      </c>
      <c r="V344" t="s">
        <v>114</v>
      </c>
    </row>
    <row r="345" spans="1:22" x14ac:dyDescent="0.3">
      <c r="A345" t="s">
        <v>3328</v>
      </c>
      <c r="B345" t="s">
        <v>2478</v>
      </c>
      <c r="C345" t="s">
        <v>2479</v>
      </c>
      <c r="D345" s="2">
        <v>45823</v>
      </c>
      <c r="E345" t="s">
        <v>188</v>
      </c>
      <c r="F345" t="s">
        <v>188</v>
      </c>
      <c r="G345" t="s">
        <v>48</v>
      </c>
      <c r="H345" t="s">
        <v>28</v>
      </c>
      <c r="I345" t="s">
        <v>29</v>
      </c>
      <c r="J345" t="s">
        <v>30</v>
      </c>
      <c r="K345">
        <v>3</v>
      </c>
      <c r="L345">
        <v>43</v>
      </c>
      <c r="M345">
        <v>47700</v>
      </c>
      <c r="N345">
        <v>9500</v>
      </c>
      <c r="O345">
        <v>38200</v>
      </c>
      <c r="P345">
        <v>39000</v>
      </c>
      <c r="Q345">
        <v>-800</v>
      </c>
      <c r="R345">
        <v>-2.09</v>
      </c>
      <c r="S345" t="s">
        <v>126</v>
      </c>
      <c r="T345">
        <v>4300</v>
      </c>
      <c r="U345">
        <v>4</v>
      </c>
      <c r="V345" t="s">
        <v>42</v>
      </c>
    </row>
    <row r="346" spans="1:22" x14ac:dyDescent="0.3">
      <c r="A346" t="s">
        <v>3140</v>
      </c>
      <c r="B346" t="s">
        <v>484</v>
      </c>
      <c r="C346" t="s">
        <v>485</v>
      </c>
      <c r="D346" s="2">
        <v>45823</v>
      </c>
      <c r="E346" t="s">
        <v>161</v>
      </c>
      <c r="F346" t="s">
        <v>161</v>
      </c>
      <c r="G346" t="s">
        <v>213</v>
      </c>
      <c r="H346" t="s">
        <v>214</v>
      </c>
      <c r="I346" t="s">
        <v>29</v>
      </c>
      <c r="J346" t="s">
        <v>30</v>
      </c>
      <c r="K346">
        <v>6</v>
      </c>
      <c r="L346">
        <v>60</v>
      </c>
      <c r="M346">
        <v>30100</v>
      </c>
      <c r="N346">
        <v>0</v>
      </c>
      <c r="O346">
        <v>30100</v>
      </c>
      <c r="P346">
        <v>16200</v>
      </c>
      <c r="Q346">
        <v>13900</v>
      </c>
      <c r="R346">
        <v>46.18</v>
      </c>
      <c r="S346" t="s">
        <v>97</v>
      </c>
      <c r="T346">
        <v>3100</v>
      </c>
      <c r="U346">
        <v>4.2</v>
      </c>
      <c r="V346" t="s">
        <v>58</v>
      </c>
    </row>
    <row r="347" spans="1:22" x14ac:dyDescent="0.3">
      <c r="A347" t="s">
        <v>4283</v>
      </c>
      <c r="B347" t="s">
        <v>1722</v>
      </c>
      <c r="C347" t="s">
        <v>1723</v>
      </c>
      <c r="D347" s="2">
        <v>45823</v>
      </c>
      <c r="E347" t="s">
        <v>134</v>
      </c>
      <c r="F347" t="s">
        <v>134</v>
      </c>
      <c r="G347" t="s">
        <v>27</v>
      </c>
      <c r="H347" t="s">
        <v>5470</v>
      </c>
      <c r="I347" t="s">
        <v>69</v>
      </c>
      <c r="J347" t="s">
        <v>30</v>
      </c>
      <c r="K347">
        <v>3</v>
      </c>
      <c r="L347">
        <v>40</v>
      </c>
      <c r="M347">
        <v>51800</v>
      </c>
      <c r="N347">
        <v>7800</v>
      </c>
      <c r="O347">
        <v>44000</v>
      </c>
      <c r="P347">
        <v>33700</v>
      </c>
      <c r="Q347">
        <v>10300</v>
      </c>
      <c r="R347">
        <v>23.41</v>
      </c>
      <c r="S347" t="s">
        <v>182</v>
      </c>
      <c r="T347">
        <v>2300</v>
      </c>
      <c r="U347">
        <v>4.8</v>
      </c>
      <c r="V347" t="s">
        <v>82</v>
      </c>
    </row>
    <row r="348" spans="1:22" x14ac:dyDescent="0.3">
      <c r="A348" t="s">
        <v>3543</v>
      </c>
      <c r="B348" t="s">
        <v>2627</v>
      </c>
      <c r="C348" t="s">
        <v>2628</v>
      </c>
      <c r="D348" s="2">
        <v>45824</v>
      </c>
      <c r="E348" t="s">
        <v>244</v>
      </c>
      <c r="F348" t="s">
        <v>244</v>
      </c>
      <c r="G348" t="s">
        <v>213</v>
      </c>
      <c r="H348" t="s">
        <v>229</v>
      </c>
      <c r="I348" t="s">
        <v>29</v>
      </c>
      <c r="J348" t="s">
        <v>30</v>
      </c>
      <c r="K348">
        <v>2</v>
      </c>
      <c r="L348">
        <v>11</v>
      </c>
      <c r="M348">
        <v>46700</v>
      </c>
      <c r="N348">
        <v>4700</v>
      </c>
      <c r="O348">
        <v>42000</v>
      </c>
      <c r="P348">
        <v>24900</v>
      </c>
      <c r="Q348">
        <v>17100</v>
      </c>
      <c r="R348">
        <v>40.71</v>
      </c>
      <c r="S348" t="s">
        <v>79</v>
      </c>
      <c r="T348">
        <v>3800</v>
      </c>
      <c r="U348">
        <v>3.1</v>
      </c>
      <c r="V348" t="s">
        <v>42</v>
      </c>
    </row>
    <row r="349" spans="1:22" x14ac:dyDescent="0.3">
      <c r="A349" t="s">
        <v>3554</v>
      </c>
      <c r="B349" t="s">
        <v>1857</v>
      </c>
      <c r="C349" t="s">
        <v>1858</v>
      </c>
      <c r="D349" s="2">
        <v>45824</v>
      </c>
      <c r="E349" t="s">
        <v>161</v>
      </c>
      <c r="F349" t="s">
        <v>161</v>
      </c>
      <c r="G349" t="s">
        <v>103</v>
      </c>
      <c r="H349" t="s">
        <v>49</v>
      </c>
      <c r="I349" t="s">
        <v>69</v>
      </c>
      <c r="J349" t="s">
        <v>30</v>
      </c>
      <c r="K349">
        <v>3</v>
      </c>
      <c r="L349">
        <v>29</v>
      </c>
      <c r="M349">
        <v>36300</v>
      </c>
      <c r="N349">
        <v>5400</v>
      </c>
      <c r="O349">
        <v>30900</v>
      </c>
      <c r="P349">
        <v>27700</v>
      </c>
      <c r="Q349">
        <v>3200</v>
      </c>
      <c r="R349">
        <v>10.36</v>
      </c>
      <c r="S349" t="s">
        <v>182</v>
      </c>
      <c r="T349">
        <v>4200</v>
      </c>
      <c r="U349">
        <v>4.5999999999999996</v>
      </c>
      <c r="V349" t="s">
        <v>58</v>
      </c>
    </row>
    <row r="350" spans="1:22" x14ac:dyDescent="0.3">
      <c r="A350" t="s">
        <v>2372</v>
      </c>
      <c r="B350" t="s">
        <v>951</v>
      </c>
      <c r="C350" t="s">
        <v>952</v>
      </c>
      <c r="D350" s="2">
        <v>45825</v>
      </c>
      <c r="E350" t="s">
        <v>188</v>
      </c>
      <c r="F350" t="s">
        <v>188</v>
      </c>
      <c r="G350" t="s">
        <v>67</v>
      </c>
      <c r="H350" t="s">
        <v>88</v>
      </c>
      <c r="I350" t="s">
        <v>69</v>
      </c>
      <c r="J350" t="s">
        <v>70</v>
      </c>
      <c r="K350">
        <v>6</v>
      </c>
      <c r="L350">
        <v>50</v>
      </c>
      <c r="M350">
        <v>36900</v>
      </c>
      <c r="N350">
        <v>3700</v>
      </c>
      <c r="O350">
        <v>33200</v>
      </c>
      <c r="P350">
        <v>24400</v>
      </c>
      <c r="Q350">
        <v>8800</v>
      </c>
      <c r="R350">
        <v>26.51</v>
      </c>
      <c r="S350" t="s">
        <v>58</v>
      </c>
      <c r="T350">
        <v>3900</v>
      </c>
      <c r="U350">
        <v>4.2</v>
      </c>
      <c r="V350" t="s">
        <v>42</v>
      </c>
    </row>
    <row r="351" spans="1:22" x14ac:dyDescent="0.3">
      <c r="A351" t="s">
        <v>5149</v>
      </c>
      <c r="B351" t="s">
        <v>2514</v>
      </c>
      <c r="C351" t="s">
        <v>2515</v>
      </c>
      <c r="D351" s="2">
        <v>45825</v>
      </c>
      <c r="E351" t="s">
        <v>282</v>
      </c>
      <c r="F351" t="s">
        <v>282</v>
      </c>
      <c r="G351" t="s">
        <v>67</v>
      </c>
      <c r="H351" t="s">
        <v>5470</v>
      </c>
      <c r="I351" t="s">
        <v>69</v>
      </c>
      <c r="J351" t="s">
        <v>30</v>
      </c>
      <c r="K351">
        <v>4</v>
      </c>
      <c r="L351">
        <v>16</v>
      </c>
      <c r="M351">
        <v>28100</v>
      </c>
      <c r="N351">
        <v>2800</v>
      </c>
      <c r="O351">
        <v>25300</v>
      </c>
      <c r="P351">
        <v>20200</v>
      </c>
      <c r="Q351">
        <v>5100</v>
      </c>
      <c r="R351">
        <v>20.16</v>
      </c>
      <c r="S351" t="s">
        <v>58</v>
      </c>
      <c r="T351">
        <v>2400</v>
      </c>
      <c r="U351">
        <v>3.7</v>
      </c>
      <c r="V351" t="s">
        <v>82</v>
      </c>
    </row>
    <row r="352" spans="1:22" x14ac:dyDescent="0.3">
      <c r="A352" t="s">
        <v>4103</v>
      </c>
      <c r="B352" t="s">
        <v>756</v>
      </c>
      <c r="C352" t="s">
        <v>757</v>
      </c>
      <c r="D352" s="2">
        <v>45826</v>
      </c>
      <c r="E352" t="s">
        <v>161</v>
      </c>
      <c r="F352" t="s">
        <v>161</v>
      </c>
      <c r="G352" t="s">
        <v>580</v>
      </c>
      <c r="H352" t="s">
        <v>88</v>
      </c>
      <c r="I352" t="s">
        <v>69</v>
      </c>
      <c r="J352" t="s">
        <v>30</v>
      </c>
      <c r="K352">
        <v>6</v>
      </c>
      <c r="L352">
        <v>66</v>
      </c>
      <c r="M352">
        <v>64400</v>
      </c>
      <c r="N352">
        <v>0</v>
      </c>
      <c r="O352">
        <v>64400</v>
      </c>
      <c r="P352">
        <v>43000</v>
      </c>
      <c r="Q352">
        <v>21400</v>
      </c>
      <c r="R352">
        <v>33.229999999999997</v>
      </c>
      <c r="S352" t="s">
        <v>39</v>
      </c>
      <c r="T352">
        <v>6800</v>
      </c>
      <c r="U352">
        <v>4.3</v>
      </c>
      <c r="V352" t="s">
        <v>79</v>
      </c>
    </row>
    <row r="353" spans="1:22" x14ac:dyDescent="0.3">
      <c r="A353" t="s">
        <v>3618</v>
      </c>
      <c r="B353" t="s">
        <v>631</v>
      </c>
      <c r="C353" t="s">
        <v>632</v>
      </c>
      <c r="D353" s="2">
        <v>45826</v>
      </c>
      <c r="E353" t="s">
        <v>66</v>
      </c>
      <c r="F353" t="s">
        <v>66</v>
      </c>
      <c r="G353" t="s">
        <v>48</v>
      </c>
      <c r="H353" t="s">
        <v>214</v>
      </c>
      <c r="I353" t="s">
        <v>69</v>
      </c>
      <c r="J353" t="s">
        <v>30</v>
      </c>
      <c r="K353">
        <v>9</v>
      </c>
      <c r="L353">
        <v>45</v>
      </c>
      <c r="M353">
        <v>71900</v>
      </c>
      <c r="N353">
        <v>0</v>
      </c>
      <c r="O353">
        <v>71900</v>
      </c>
      <c r="P353">
        <v>34100</v>
      </c>
      <c r="Q353">
        <v>37800</v>
      </c>
      <c r="R353">
        <v>52.57</v>
      </c>
      <c r="S353" t="s">
        <v>39</v>
      </c>
      <c r="T353">
        <v>3300</v>
      </c>
      <c r="U353">
        <v>4.2</v>
      </c>
      <c r="V353" t="s">
        <v>58</v>
      </c>
    </row>
    <row r="354" spans="1:22" x14ac:dyDescent="0.3">
      <c r="A354" t="s">
        <v>1505</v>
      </c>
      <c r="B354" t="s">
        <v>1506</v>
      </c>
      <c r="C354" t="s">
        <v>1507</v>
      </c>
      <c r="D354" s="2">
        <v>45826</v>
      </c>
      <c r="E354" t="s">
        <v>228</v>
      </c>
      <c r="F354" t="s">
        <v>228</v>
      </c>
      <c r="G354" t="s">
        <v>118</v>
      </c>
      <c r="H354" t="s">
        <v>268</v>
      </c>
      <c r="I354" t="s">
        <v>29</v>
      </c>
      <c r="J354" t="s">
        <v>30</v>
      </c>
      <c r="K354">
        <v>4</v>
      </c>
      <c r="L354">
        <v>35</v>
      </c>
      <c r="M354">
        <v>15000</v>
      </c>
      <c r="N354">
        <v>0</v>
      </c>
      <c r="O354">
        <v>15000</v>
      </c>
      <c r="P354">
        <v>10900</v>
      </c>
      <c r="Q354">
        <v>4100</v>
      </c>
      <c r="R354">
        <v>27.33</v>
      </c>
      <c r="S354" t="s">
        <v>39</v>
      </c>
      <c r="T354">
        <v>1000</v>
      </c>
      <c r="U354">
        <v>4</v>
      </c>
      <c r="V354" t="s">
        <v>82</v>
      </c>
    </row>
    <row r="355" spans="1:22" x14ac:dyDescent="0.3">
      <c r="A355" t="s">
        <v>4630</v>
      </c>
      <c r="B355" t="s">
        <v>2057</v>
      </c>
      <c r="C355" t="s">
        <v>2058</v>
      </c>
      <c r="D355" s="2">
        <v>45826</v>
      </c>
      <c r="E355" t="s">
        <v>66</v>
      </c>
      <c r="F355" t="s">
        <v>66</v>
      </c>
      <c r="G355" t="s">
        <v>27</v>
      </c>
      <c r="H355" t="s">
        <v>68</v>
      </c>
      <c r="I355" t="s">
        <v>69</v>
      </c>
      <c r="J355" t="s">
        <v>257</v>
      </c>
      <c r="K355">
        <v>6</v>
      </c>
      <c r="L355">
        <v>72</v>
      </c>
      <c r="M355">
        <v>46500</v>
      </c>
      <c r="N355">
        <v>9300</v>
      </c>
      <c r="O355">
        <v>37200</v>
      </c>
      <c r="P355">
        <v>24800</v>
      </c>
      <c r="Q355">
        <v>12400</v>
      </c>
      <c r="R355">
        <v>33.33</v>
      </c>
      <c r="S355" t="s">
        <v>58</v>
      </c>
      <c r="T355">
        <v>1800</v>
      </c>
      <c r="U355">
        <v>3.4</v>
      </c>
      <c r="V355" t="s">
        <v>42</v>
      </c>
    </row>
    <row r="356" spans="1:22" x14ac:dyDescent="0.3">
      <c r="A356" t="s">
        <v>2513</v>
      </c>
      <c r="B356" t="s">
        <v>2514</v>
      </c>
      <c r="C356" t="s">
        <v>2515</v>
      </c>
      <c r="D356" s="2">
        <v>45827</v>
      </c>
      <c r="E356" t="s">
        <v>282</v>
      </c>
      <c r="F356" t="s">
        <v>282</v>
      </c>
      <c r="G356" t="s">
        <v>103</v>
      </c>
      <c r="H356" t="s">
        <v>229</v>
      </c>
      <c r="I356" t="s">
        <v>69</v>
      </c>
      <c r="J356" t="s">
        <v>70</v>
      </c>
      <c r="K356">
        <v>3</v>
      </c>
      <c r="L356">
        <v>66</v>
      </c>
      <c r="M356">
        <v>29500</v>
      </c>
      <c r="N356">
        <v>0</v>
      </c>
      <c r="O356">
        <v>29500</v>
      </c>
      <c r="P356">
        <v>20100</v>
      </c>
      <c r="Q356">
        <v>9400</v>
      </c>
      <c r="R356">
        <v>31.86</v>
      </c>
      <c r="S356" t="s">
        <v>126</v>
      </c>
      <c r="T356">
        <v>4200</v>
      </c>
      <c r="U356">
        <v>3.8</v>
      </c>
      <c r="V356" t="s">
        <v>42</v>
      </c>
    </row>
    <row r="357" spans="1:22" x14ac:dyDescent="0.3">
      <c r="A357" t="s">
        <v>994</v>
      </c>
      <c r="B357" t="s">
        <v>995</v>
      </c>
      <c r="C357" t="s">
        <v>996</v>
      </c>
      <c r="D357" s="2">
        <v>45828</v>
      </c>
      <c r="E357" t="s">
        <v>26</v>
      </c>
      <c r="F357" t="s">
        <v>26</v>
      </c>
      <c r="G357" t="s">
        <v>118</v>
      </c>
      <c r="H357" t="s">
        <v>88</v>
      </c>
      <c r="I357" t="s">
        <v>69</v>
      </c>
      <c r="J357" t="s">
        <v>162</v>
      </c>
      <c r="K357">
        <v>6</v>
      </c>
      <c r="L357">
        <v>22</v>
      </c>
      <c r="M357">
        <v>30100</v>
      </c>
      <c r="N357">
        <v>0</v>
      </c>
      <c r="O357">
        <v>30100</v>
      </c>
      <c r="P357">
        <v>18300</v>
      </c>
      <c r="Q357">
        <v>11800</v>
      </c>
      <c r="R357">
        <v>39.200000000000003</v>
      </c>
      <c r="S357" t="s">
        <v>126</v>
      </c>
      <c r="T357">
        <v>4500</v>
      </c>
      <c r="U357">
        <v>3.3</v>
      </c>
      <c r="V357" t="s">
        <v>82</v>
      </c>
    </row>
    <row r="358" spans="1:22" x14ac:dyDescent="0.3">
      <c r="A358" t="s">
        <v>4843</v>
      </c>
      <c r="B358" t="s">
        <v>1245</v>
      </c>
      <c r="C358" t="s">
        <v>1246</v>
      </c>
      <c r="D358" s="2">
        <v>45828</v>
      </c>
      <c r="E358" t="s">
        <v>244</v>
      </c>
      <c r="F358" t="s">
        <v>244</v>
      </c>
      <c r="G358" t="s">
        <v>48</v>
      </c>
      <c r="H358" t="s">
        <v>229</v>
      </c>
      <c r="I358" t="s">
        <v>69</v>
      </c>
      <c r="J358" t="s">
        <v>30</v>
      </c>
      <c r="K358">
        <v>3</v>
      </c>
      <c r="L358">
        <v>46</v>
      </c>
      <c r="M358">
        <v>115500</v>
      </c>
      <c r="N358">
        <v>11600</v>
      </c>
      <c r="O358">
        <v>103900</v>
      </c>
      <c r="P358">
        <v>88000</v>
      </c>
      <c r="Q358">
        <v>15900</v>
      </c>
      <c r="R358">
        <v>15.3</v>
      </c>
      <c r="S358" t="s">
        <v>79</v>
      </c>
      <c r="T358">
        <v>17900</v>
      </c>
      <c r="U358">
        <v>4.5999999999999996</v>
      </c>
      <c r="V358" t="s">
        <v>79</v>
      </c>
    </row>
    <row r="359" spans="1:22" x14ac:dyDescent="0.3">
      <c r="A359" t="s">
        <v>3304</v>
      </c>
      <c r="B359" t="s">
        <v>1359</v>
      </c>
      <c r="C359" t="s">
        <v>1360</v>
      </c>
      <c r="D359" s="2">
        <v>45829</v>
      </c>
      <c r="E359" t="s">
        <v>26</v>
      </c>
      <c r="F359" t="s">
        <v>26</v>
      </c>
      <c r="G359" t="s">
        <v>580</v>
      </c>
      <c r="H359" t="s">
        <v>49</v>
      </c>
      <c r="I359" t="s">
        <v>29</v>
      </c>
      <c r="J359" t="s">
        <v>30</v>
      </c>
      <c r="K359">
        <v>9</v>
      </c>
      <c r="L359">
        <v>25</v>
      </c>
      <c r="M359">
        <v>29000</v>
      </c>
      <c r="N359">
        <v>2900</v>
      </c>
      <c r="O359">
        <v>26100</v>
      </c>
      <c r="P359">
        <v>22200</v>
      </c>
      <c r="Q359">
        <v>3900</v>
      </c>
      <c r="R359">
        <v>14.94</v>
      </c>
      <c r="S359" t="s">
        <v>58</v>
      </c>
      <c r="T359">
        <v>1300</v>
      </c>
      <c r="U359">
        <v>4.5999999999999996</v>
      </c>
      <c r="V359" t="s">
        <v>79</v>
      </c>
    </row>
    <row r="360" spans="1:22" x14ac:dyDescent="0.3">
      <c r="A360" t="s">
        <v>3549</v>
      </c>
      <c r="B360" t="s">
        <v>240</v>
      </c>
      <c r="C360" t="s">
        <v>241</v>
      </c>
      <c r="D360" s="2">
        <v>45829</v>
      </c>
      <c r="E360" t="s">
        <v>26</v>
      </c>
      <c r="F360" t="s">
        <v>26</v>
      </c>
      <c r="G360" t="s">
        <v>67</v>
      </c>
      <c r="H360" t="s">
        <v>268</v>
      </c>
      <c r="I360" t="s">
        <v>69</v>
      </c>
      <c r="J360" t="s">
        <v>30</v>
      </c>
      <c r="K360">
        <v>10</v>
      </c>
      <c r="L360">
        <v>79</v>
      </c>
      <c r="M360">
        <v>19700</v>
      </c>
      <c r="N360">
        <v>0</v>
      </c>
      <c r="O360">
        <v>19700</v>
      </c>
      <c r="P360">
        <v>13500</v>
      </c>
      <c r="Q360">
        <v>6200</v>
      </c>
      <c r="R360">
        <v>31.47</v>
      </c>
      <c r="S360" t="s">
        <v>97</v>
      </c>
      <c r="T360">
        <v>3000</v>
      </c>
      <c r="U360">
        <v>3.8</v>
      </c>
      <c r="V360" t="s">
        <v>82</v>
      </c>
    </row>
    <row r="361" spans="1:22" x14ac:dyDescent="0.3">
      <c r="A361" t="s">
        <v>2855</v>
      </c>
      <c r="B361" t="s">
        <v>2856</v>
      </c>
      <c r="C361" t="s">
        <v>2857</v>
      </c>
      <c r="D361" s="2">
        <v>45829</v>
      </c>
      <c r="E361" t="s">
        <v>282</v>
      </c>
      <c r="F361" t="s">
        <v>282</v>
      </c>
      <c r="G361" t="s">
        <v>103</v>
      </c>
      <c r="H361" t="s">
        <v>268</v>
      </c>
      <c r="I361" t="s">
        <v>69</v>
      </c>
      <c r="J361" t="s">
        <v>162</v>
      </c>
      <c r="K361">
        <v>4</v>
      </c>
      <c r="L361">
        <v>33</v>
      </c>
      <c r="M361">
        <v>45300</v>
      </c>
      <c r="N361">
        <v>0</v>
      </c>
      <c r="O361">
        <v>45300</v>
      </c>
      <c r="P361">
        <v>26600</v>
      </c>
      <c r="Q361">
        <v>18700</v>
      </c>
      <c r="R361">
        <v>41.28</v>
      </c>
      <c r="S361" t="s">
        <v>97</v>
      </c>
      <c r="T361">
        <v>5700</v>
      </c>
      <c r="U361">
        <v>3.2</v>
      </c>
      <c r="V361" t="s">
        <v>42</v>
      </c>
    </row>
    <row r="362" spans="1:22" x14ac:dyDescent="0.3">
      <c r="A362" t="s">
        <v>2923</v>
      </c>
      <c r="B362" t="s">
        <v>971</v>
      </c>
      <c r="C362" t="s">
        <v>972</v>
      </c>
      <c r="D362" s="2">
        <v>45829</v>
      </c>
      <c r="E362" t="s">
        <v>188</v>
      </c>
      <c r="F362" t="s">
        <v>188</v>
      </c>
      <c r="G362" t="s">
        <v>103</v>
      </c>
      <c r="H362" t="s">
        <v>88</v>
      </c>
      <c r="I362" t="s">
        <v>29</v>
      </c>
      <c r="J362" t="s">
        <v>30</v>
      </c>
      <c r="K362">
        <v>6</v>
      </c>
      <c r="L362">
        <v>6</v>
      </c>
      <c r="M362">
        <v>37700</v>
      </c>
      <c r="N362">
        <v>7500</v>
      </c>
      <c r="O362">
        <v>30200</v>
      </c>
      <c r="P362">
        <v>25700</v>
      </c>
      <c r="Q362">
        <v>4500</v>
      </c>
      <c r="R362">
        <v>14.9</v>
      </c>
      <c r="S362" t="s">
        <v>39</v>
      </c>
      <c r="T362">
        <v>1500</v>
      </c>
      <c r="V362" t="s">
        <v>58</v>
      </c>
    </row>
    <row r="363" spans="1:22" x14ac:dyDescent="0.3">
      <c r="A363" t="s">
        <v>3911</v>
      </c>
      <c r="B363" t="s">
        <v>2157</v>
      </c>
      <c r="C363" t="s">
        <v>2158</v>
      </c>
      <c r="D363" s="2">
        <v>45830</v>
      </c>
      <c r="E363" t="s">
        <v>26</v>
      </c>
      <c r="F363" t="s">
        <v>26</v>
      </c>
      <c r="G363" t="s">
        <v>27</v>
      </c>
      <c r="H363" t="s">
        <v>68</v>
      </c>
      <c r="I363" t="s">
        <v>69</v>
      </c>
      <c r="J363" t="s">
        <v>30</v>
      </c>
      <c r="K363">
        <v>6</v>
      </c>
      <c r="L363">
        <v>18</v>
      </c>
      <c r="M363">
        <v>67400</v>
      </c>
      <c r="N363">
        <v>0</v>
      </c>
      <c r="O363">
        <v>67400</v>
      </c>
      <c r="P363">
        <v>30700</v>
      </c>
      <c r="Q363">
        <v>36700</v>
      </c>
      <c r="R363">
        <v>54.45</v>
      </c>
      <c r="S363" t="s">
        <v>126</v>
      </c>
      <c r="T363">
        <v>3300</v>
      </c>
      <c r="U363">
        <v>5</v>
      </c>
      <c r="V363" t="s">
        <v>79</v>
      </c>
    </row>
    <row r="364" spans="1:22" x14ac:dyDescent="0.3">
      <c r="A364" t="s">
        <v>3603</v>
      </c>
      <c r="B364" t="s">
        <v>1945</v>
      </c>
      <c r="C364" t="s">
        <v>1946</v>
      </c>
      <c r="D364" s="2">
        <v>45830</v>
      </c>
      <c r="E364" t="s">
        <v>26</v>
      </c>
      <c r="F364" t="s">
        <v>26</v>
      </c>
      <c r="G364" t="s">
        <v>118</v>
      </c>
      <c r="H364" t="s">
        <v>49</v>
      </c>
      <c r="I364" t="s">
        <v>69</v>
      </c>
      <c r="J364" t="s">
        <v>30</v>
      </c>
      <c r="K364">
        <v>3</v>
      </c>
      <c r="L364">
        <v>35</v>
      </c>
      <c r="M364">
        <v>59500</v>
      </c>
      <c r="N364">
        <v>6000</v>
      </c>
      <c r="O364">
        <v>53500</v>
      </c>
      <c r="P364">
        <v>27500</v>
      </c>
      <c r="Q364">
        <v>26000</v>
      </c>
      <c r="R364">
        <v>48.6</v>
      </c>
      <c r="S364" t="s">
        <v>182</v>
      </c>
      <c r="T364">
        <v>5700</v>
      </c>
      <c r="U364">
        <v>4.5999999999999996</v>
      </c>
      <c r="V364" t="s">
        <v>79</v>
      </c>
    </row>
    <row r="365" spans="1:22" x14ac:dyDescent="0.3">
      <c r="A365" t="s">
        <v>4979</v>
      </c>
      <c r="B365" t="s">
        <v>1333</v>
      </c>
      <c r="C365" t="s">
        <v>1334</v>
      </c>
      <c r="D365" s="2">
        <v>45831</v>
      </c>
      <c r="E365" t="s">
        <v>244</v>
      </c>
      <c r="F365" t="s">
        <v>244</v>
      </c>
      <c r="G365" t="s">
        <v>580</v>
      </c>
      <c r="H365" t="s">
        <v>5470</v>
      </c>
      <c r="I365" t="s">
        <v>69</v>
      </c>
      <c r="J365" t="s">
        <v>30</v>
      </c>
      <c r="K365">
        <v>2</v>
      </c>
      <c r="L365">
        <v>43</v>
      </c>
      <c r="M365">
        <v>22900</v>
      </c>
      <c r="N365">
        <v>4600</v>
      </c>
      <c r="O365">
        <v>18300</v>
      </c>
      <c r="P365">
        <v>18600</v>
      </c>
      <c r="Q365">
        <v>-300</v>
      </c>
      <c r="R365">
        <v>-1.64</v>
      </c>
      <c r="S365" t="s">
        <v>97</v>
      </c>
      <c r="T365">
        <v>1800</v>
      </c>
      <c r="U365">
        <v>2.8</v>
      </c>
      <c r="V365" t="s">
        <v>114</v>
      </c>
    </row>
    <row r="366" spans="1:22" x14ac:dyDescent="0.3">
      <c r="A366" t="s">
        <v>3123</v>
      </c>
      <c r="B366" t="s">
        <v>444</v>
      </c>
      <c r="C366" t="s">
        <v>445</v>
      </c>
      <c r="D366" s="2">
        <v>45832</v>
      </c>
      <c r="E366" t="s">
        <v>161</v>
      </c>
      <c r="F366" t="s">
        <v>161</v>
      </c>
      <c r="G366" t="s">
        <v>213</v>
      </c>
      <c r="H366" t="s">
        <v>68</v>
      </c>
      <c r="I366" t="s">
        <v>29</v>
      </c>
      <c r="J366" t="s">
        <v>30</v>
      </c>
      <c r="K366">
        <v>7</v>
      </c>
      <c r="L366">
        <v>5</v>
      </c>
      <c r="M366">
        <v>61000</v>
      </c>
      <c r="N366">
        <v>3000</v>
      </c>
      <c r="O366">
        <v>58000</v>
      </c>
      <c r="P366">
        <v>36200</v>
      </c>
      <c r="Q366">
        <v>21800</v>
      </c>
      <c r="R366">
        <v>37.590000000000003</v>
      </c>
      <c r="S366" t="s">
        <v>79</v>
      </c>
      <c r="T366">
        <v>4900</v>
      </c>
      <c r="U366">
        <v>3.7</v>
      </c>
      <c r="V366" t="s">
        <v>114</v>
      </c>
    </row>
    <row r="367" spans="1:22" x14ac:dyDescent="0.3">
      <c r="A367" t="s">
        <v>2714</v>
      </c>
      <c r="B367" t="s">
        <v>2705</v>
      </c>
      <c r="C367" t="s">
        <v>2706</v>
      </c>
      <c r="D367" s="2">
        <v>45832</v>
      </c>
      <c r="E367" t="s">
        <v>282</v>
      </c>
      <c r="F367" t="s">
        <v>282</v>
      </c>
      <c r="G367" t="s">
        <v>213</v>
      </c>
      <c r="H367" t="s">
        <v>68</v>
      </c>
      <c r="I367" t="s">
        <v>69</v>
      </c>
      <c r="J367" t="s">
        <v>70</v>
      </c>
      <c r="K367">
        <v>5</v>
      </c>
      <c r="L367">
        <v>19</v>
      </c>
      <c r="M367">
        <v>21100</v>
      </c>
      <c r="N367">
        <v>0</v>
      </c>
      <c r="O367">
        <v>21100</v>
      </c>
      <c r="P367">
        <v>14100</v>
      </c>
      <c r="Q367">
        <v>7000</v>
      </c>
      <c r="R367">
        <v>33.18</v>
      </c>
      <c r="S367" t="s">
        <v>182</v>
      </c>
      <c r="T367">
        <v>2100</v>
      </c>
      <c r="U367">
        <v>4.3</v>
      </c>
      <c r="V367" t="s">
        <v>58</v>
      </c>
    </row>
    <row r="368" spans="1:22" x14ac:dyDescent="0.3">
      <c r="A368" t="s">
        <v>3053</v>
      </c>
      <c r="B368" t="s">
        <v>531</v>
      </c>
      <c r="C368" t="s">
        <v>532</v>
      </c>
      <c r="D368" s="2">
        <v>45832</v>
      </c>
      <c r="E368" t="s">
        <v>244</v>
      </c>
      <c r="F368" t="s">
        <v>244</v>
      </c>
      <c r="G368" t="s">
        <v>147</v>
      </c>
      <c r="H368" t="s">
        <v>214</v>
      </c>
      <c r="I368" t="s">
        <v>29</v>
      </c>
      <c r="J368" t="s">
        <v>30</v>
      </c>
      <c r="K368">
        <v>2</v>
      </c>
      <c r="L368">
        <v>73</v>
      </c>
      <c r="M368">
        <v>80800</v>
      </c>
      <c r="N368">
        <v>0</v>
      </c>
      <c r="O368">
        <v>80800</v>
      </c>
      <c r="P368">
        <v>37700</v>
      </c>
      <c r="Q368">
        <v>43100</v>
      </c>
      <c r="R368">
        <v>53.34</v>
      </c>
      <c r="S368" t="s">
        <v>97</v>
      </c>
      <c r="T368">
        <v>4600</v>
      </c>
      <c r="U368">
        <v>4.9000000000000004</v>
      </c>
      <c r="V368" t="s">
        <v>42</v>
      </c>
    </row>
    <row r="369" spans="1:22" x14ac:dyDescent="0.3">
      <c r="A369" t="s">
        <v>4107</v>
      </c>
      <c r="B369" t="s">
        <v>2470</v>
      </c>
      <c r="C369" t="s">
        <v>2471</v>
      </c>
      <c r="D369" s="2">
        <v>45832</v>
      </c>
      <c r="E369" t="s">
        <v>66</v>
      </c>
      <c r="F369" t="s">
        <v>66</v>
      </c>
      <c r="G369" t="s">
        <v>67</v>
      </c>
      <c r="H369" t="s">
        <v>5470</v>
      </c>
      <c r="I369" t="s">
        <v>29</v>
      </c>
      <c r="J369" t="s">
        <v>30</v>
      </c>
      <c r="K369">
        <v>2</v>
      </c>
      <c r="L369">
        <v>32</v>
      </c>
      <c r="M369">
        <v>32500</v>
      </c>
      <c r="N369">
        <v>4900</v>
      </c>
      <c r="O369">
        <v>27600</v>
      </c>
      <c r="P369">
        <v>18900</v>
      </c>
      <c r="Q369">
        <v>8700</v>
      </c>
      <c r="R369">
        <v>31.52</v>
      </c>
      <c r="S369" t="s">
        <v>182</v>
      </c>
      <c r="T369">
        <v>4700</v>
      </c>
      <c r="U369">
        <v>3.8</v>
      </c>
      <c r="V369" t="s">
        <v>79</v>
      </c>
    </row>
    <row r="370" spans="1:22" x14ac:dyDescent="0.3">
      <c r="A370" t="s">
        <v>4285</v>
      </c>
      <c r="B370" t="s">
        <v>4286</v>
      </c>
      <c r="C370" t="s">
        <v>4287</v>
      </c>
      <c r="D370" s="2">
        <v>45833</v>
      </c>
      <c r="E370" t="s">
        <v>188</v>
      </c>
      <c r="F370" t="s">
        <v>188</v>
      </c>
      <c r="G370" t="s">
        <v>103</v>
      </c>
      <c r="H370" t="s">
        <v>268</v>
      </c>
      <c r="I370" t="s">
        <v>69</v>
      </c>
      <c r="J370" t="s">
        <v>257</v>
      </c>
      <c r="K370">
        <v>8</v>
      </c>
      <c r="L370">
        <v>56</v>
      </c>
      <c r="M370">
        <v>31100</v>
      </c>
      <c r="N370">
        <v>0</v>
      </c>
      <c r="O370">
        <v>31100</v>
      </c>
      <c r="P370">
        <v>18400</v>
      </c>
      <c r="Q370">
        <v>12700</v>
      </c>
      <c r="R370">
        <v>40.840000000000003</v>
      </c>
      <c r="S370" t="s">
        <v>39</v>
      </c>
      <c r="T370">
        <v>4200</v>
      </c>
      <c r="U370">
        <v>4</v>
      </c>
      <c r="V370" t="s">
        <v>58</v>
      </c>
    </row>
    <row r="371" spans="1:22" x14ac:dyDescent="0.3">
      <c r="A371" t="s">
        <v>5013</v>
      </c>
      <c r="B371" t="s">
        <v>1479</v>
      </c>
      <c r="C371" t="s">
        <v>1480</v>
      </c>
      <c r="D371" s="2">
        <v>45834</v>
      </c>
      <c r="E371" t="s">
        <v>228</v>
      </c>
      <c r="F371" t="s">
        <v>228</v>
      </c>
      <c r="G371" t="s">
        <v>103</v>
      </c>
      <c r="H371" t="s">
        <v>49</v>
      </c>
      <c r="I371" t="s">
        <v>29</v>
      </c>
      <c r="J371" t="s">
        <v>30</v>
      </c>
      <c r="K371">
        <v>6</v>
      </c>
      <c r="L371">
        <v>35</v>
      </c>
      <c r="M371">
        <v>47400</v>
      </c>
      <c r="N371">
        <v>4700</v>
      </c>
      <c r="O371">
        <v>42700</v>
      </c>
      <c r="P371">
        <v>37000</v>
      </c>
      <c r="Q371">
        <v>5700</v>
      </c>
      <c r="R371">
        <v>13.35</v>
      </c>
      <c r="S371" t="s">
        <v>58</v>
      </c>
      <c r="T371">
        <v>7100</v>
      </c>
      <c r="U371">
        <v>3.4</v>
      </c>
      <c r="V371" t="s">
        <v>42</v>
      </c>
    </row>
    <row r="372" spans="1:22" x14ac:dyDescent="0.3">
      <c r="A372" t="s">
        <v>2342</v>
      </c>
      <c r="B372" t="s">
        <v>494</v>
      </c>
      <c r="C372" t="s">
        <v>495</v>
      </c>
      <c r="D372" s="2">
        <v>45834</v>
      </c>
      <c r="E372" t="s">
        <v>282</v>
      </c>
      <c r="F372" t="s">
        <v>282</v>
      </c>
      <c r="G372" t="s">
        <v>48</v>
      </c>
      <c r="H372" t="s">
        <v>88</v>
      </c>
      <c r="I372" t="s">
        <v>29</v>
      </c>
      <c r="J372" t="s">
        <v>30</v>
      </c>
      <c r="K372">
        <v>6</v>
      </c>
      <c r="L372">
        <v>23</v>
      </c>
      <c r="M372">
        <v>51200</v>
      </c>
      <c r="N372">
        <v>2600</v>
      </c>
      <c r="O372">
        <v>48600</v>
      </c>
      <c r="P372">
        <v>26100</v>
      </c>
      <c r="Q372">
        <v>22500</v>
      </c>
      <c r="R372">
        <v>46.3</v>
      </c>
      <c r="S372" t="s">
        <v>58</v>
      </c>
      <c r="T372">
        <v>5000</v>
      </c>
      <c r="U372">
        <v>4.8</v>
      </c>
      <c r="V372" t="s">
        <v>82</v>
      </c>
    </row>
    <row r="373" spans="1:22" x14ac:dyDescent="0.3">
      <c r="A373" t="s">
        <v>4123</v>
      </c>
      <c r="B373" t="s">
        <v>3638</v>
      </c>
      <c r="C373" t="s">
        <v>3639</v>
      </c>
      <c r="D373" s="2">
        <v>45835</v>
      </c>
      <c r="E373" t="s">
        <v>188</v>
      </c>
      <c r="F373" t="s">
        <v>188</v>
      </c>
      <c r="G373" t="s">
        <v>147</v>
      </c>
      <c r="H373" t="s">
        <v>28</v>
      </c>
      <c r="I373" t="s">
        <v>29</v>
      </c>
      <c r="J373" t="s">
        <v>30</v>
      </c>
      <c r="K373">
        <v>2</v>
      </c>
      <c r="L373">
        <v>63</v>
      </c>
      <c r="M373">
        <v>34000</v>
      </c>
      <c r="N373">
        <v>5100</v>
      </c>
      <c r="O373">
        <v>28900</v>
      </c>
      <c r="P373">
        <v>20900</v>
      </c>
      <c r="Q373">
        <v>8000</v>
      </c>
      <c r="R373">
        <v>27.68</v>
      </c>
      <c r="S373" t="s">
        <v>79</v>
      </c>
      <c r="T373">
        <v>3900</v>
      </c>
      <c r="U373">
        <v>3.4</v>
      </c>
      <c r="V373" t="s">
        <v>79</v>
      </c>
    </row>
    <row r="374" spans="1:22" x14ac:dyDescent="0.3">
      <c r="A374" t="s">
        <v>3820</v>
      </c>
      <c r="B374" t="s">
        <v>2954</v>
      </c>
      <c r="C374" t="s">
        <v>2955</v>
      </c>
      <c r="D374" s="2">
        <v>45835</v>
      </c>
      <c r="E374" t="s">
        <v>282</v>
      </c>
      <c r="F374" t="s">
        <v>282</v>
      </c>
      <c r="G374" t="s">
        <v>27</v>
      </c>
      <c r="H374" t="s">
        <v>28</v>
      </c>
      <c r="I374" t="s">
        <v>29</v>
      </c>
      <c r="J374" t="s">
        <v>30</v>
      </c>
      <c r="K374">
        <v>5</v>
      </c>
      <c r="L374">
        <v>7</v>
      </c>
      <c r="M374">
        <v>63500</v>
      </c>
      <c r="N374">
        <v>9500</v>
      </c>
      <c r="O374">
        <v>54000</v>
      </c>
      <c r="P374">
        <v>42900</v>
      </c>
      <c r="Q374">
        <v>11100</v>
      </c>
      <c r="R374">
        <v>20.56</v>
      </c>
      <c r="S374" t="s">
        <v>58</v>
      </c>
      <c r="T374">
        <v>3500</v>
      </c>
      <c r="U374">
        <v>3.2</v>
      </c>
      <c r="V374" t="s">
        <v>82</v>
      </c>
    </row>
    <row r="375" spans="1:22" x14ac:dyDescent="0.3">
      <c r="A375" t="s">
        <v>2195</v>
      </c>
      <c r="B375" t="s">
        <v>396</v>
      </c>
      <c r="C375" t="s">
        <v>397</v>
      </c>
      <c r="D375" s="2">
        <v>45836</v>
      </c>
      <c r="E375" t="s">
        <v>66</v>
      </c>
      <c r="F375" t="s">
        <v>66</v>
      </c>
      <c r="G375" t="s">
        <v>103</v>
      </c>
      <c r="H375" t="s">
        <v>5470</v>
      </c>
      <c r="I375" t="s">
        <v>29</v>
      </c>
      <c r="J375" t="s">
        <v>257</v>
      </c>
      <c r="K375">
        <v>2</v>
      </c>
      <c r="L375">
        <v>51</v>
      </c>
      <c r="M375">
        <v>24100</v>
      </c>
      <c r="N375">
        <v>2400</v>
      </c>
      <c r="O375">
        <v>21700</v>
      </c>
      <c r="P375">
        <v>18000</v>
      </c>
      <c r="Q375">
        <v>3700</v>
      </c>
      <c r="R375">
        <v>17.05</v>
      </c>
      <c r="S375" t="s">
        <v>58</v>
      </c>
      <c r="T375">
        <v>1900</v>
      </c>
      <c r="U375">
        <v>3.6</v>
      </c>
      <c r="V375" t="s">
        <v>42</v>
      </c>
    </row>
    <row r="376" spans="1:22" x14ac:dyDescent="0.3">
      <c r="A376" t="s">
        <v>5408</v>
      </c>
      <c r="B376" t="s">
        <v>615</v>
      </c>
      <c r="C376" t="s">
        <v>616</v>
      </c>
      <c r="D376" s="2">
        <v>45836</v>
      </c>
      <c r="E376" t="s">
        <v>66</v>
      </c>
      <c r="F376" t="s">
        <v>66</v>
      </c>
      <c r="G376" t="s">
        <v>118</v>
      </c>
      <c r="H376" t="s">
        <v>88</v>
      </c>
      <c r="I376" t="s">
        <v>69</v>
      </c>
      <c r="J376" t="s">
        <v>257</v>
      </c>
      <c r="K376">
        <v>8</v>
      </c>
      <c r="L376">
        <v>28</v>
      </c>
      <c r="M376">
        <v>33400</v>
      </c>
      <c r="N376">
        <v>0</v>
      </c>
      <c r="O376">
        <v>33400</v>
      </c>
      <c r="P376">
        <v>20600</v>
      </c>
      <c r="Q376">
        <v>12800</v>
      </c>
      <c r="R376">
        <v>38.32</v>
      </c>
      <c r="S376" t="s">
        <v>58</v>
      </c>
      <c r="T376">
        <v>1700</v>
      </c>
      <c r="U376">
        <v>5</v>
      </c>
      <c r="V376" t="s">
        <v>82</v>
      </c>
    </row>
    <row r="377" spans="1:22" x14ac:dyDescent="0.3">
      <c r="A377" t="s">
        <v>4097</v>
      </c>
      <c r="B377" t="s">
        <v>2822</v>
      </c>
      <c r="C377" t="s">
        <v>2823</v>
      </c>
      <c r="D377" s="2">
        <v>45837</v>
      </c>
      <c r="E377" t="s">
        <v>161</v>
      </c>
      <c r="F377" t="s">
        <v>161</v>
      </c>
      <c r="G377" t="s">
        <v>48</v>
      </c>
      <c r="H377" t="s">
        <v>214</v>
      </c>
      <c r="I377" t="s">
        <v>69</v>
      </c>
      <c r="J377" t="s">
        <v>30</v>
      </c>
      <c r="K377">
        <v>8</v>
      </c>
      <c r="L377">
        <v>5</v>
      </c>
      <c r="M377">
        <v>47700</v>
      </c>
      <c r="N377">
        <v>7200</v>
      </c>
      <c r="O377">
        <v>40500</v>
      </c>
      <c r="P377">
        <v>31400</v>
      </c>
      <c r="Q377">
        <v>9100</v>
      </c>
      <c r="R377">
        <v>22.47</v>
      </c>
      <c r="S377" t="s">
        <v>58</v>
      </c>
      <c r="T377">
        <v>1800</v>
      </c>
      <c r="U377">
        <v>3.6</v>
      </c>
      <c r="V377" t="s">
        <v>114</v>
      </c>
    </row>
    <row r="378" spans="1:22" x14ac:dyDescent="0.3">
      <c r="A378" t="s">
        <v>5050</v>
      </c>
      <c r="B378" t="s">
        <v>2270</v>
      </c>
      <c r="C378" t="s">
        <v>2271</v>
      </c>
      <c r="D378" s="2">
        <v>45837</v>
      </c>
      <c r="E378" t="s">
        <v>161</v>
      </c>
      <c r="F378" t="s">
        <v>161</v>
      </c>
      <c r="G378" t="s">
        <v>213</v>
      </c>
      <c r="H378" t="s">
        <v>214</v>
      </c>
      <c r="I378" t="s">
        <v>29</v>
      </c>
      <c r="J378" t="s">
        <v>30</v>
      </c>
      <c r="K378">
        <v>3</v>
      </c>
      <c r="L378">
        <v>24</v>
      </c>
      <c r="M378">
        <v>35700</v>
      </c>
      <c r="N378">
        <v>1800</v>
      </c>
      <c r="O378">
        <v>33900</v>
      </c>
      <c r="P378">
        <v>17800</v>
      </c>
      <c r="Q378">
        <v>16100</v>
      </c>
      <c r="R378">
        <v>47.49</v>
      </c>
      <c r="S378" t="s">
        <v>58</v>
      </c>
      <c r="T378">
        <v>1600</v>
      </c>
      <c r="U378">
        <v>4.0999999999999996</v>
      </c>
      <c r="V378" t="s">
        <v>82</v>
      </c>
    </row>
    <row r="379" spans="1:22" x14ac:dyDescent="0.3">
      <c r="A379" t="s">
        <v>3480</v>
      </c>
      <c r="B379" t="s">
        <v>763</v>
      </c>
      <c r="C379" t="s">
        <v>764</v>
      </c>
      <c r="D379" s="2">
        <v>45837</v>
      </c>
      <c r="E379" t="s">
        <v>66</v>
      </c>
      <c r="F379" t="s">
        <v>66</v>
      </c>
      <c r="G379" t="s">
        <v>147</v>
      </c>
      <c r="H379" t="s">
        <v>229</v>
      </c>
      <c r="I379" t="s">
        <v>29</v>
      </c>
      <c r="J379" t="s">
        <v>30</v>
      </c>
      <c r="K379">
        <v>4</v>
      </c>
      <c r="L379">
        <v>56</v>
      </c>
      <c r="M379">
        <v>20500</v>
      </c>
      <c r="N379">
        <v>3100</v>
      </c>
      <c r="O379">
        <v>17400</v>
      </c>
      <c r="P379">
        <v>16200</v>
      </c>
      <c r="Q379">
        <v>1200</v>
      </c>
      <c r="R379">
        <v>6.9</v>
      </c>
      <c r="S379" t="s">
        <v>182</v>
      </c>
      <c r="T379">
        <v>1400</v>
      </c>
      <c r="U379">
        <v>5</v>
      </c>
      <c r="V379" t="s">
        <v>114</v>
      </c>
    </row>
    <row r="380" spans="1:22" x14ac:dyDescent="0.3">
      <c r="A380" t="s">
        <v>4661</v>
      </c>
      <c r="B380" t="s">
        <v>4027</v>
      </c>
      <c r="C380" t="s">
        <v>4028</v>
      </c>
      <c r="D380" s="2">
        <v>45837</v>
      </c>
      <c r="E380" t="s">
        <v>282</v>
      </c>
      <c r="F380" t="s">
        <v>282</v>
      </c>
      <c r="G380" t="s">
        <v>118</v>
      </c>
      <c r="H380" t="s">
        <v>28</v>
      </c>
      <c r="I380" t="s">
        <v>69</v>
      </c>
      <c r="J380" t="s">
        <v>162</v>
      </c>
      <c r="K380">
        <v>6</v>
      </c>
      <c r="L380">
        <v>52</v>
      </c>
      <c r="M380">
        <v>26100</v>
      </c>
      <c r="N380">
        <v>0</v>
      </c>
      <c r="O380">
        <v>26100</v>
      </c>
      <c r="P380">
        <v>18400</v>
      </c>
      <c r="Q380">
        <v>7700</v>
      </c>
      <c r="R380">
        <v>29.5</v>
      </c>
      <c r="S380" t="s">
        <v>182</v>
      </c>
      <c r="T380">
        <v>1900</v>
      </c>
      <c r="U380">
        <v>4.4000000000000004</v>
      </c>
      <c r="V380" t="s">
        <v>79</v>
      </c>
    </row>
    <row r="381" spans="1:22" x14ac:dyDescent="0.3">
      <c r="A381" t="s">
        <v>2227</v>
      </c>
      <c r="B381" t="s">
        <v>1263</v>
      </c>
      <c r="C381" t="s">
        <v>1264</v>
      </c>
      <c r="D381" s="2">
        <v>45838</v>
      </c>
      <c r="E381" t="s">
        <v>188</v>
      </c>
      <c r="F381" t="s">
        <v>188</v>
      </c>
      <c r="G381" t="s">
        <v>147</v>
      </c>
      <c r="H381" t="s">
        <v>229</v>
      </c>
      <c r="I381" t="s">
        <v>29</v>
      </c>
      <c r="J381" t="s">
        <v>30</v>
      </c>
      <c r="K381">
        <v>5</v>
      </c>
      <c r="L381">
        <v>30</v>
      </c>
      <c r="M381">
        <v>58800</v>
      </c>
      <c r="N381">
        <v>0</v>
      </c>
      <c r="O381">
        <v>58800</v>
      </c>
      <c r="P381">
        <v>42400</v>
      </c>
      <c r="Q381">
        <v>16400</v>
      </c>
      <c r="R381">
        <v>27.89</v>
      </c>
      <c r="S381" t="s">
        <v>182</v>
      </c>
      <c r="T381">
        <v>9300</v>
      </c>
      <c r="U381">
        <v>3.9</v>
      </c>
      <c r="V381" t="s">
        <v>58</v>
      </c>
    </row>
    <row r="382" spans="1:22" x14ac:dyDescent="0.3">
      <c r="A382" t="s">
        <v>5098</v>
      </c>
      <c r="B382" t="s">
        <v>1409</v>
      </c>
      <c r="C382" t="s">
        <v>1410</v>
      </c>
      <c r="D382" s="2">
        <v>45839</v>
      </c>
      <c r="E382" t="s">
        <v>282</v>
      </c>
      <c r="F382" t="s">
        <v>282</v>
      </c>
      <c r="G382" t="s">
        <v>118</v>
      </c>
      <c r="H382" t="s">
        <v>68</v>
      </c>
      <c r="I382" t="s">
        <v>29</v>
      </c>
      <c r="J382" t="s">
        <v>30</v>
      </c>
      <c r="K382">
        <v>9</v>
      </c>
      <c r="L382">
        <v>43</v>
      </c>
      <c r="M382">
        <v>39800</v>
      </c>
      <c r="N382">
        <v>0</v>
      </c>
      <c r="O382">
        <v>39800</v>
      </c>
      <c r="P382">
        <v>24200</v>
      </c>
      <c r="Q382">
        <v>15600</v>
      </c>
      <c r="R382">
        <v>39.200000000000003</v>
      </c>
      <c r="S382" t="s">
        <v>79</v>
      </c>
      <c r="T382">
        <v>5800</v>
      </c>
      <c r="U382">
        <v>3.1</v>
      </c>
      <c r="V382" t="s">
        <v>79</v>
      </c>
    </row>
    <row r="383" spans="1:22" x14ac:dyDescent="0.3">
      <c r="A383" t="s">
        <v>5453</v>
      </c>
      <c r="B383" t="s">
        <v>5454</v>
      </c>
      <c r="C383" t="s">
        <v>5455</v>
      </c>
      <c r="D383" s="2">
        <v>45839</v>
      </c>
      <c r="E383" t="s">
        <v>134</v>
      </c>
      <c r="F383" t="s">
        <v>134</v>
      </c>
      <c r="G383" t="s">
        <v>27</v>
      </c>
      <c r="H383" t="s">
        <v>5470</v>
      </c>
      <c r="I383" t="s">
        <v>29</v>
      </c>
      <c r="J383" t="s">
        <v>30</v>
      </c>
      <c r="K383">
        <v>7</v>
      </c>
      <c r="L383">
        <v>15</v>
      </c>
      <c r="M383">
        <v>45100</v>
      </c>
      <c r="N383">
        <v>2300</v>
      </c>
      <c r="O383">
        <v>42800</v>
      </c>
      <c r="P383">
        <v>26500</v>
      </c>
      <c r="Q383">
        <v>16300</v>
      </c>
      <c r="R383">
        <v>38.08</v>
      </c>
      <c r="S383" t="s">
        <v>39</v>
      </c>
      <c r="T383">
        <v>4900</v>
      </c>
      <c r="U383">
        <v>3.2</v>
      </c>
      <c r="V383" t="s">
        <v>42</v>
      </c>
    </row>
    <row r="384" spans="1:22" x14ac:dyDescent="0.3">
      <c r="A384" t="s">
        <v>4534</v>
      </c>
      <c r="B384" t="s">
        <v>1972</v>
      </c>
      <c r="C384" t="s">
        <v>1973</v>
      </c>
      <c r="D384" s="2">
        <v>45839</v>
      </c>
      <c r="E384" t="s">
        <v>161</v>
      </c>
      <c r="F384" t="s">
        <v>161</v>
      </c>
      <c r="G384" t="s">
        <v>48</v>
      </c>
      <c r="H384" t="s">
        <v>28</v>
      </c>
      <c r="I384" t="s">
        <v>69</v>
      </c>
      <c r="J384" t="s">
        <v>30</v>
      </c>
      <c r="K384">
        <v>10</v>
      </c>
      <c r="L384">
        <v>13</v>
      </c>
      <c r="M384">
        <v>34000</v>
      </c>
      <c r="N384">
        <v>0</v>
      </c>
      <c r="O384">
        <v>34000</v>
      </c>
      <c r="P384">
        <v>20100</v>
      </c>
      <c r="Q384">
        <v>13900</v>
      </c>
      <c r="R384">
        <v>40.880000000000003</v>
      </c>
      <c r="S384" t="s">
        <v>126</v>
      </c>
      <c r="T384">
        <v>5200</v>
      </c>
      <c r="U384">
        <v>4.5999999999999996</v>
      </c>
      <c r="V384" t="s">
        <v>79</v>
      </c>
    </row>
    <row r="385" spans="1:22" x14ac:dyDescent="0.3">
      <c r="A385" t="s">
        <v>4965</v>
      </c>
      <c r="B385" t="s">
        <v>631</v>
      </c>
      <c r="C385" t="s">
        <v>632</v>
      </c>
      <c r="D385" s="2">
        <v>45839</v>
      </c>
      <c r="E385" t="s">
        <v>228</v>
      </c>
      <c r="F385" t="s">
        <v>228</v>
      </c>
      <c r="G385" t="s">
        <v>147</v>
      </c>
      <c r="H385" t="s">
        <v>214</v>
      </c>
      <c r="I385" t="s">
        <v>69</v>
      </c>
      <c r="J385" t="s">
        <v>30</v>
      </c>
      <c r="K385">
        <v>4</v>
      </c>
      <c r="L385">
        <v>54</v>
      </c>
      <c r="M385">
        <v>37100</v>
      </c>
      <c r="N385">
        <v>5600</v>
      </c>
      <c r="O385">
        <v>31500</v>
      </c>
      <c r="P385">
        <v>21400</v>
      </c>
      <c r="Q385">
        <v>10100</v>
      </c>
      <c r="R385">
        <v>32.06</v>
      </c>
      <c r="S385" t="s">
        <v>97</v>
      </c>
      <c r="T385">
        <v>1800</v>
      </c>
      <c r="U385">
        <v>3.7</v>
      </c>
      <c r="V385" t="s">
        <v>42</v>
      </c>
    </row>
    <row r="386" spans="1:22" x14ac:dyDescent="0.3">
      <c r="A386" t="s">
        <v>2255</v>
      </c>
      <c r="B386" t="s">
        <v>1501</v>
      </c>
      <c r="C386" t="s">
        <v>1502</v>
      </c>
      <c r="D386" s="2">
        <v>45839</v>
      </c>
      <c r="E386" t="s">
        <v>66</v>
      </c>
      <c r="F386" t="s">
        <v>66</v>
      </c>
      <c r="G386" t="s">
        <v>48</v>
      </c>
      <c r="H386" t="s">
        <v>88</v>
      </c>
      <c r="I386" t="s">
        <v>29</v>
      </c>
      <c r="J386" t="s">
        <v>162</v>
      </c>
      <c r="K386">
        <v>2</v>
      </c>
      <c r="L386">
        <v>7</v>
      </c>
      <c r="M386">
        <v>70900</v>
      </c>
      <c r="N386">
        <v>10600</v>
      </c>
      <c r="O386">
        <v>60300</v>
      </c>
      <c r="P386">
        <v>46000</v>
      </c>
      <c r="Q386">
        <v>14300</v>
      </c>
      <c r="R386">
        <v>23.71</v>
      </c>
      <c r="S386" t="s">
        <v>79</v>
      </c>
      <c r="T386">
        <v>2900</v>
      </c>
      <c r="U386">
        <v>3.7</v>
      </c>
      <c r="V386" t="s">
        <v>58</v>
      </c>
    </row>
    <row r="387" spans="1:22" x14ac:dyDescent="0.3">
      <c r="A387" t="s">
        <v>5441</v>
      </c>
      <c r="B387" t="s">
        <v>1109</v>
      </c>
      <c r="C387" t="s">
        <v>1110</v>
      </c>
      <c r="D387" s="2">
        <v>45839</v>
      </c>
      <c r="E387" t="s">
        <v>188</v>
      </c>
      <c r="F387" t="s">
        <v>188</v>
      </c>
      <c r="G387" t="s">
        <v>213</v>
      </c>
      <c r="H387" t="s">
        <v>5470</v>
      </c>
      <c r="I387" t="s">
        <v>29</v>
      </c>
      <c r="J387" t="s">
        <v>70</v>
      </c>
      <c r="K387">
        <v>4</v>
      </c>
      <c r="L387">
        <v>44</v>
      </c>
      <c r="M387">
        <v>32100</v>
      </c>
      <c r="N387">
        <v>4800</v>
      </c>
      <c r="O387">
        <v>27300</v>
      </c>
      <c r="P387">
        <v>18600</v>
      </c>
      <c r="Q387">
        <v>8700</v>
      </c>
      <c r="R387">
        <v>31.87</v>
      </c>
      <c r="S387" t="s">
        <v>97</v>
      </c>
      <c r="T387">
        <v>1700</v>
      </c>
      <c r="U387">
        <v>4.0999999999999996</v>
      </c>
      <c r="V387" t="s">
        <v>114</v>
      </c>
    </row>
    <row r="388" spans="1:22" x14ac:dyDescent="0.3">
      <c r="A388" t="s">
        <v>4878</v>
      </c>
      <c r="B388" t="s">
        <v>1240</v>
      </c>
      <c r="C388" t="s">
        <v>1241</v>
      </c>
      <c r="D388" s="2">
        <v>45840</v>
      </c>
      <c r="E388" t="s">
        <v>134</v>
      </c>
      <c r="F388" t="s">
        <v>134</v>
      </c>
      <c r="G388" t="s">
        <v>48</v>
      </c>
      <c r="H388" t="s">
        <v>49</v>
      </c>
      <c r="I388" t="s">
        <v>69</v>
      </c>
      <c r="J388" t="s">
        <v>30</v>
      </c>
      <c r="K388">
        <v>2</v>
      </c>
      <c r="L388">
        <v>45</v>
      </c>
      <c r="M388">
        <v>35500</v>
      </c>
      <c r="N388">
        <v>5300</v>
      </c>
      <c r="O388">
        <v>30200</v>
      </c>
      <c r="P388">
        <v>25800</v>
      </c>
      <c r="Q388">
        <v>4400</v>
      </c>
      <c r="R388">
        <v>14.57</v>
      </c>
      <c r="S388" t="s">
        <v>97</v>
      </c>
      <c r="T388">
        <v>5300</v>
      </c>
      <c r="U388">
        <v>4.0999999999999996</v>
      </c>
      <c r="V388" t="s">
        <v>82</v>
      </c>
    </row>
    <row r="389" spans="1:22" x14ac:dyDescent="0.3">
      <c r="A389" t="s">
        <v>2953</v>
      </c>
      <c r="B389" t="s">
        <v>2954</v>
      </c>
      <c r="C389" t="s">
        <v>2955</v>
      </c>
      <c r="D389" s="2">
        <v>45840</v>
      </c>
      <c r="E389" t="s">
        <v>244</v>
      </c>
      <c r="F389" t="s">
        <v>244</v>
      </c>
      <c r="G389" t="s">
        <v>103</v>
      </c>
      <c r="H389" t="s">
        <v>5470</v>
      </c>
      <c r="I389" t="s">
        <v>29</v>
      </c>
      <c r="J389" t="s">
        <v>30</v>
      </c>
      <c r="K389">
        <v>2</v>
      </c>
      <c r="L389">
        <v>49</v>
      </c>
      <c r="M389">
        <v>17900</v>
      </c>
      <c r="N389">
        <v>2700</v>
      </c>
      <c r="O389">
        <v>15200</v>
      </c>
      <c r="P389">
        <v>8000</v>
      </c>
      <c r="Q389">
        <v>7200</v>
      </c>
      <c r="R389">
        <v>47.37</v>
      </c>
      <c r="S389" t="s">
        <v>39</v>
      </c>
      <c r="T389">
        <v>2200</v>
      </c>
      <c r="U389">
        <v>3.1</v>
      </c>
      <c r="V389" t="s">
        <v>58</v>
      </c>
    </row>
    <row r="390" spans="1:22" x14ac:dyDescent="0.3">
      <c r="A390" t="s">
        <v>3466</v>
      </c>
      <c r="B390" t="s">
        <v>2675</v>
      </c>
      <c r="C390" t="s">
        <v>2676</v>
      </c>
      <c r="D390" s="2">
        <v>45841</v>
      </c>
      <c r="E390" t="s">
        <v>26</v>
      </c>
      <c r="F390" t="s">
        <v>26</v>
      </c>
      <c r="G390" t="s">
        <v>27</v>
      </c>
      <c r="H390" t="s">
        <v>68</v>
      </c>
      <c r="I390" t="s">
        <v>69</v>
      </c>
      <c r="J390" t="s">
        <v>257</v>
      </c>
      <c r="K390">
        <v>6</v>
      </c>
      <c r="L390">
        <v>13</v>
      </c>
      <c r="M390">
        <v>35400</v>
      </c>
      <c r="N390">
        <v>7100</v>
      </c>
      <c r="O390">
        <v>28300</v>
      </c>
      <c r="P390">
        <v>28300</v>
      </c>
      <c r="Q390">
        <v>0</v>
      </c>
      <c r="R390">
        <v>0</v>
      </c>
      <c r="S390" t="s">
        <v>126</v>
      </c>
      <c r="T390">
        <v>2900</v>
      </c>
      <c r="U390">
        <v>4.2</v>
      </c>
      <c r="V390" t="s">
        <v>42</v>
      </c>
    </row>
    <row r="391" spans="1:22" x14ac:dyDescent="0.3">
      <c r="A391" t="s">
        <v>4398</v>
      </c>
      <c r="B391" t="s">
        <v>3078</v>
      </c>
      <c r="C391" t="s">
        <v>3079</v>
      </c>
      <c r="D391" s="2">
        <v>45842</v>
      </c>
      <c r="E391" t="s">
        <v>282</v>
      </c>
      <c r="F391" t="s">
        <v>282</v>
      </c>
      <c r="G391" t="s">
        <v>213</v>
      </c>
      <c r="H391" t="s">
        <v>28</v>
      </c>
      <c r="I391" t="s">
        <v>69</v>
      </c>
      <c r="J391" t="s">
        <v>30</v>
      </c>
      <c r="K391">
        <v>6</v>
      </c>
      <c r="L391">
        <v>41</v>
      </c>
      <c r="M391">
        <v>105900</v>
      </c>
      <c r="N391">
        <v>21200</v>
      </c>
      <c r="O391">
        <v>84700</v>
      </c>
      <c r="P391">
        <v>78100</v>
      </c>
      <c r="Q391">
        <v>6600</v>
      </c>
      <c r="R391">
        <v>7.79</v>
      </c>
      <c r="S391" t="s">
        <v>97</v>
      </c>
      <c r="T391">
        <v>14000</v>
      </c>
      <c r="U391">
        <v>3.9</v>
      </c>
      <c r="V391" t="s">
        <v>58</v>
      </c>
    </row>
    <row r="392" spans="1:22" x14ac:dyDescent="0.3">
      <c r="A392" t="s">
        <v>3908</v>
      </c>
      <c r="B392" t="s">
        <v>3342</v>
      </c>
      <c r="C392" t="s">
        <v>3343</v>
      </c>
      <c r="D392" s="2">
        <v>45842</v>
      </c>
      <c r="E392" t="s">
        <v>188</v>
      </c>
      <c r="F392" t="s">
        <v>188</v>
      </c>
      <c r="G392" t="s">
        <v>48</v>
      </c>
      <c r="H392" t="s">
        <v>268</v>
      </c>
      <c r="I392" t="s">
        <v>69</v>
      </c>
      <c r="J392" t="s">
        <v>30</v>
      </c>
      <c r="K392">
        <v>8</v>
      </c>
      <c r="L392">
        <v>65</v>
      </c>
      <c r="M392">
        <v>46300</v>
      </c>
      <c r="N392">
        <v>4600</v>
      </c>
      <c r="O392">
        <v>41700</v>
      </c>
      <c r="P392">
        <v>29100</v>
      </c>
      <c r="Q392">
        <v>12600</v>
      </c>
      <c r="R392">
        <v>30.22</v>
      </c>
      <c r="S392" t="s">
        <v>39</v>
      </c>
      <c r="T392">
        <v>7400</v>
      </c>
      <c r="U392">
        <v>4.5999999999999996</v>
      </c>
      <c r="V392" t="s">
        <v>42</v>
      </c>
    </row>
    <row r="393" spans="1:22" x14ac:dyDescent="0.3">
      <c r="A393" t="s">
        <v>4450</v>
      </c>
      <c r="B393" t="s">
        <v>1566</v>
      </c>
      <c r="C393" t="s">
        <v>1567</v>
      </c>
      <c r="D393" s="2">
        <v>45844</v>
      </c>
      <c r="E393" t="s">
        <v>228</v>
      </c>
      <c r="F393" t="s">
        <v>228</v>
      </c>
      <c r="G393" t="s">
        <v>580</v>
      </c>
      <c r="H393" t="s">
        <v>28</v>
      </c>
      <c r="I393" t="s">
        <v>69</v>
      </c>
      <c r="J393" t="s">
        <v>70</v>
      </c>
      <c r="K393">
        <v>9</v>
      </c>
      <c r="L393">
        <v>66</v>
      </c>
      <c r="M393">
        <v>150700</v>
      </c>
      <c r="N393">
        <v>22600</v>
      </c>
      <c r="O393">
        <v>128100</v>
      </c>
      <c r="P393">
        <v>94600</v>
      </c>
      <c r="Q393">
        <v>33500</v>
      </c>
      <c r="R393">
        <v>26.15</v>
      </c>
      <c r="S393" t="s">
        <v>97</v>
      </c>
      <c r="T393">
        <v>20900</v>
      </c>
      <c r="U393">
        <v>5</v>
      </c>
      <c r="V393" t="s">
        <v>82</v>
      </c>
    </row>
    <row r="394" spans="1:22" x14ac:dyDescent="0.3">
      <c r="A394" t="s">
        <v>3787</v>
      </c>
      <c r="B394" t="s">
        <v>2330</v>
      </c>
      <c r="C394" t="s">
        <v>2331</v>
      </c>
      <c r="D394" s="2">
        <v>45844</v>
      </c>
      <c r="E394" t="s">
        <v>228</v>
      </c>
      <c r="F394" t="s">
        <v>228</v>
      </c>
      <c r="G394" t="s">
        <v>67</v>
      </c>
      <c r="H394" t="s">
        <v>229</v>
      </c>
      <c r="I394" t="s">
        <v>69</v>
      </c>
      <c r="J394" t="s">
        <v>30</v>
      </c>
      <c r="K394">
        <v>8</v>
      </c>
      <c r="L394">
        <v>12</v>
      </c>
      <c r="M394">
        <v>65400</v>
      </c>
      <c r="N394">
        <v>0</v>
      </c>
      <c r="O394">
        <v>65400</v>
      </c>
      <c r="P394">
        <v>34900</v>
      </c>
      <c r="Q394">
        <v>30500</v>
      </c>
      <c r="R394">
        <v>46.64</v>
      </c>
      <c r="S394" t="s">
        <v>182</v>
      </c>
      <c r="T394">
        <v>5200</v>
      </c>
      <c r="U394">
        <v>5</v>
      </c>
      <c r="V394" t="s">
        <v>79</v>
      </c>
    </row>
    <row r="395" spans="1:22" x14ac:dyDescent="0.3">
      <c r="A395" t="s">
        <v>4194</v>
      </c>
      <c r="B395" t="s">
        <v>4195</v>
      </c>
      <c r="C395" t="s">
        <v>4196</v>
      </c>
      <c r="D395" s="2">
        <v>45845</v>
      </c>
      <c r="E395" t="s">
        <v>244</v>
      </c>
      <c r="F395" t="s">
        <v>244</v>
      </c>
      <c r="G395" t="s">
        <v>580</v>
      </c>
      <c r="H395" t="s">
        <v>5470</v>
      </c>
      <c r="I395" t="s">
        <v>69</v>
      </c>
      <c r="J395" t="s">
        <v>30</v>
      </c>
      <c r="K395">
        <v>5</v>
      </c>
      <c r="L395">
        <v>12</v>
      </c>
      <c r="M395">
        <v>47800</v>
      </c>
      <c r="N395">
        <v>2400</v>
      </c>
      <c r="O395">
        <v>45400</v>
      </c>
      <c r="P395">
        <v>22200</v>
      </c>
      <c r="Q395">
        <v>23200</v>
      </c>
      <c r="R395">
        <v>51.1</v>
      </c>
      <c r="S395" t="s">
        <v>97</v>
      </c>
      <c r="T395">
        <v>8200</v>
      </c>
      <c r="U395">
        <v>4.5</v>
      </c>
      <c r="V395" t="s">
        <v>114</v>
      </c>
    </row>
    <row r="396" spans="1:22" x14ac:dyDescent="0.3">
      <c r="A396" t="s">
        <v>4461</v>
      </c>
      <c r="B396" t="s">
        <v>2675</v>
      </c>
      <c r="C396" t="s">
        <v>2676</v>
      </c>
      <c r="D396" s="2">
        <v>45846</v>
      </c>
      <c r="E396" t="s">
        <v>134</v>
      </c>
      <c r="F396" t="s">
        <v>134</v>
      </c>
      <c r="G396" t="s">
        <v>580</v>
      </c>
      <c r="H396" t="s">
        <v>214</v>
      </c>
      <c r="I396" t="s">
        <v>69</v>
      </c>
      <c r="J396" t="s">
        <v>30</v>
      </c>
      <c r="K396">
        <v>10</v>
      </c>
      <c r="L396">
        <v>63</v>
      </c>
      <c r="M396">
        <v>28400</v>
      </c>
      <c r="N396">
        <v>4300</v>
      </c>
      <c r="O396">
        <v>24100</v>
      </c>
      <c r="P396">
        <v>13100</v>
      </c>
      <c r="Q396">
        <v>11000</v>
      </c>
      <c r="R396">
        <v>45.64</v>
      </c>
      <c r="S396" t="s">
        <v>126</v>
      </c>
      <c r="T396">
        <v>2500</v>
      </c>
      <c r="U396">
        <v>3.9</v>
      </c>
      <c r="V396" t="s">
        <v>79</v>
      </c>
    </row>
    <row r="397" spans="1:22" x14ac:dyDescent="0.3">
      <c r="A397" t="s">
        <v>1948</v>
      </c>
      <c r="B397" t="s">
        <v>1949</v>
      </c>
      <c r="C397" t="s">
        <v>1950</v>
      </c>
      <c r="D397" s="2">
        <v>45846</v>
      </c>
      <c r="E397" t="s">
        <v>161</v>
      </c>
      <c r="F397" t="s">
        <v>161</v>
      </c>
      <c r="G397" t="s">
        <v>48</v>
      </c>
      <c r="H397" t="s">
        <v>88</v>
      </c>
      <c r="I397" t="s">
        <v>69</v>
      </c>
      <c r="J397" t="s">
        <v>70</v>
      </c>
      <c r="K397">
        <v>4</v>
      </c>
      <c r="L397">
        <v>52</v>
      </c>
      <c r="M397">
        <v>87100</v>
      </c>
      <c r="N397">
        <v>4400</v>
      </c>
      <c r="O397">
        <v>82700</v>
      </c>
      <c r="P397">
        <v>64500</v>
      </c>
      <c r="Q397">
        <v>18200</v>
      </c>
      <c r="R397">
        <v>22.01</v>
      </c>
      <c r="S397" t="s">
        <v>97</v>
      </c>
      <c r="T397">
        <v>3400</v>
      </c>
      <c r="U397">
        <v>3.2</v>
      </c>
      <c r="V397" t="s">
        <v>58</v>
      </c>
    </row>
    <row r="398" spans="1:22" x14ac:dyDescent="0.3">
      <c r="A398" t="s">
        <v>4786</v>
      </c>
      <c r="B398" t="s">
        <v>679</v>
      </c>
      <c r="C398" t="s">
        <v>680</v>
      </c>
      <c r="D398" s="2">
        <v>45846</v>
      </c>
      <c r="E398" t="s">
        <v>134</v>
      </c>
      <c r="F398" t="s">
        <v>134</v>
      </c>
      <c r="G398" t="s">
        <v>147</v>
      </c>
      <c r="H398" t="s">
        <v>229</v>
      </c>
      <c r="I398" t="s">
        <v>69</v>
      </c>
      <c r="J398" t="s">
        <v>30</v>
      </c>
      <c r="K398">
        <v>8</v>
      </c>
      <c r="L398">
        <v>55</v>
      </c>
      <c r="M398">
        <v>48400</v>
      </c>
      <c r="N398">
        <v>4800</v>
      </c>
      <c r="O398">
        <v>43600</v>
      </c>
      <c r="P398">
        <v>30500</v>
      </c>
      <c r="Q398">
        <v>13100</v>
      </c>
      <c r="R398">
        <v>30.05</v>
      </c>
      <c r="S398" t="s">
        <v>39</v>
      </c>
      <c r="T398">
        <v>5300</v>
      </c>
      <c r="U398">
        <v>4.0999999999999996</v>
      </c>
      <c r="V398" t="s">
        <v>58</v>
      </c>
    </row>
    <row r="399" spans="1:22" x14ac:dyDescent="0.3">
      <c r="A399" t="s">
        <v>4738</v>
      </c>
      <c r="B399" t="s">
        <v>1857</v>
      </c>
      <c r="C399" t="s">
        <v>1858</v>
      </c>
      <c r="D399" s="2">
        <v>45847</v>
      </c>
      <c r="E399" t="s">
        <v>26</v>
      </c>
      <c r="F399" t="s">
        <v>26</v>
      </c>
      <c r="G399" t="s">
        <v>580</v>
      </c>
      <c r="H399" t="s">
        <v>229</v>
      </c>
      <c r="I399" t="s">
        <v>69</v>
      </c>
      <c r="J399" t="s">
        <v>30</v>
      </c>
      <c r="K399">
        <v>10</v>
      </c>
      <c r="L399">
        <v>7</v>
      </c>
      <c r="M399">
        <v>49800</v>
      </c>
      <c r="N399">
        <v>2500</v>
      </c>
      <c r="O399">
        <v>47300</v>
      </c>
      <c r="P399">
        <v>34400</v>
      </c>
      <c r="Q399">
        <v>12900</v>
      </c>
      <c r="R399">
        <v>27.27</v>
      </c>
      <c r="S399" t="s">
        <v>126</v>
      </c>
      <c r="T399">
        <v>5300</v>
      </c>
      <c r="U399">
        <v>5</v>
      </c>
      <c r="V399" t="s">
        <v>58</v>
      </c>
    </row>
    <row r="400" spans="1:22" x14ac:dyDescent="0.3">
      <c r="A400" t="s">
        <v>5464</v>
      </c>
      <c r="B400" t="s">
        <v>1275</v>
      </c>
      <c r="C400" t="s">
        <v>1276</v>
      </c>
      <c r="D400" s="2">
        <v>45847</v>
      </c>
      <c r="E400" t="s">
        <v>244</v>
      </c>
      <c r="F400" t="s">
        <v>244</v>
      </c>
      <c r="G400" t="s">
        <v>103</v>
      </c>
      <c r="H400" t="s">
        <v>268</v>
      </c>
      <c r="I400" t="s">
        <v>69</v>
      </c>
      <c r="J400" t="s">
        <v>30</v>
      </c>
      <c r="K400">
        <v>10</v>
      </c>
      <c r="L400">
        <v>71</v>
      </c>
      <c r="M400">
        <v>24400</v>
      </c>
      <c r="N400">
        <v>1200</v>
      </c>
      <c r="O400">
        <v>23200</v>
      </c>
      <c r="P400">
        <v>15300</v>
      </c>
      <c r="Q400">
        <v>7900</v>
      </c>
      <c r="R400">
        <v>34.049999999999997</v>
      </c>
      <c r="S400" t="s">
        <v>79</v>
      </c>
      <c r="T400">
        <v>2600</v>
      </c>
      <c r="U400">
        <v>4</v>
      </c>
      <c r="V400" t="s">
        <v>58</v>
      </c>
    </row>
    <row r="401" spans="1:22" x14ac:dyDescent="0.3">
      <c r="A401" t="s">
        <v>4592</v>
      </c>
      <c r="B401" t="s">
        <v>4593</v>
      </c>
      <c r="C401" t="s">
        <v>4594</v>
      </c>
      <c r="D401" s="2">
        <v>45848</v>
      </c>
      <c r="E401" t="s">
        <v>188</v>
      </c>
      <c r="F401" t="s">
        <v>188</v>
      </c>
      <c r="G401" t="s">
        <v>118</v>
      </c>
      <c r="H401" t="s">
        <v>229</v>
      </c>
      <c r="I401" t="s">
        <v>69</v>
      </c>
      <c r="J401" t="s">
        <v>30</v>
      </c>
      <c r="K401">
        <v>7</v>
      </c>
      <c r="L401">
        <v>43</v>
      </c>
      <c r="M401">
        <v>74900</v>
      </c>
      <c r="N401">
        <v>11200</v>
      </c>
      <c r="O401">
        <v>63700</v>
      </c>
      <c r="P401">
        <v>51500</v>
      </c>
      <c r="Q401">
        <v>12200</v>
      </c>
      <c r="R401">
        <v>19.149999999999999</v>
      </c>
      <c r="S401" t="s">
        <v>79</v>
      </c>
      <c r="T401">
        <v>9500</v>
      </c>
      <c r="U401">
        <v>3.9</v>
      </c>
      <c r="V401" t="s">
        <v>82</v>
      </c>
    </row>
    <row r="402" spans="1:22" x14ac:dyDescent="0.3">
      <c r="A402" t="s">
        <v>1667</v>
      </c>
      <c r="B402" t="s">
        <v>586</v>
      </c>
      <c r="C402" t="s">
        <v>587</v>
      </c>
      <c r="D402" s="2">
        <v>45848</v>
      </c>
      <c r="E402" t="s">
        <v>66</v>
      </c>
      <c r="F402" t="s">
        <v>66</v>
      </c>
      <c r="G402" t="s">
        <v>103</v>
      </c>
      <c r="H402" t="s">
        <v>68</v>
      </c>
      <c r="I402" t="s">
        <v>69</v>
      </c>
      <c r="J402" t="s">
        <v>70</v>
      </c>
      <c r="K402">
        <v>2</v>
      </c>
      <c r="L402">
        <v>75</v>
      </c>
      <c r="M402">
        <v>54700</v>
      </c>
      <c r="N402">
        <v>10900</v>
      </c>
      <c r="O402">
        <v>43800</v>
      </c>
      <c r="P402">
        <v>35800</v>
      </c>
      <c r="Q402">
        <v>8000</v>
      </c>
      <c r="R402">
        <v>18.260000000000002</v>
      </c>
      <c r="S402" t="s">
        <v>182</v>
      </c>
      <c r="T402">
        <v>3000</v>
      </c>
      <c r="U402">
        <v>4.4000000000000004</v>
      </c>
      <c r="V402" t="s">
        <v>79</v>
      </c>
    </row>
    <row r="403" spans="1:22" x14ac:dyDescent="0.3">
      <c r="A403" t="s">
        <v>4081</v>
      </c>
      <c r="B403" t="s">
        <v>2219</v>
      </c>
      <c r="C403" t="s">
        <v>2220</v>
      </c>
      <c r="D403" s="2">
        <v>45849</v>
      </c>
      <c r="E403" t="s">
        <v>282</v>
      </c>
      <c r="F403" t="s">
        <v>282</v>
      </c>
      <c r="G403" t="s">
        <v>67</v>
      </c>
      <c r="H403" t="s">
        <v>49</v>
      </c>
      <c r="I403" t="s">
        <v>29</v>
      </c>
      <c r="J403" t="s">
        <v>30</v>
      </c>
      <c r="K403">
        <v>5</v>
      </c>
      <c r="L403">
        <v>36</v>
      </c>
      <c r="M403">
        <v>94500</v>
      </c>
      <c r="N403">
        <v>0</v>
      </c>
      <c r="O403">
        <v>94500</v>
      </c>
      <c r="P403">
        <v>62200</v>
      </c>
      <c r="Q403">
        <v>32300</v>
      </c>
      <c r="R403">
        <v>34.18</v>
      </c>
      <c r="S403" t="s">
        <v>79</v>
      </c>
      <c r="T403">
        <v>14500</v>
      </c>
      <c r="U403">
        <v>3.9</v>
      </c>
      <c r="V403" t="s">
        <v>82</v>
      </c>
    </row>
    <row r="404" spans="1:22" x14ac:dyDescent="0.3">
      <c r="A404" t="s">
        <v>2937</v>
      </c>
      <c r="B404" t="s">
        <v>2938</v>
      </c>
      <c r="C404" t="s">
        <v>2939</v>
      </c>
      <c r="D404" s="2">
        <v>45849</v>
      </c>
      <c r="E404" t="s">
        <v>134</v>
      </c>
      <c r="F404" t="s">
        <v>134</v>
      </c>
      <c r="G404" t="s">
        <v>67</v>
      </c>
      <c r="H404" t="s">
        <v>68</v>
      </c>
      <c r="I404" t="s">
        <v>69</v>
      </c>
      <c r="J404" t="s">
        <v>30</v>
      </c>
      <c r="K404">
        <v>10</v>
      </c>
      <c r="L404">
        <v>49</v>
      </c>
      <c r="M404">
        <v>30100</v>
      </c>
      <c r="N404">
        <v>3000</v>
      </c>
      <c r="O404">
        <v>27100</v>
      </c>
      <c r="P404">
        <v>13800</v>
      </c>
      <c r="Q404">
        <v>13300</v>
      </c>
      <c r="R404">
        <v>49.08</v>
      </c>
      <c r="S404" t="s">
        <v>39</v>
      </c>
      <c r="T404">
        <v>4500</v>
      </c>
      <c r="U404">
        <v>4.2</v>
      </c>
      <c r="V404" t="s">
        <v>58</v>
      </c>
    </row>
    <row r="405" spans="1:22" x14ac:dyDescent="0.3">
      <c r="A405" t="s">
        <v>2232</v>
      </c>
      <c r="B405" t="s">
        <v>2233</v>
      </c>
      <c r="C405" t="s">
        <v>2234</v>
      </c>
      <c r="D405" s="2">
        <v>45850</v>
      </c>
      <c r="E405" t="s">
        <v>228</v>
      </c>
      <c r="F405" t="s">
        <v>228</v>
      </c>
      <c r="G405" t="s">
        <v>580</v>
      </c>
      <c r="H405" t="s">
        <v>88</v>
      </c>
      <c r="I405" t="s">
        <v>69</v>
      </c>
      <c r="J405" t="s">
        <v>30</v>
      </c>
      <c r="K405">
        <v>9</v>
      </c>
      <c r="L405">
        <v>38</v>
      </c>
      <c r="M405">
        <v>48300</v>
      </c>
      <c r="N405">
        <v>4800</v>
      </c>
      <c r="O405">
        <v>43500</v>
      </c>
      <c r="P405">
        <v>31100</v>
      </c>
      <c r="Q405">
        <v>12400</v>
      </c>
      <c r="R405">
        <v>28.51</v>
      </c>
      <c r="S405" t="s">
        <v>39</v>
      </c>
      <c r="T405">
        <v>6800</v>
      </c>
      <c r="U405">
        <v>4.5</v>
      </c>
      <c r="V405" t="s">
        <v>42</v>
      </c>
    </row>
    <row r="406" spans="1:22" x14ac:dyDescent="0.3">
      <c r="A406" t="s">
        <v>3088</v>
      </c>
      <c r="B406" t="s">
        <v>3089</v>
      </c>
      <c r="C406" t="s">
        <v>3090</v>
      </c>
      <c r="D406" s="2">
        <v>45850</v>
      </c>
      <c r="E406" t="s">
        <v>66</v>
      </c>
      <c r="F406" t="s">
        <v>66</v>
      </c>
      <c r="G406" t="s">
        <v>67</v>
      </c>
      <c r="H406" t="s">
        <v>49</v>
      </c>
      <c r="I406" t="s">
        <v>29</v>
      </c>
      <c r="J406" t="s">
        <v>30</v>
      </c>
      <c r="K406">
        <v>3</v>
      </c>
      <c r="L406">
        <v>48</v>
      </c>
      <c r="M406">
        <v>66700</v>
      </c>
      <c r="N406">
        <v>13300</v>
      </c>
      <c r="O406">
        <v>53400</v>
      </c>
      <c r="P406">
        <v>44400</v>
      </c>
      <c r="Q406">
        <v>9000</v>
      </c>
      <c r="R406">
        <v>16.850000000000001</v>
      </c>
      <c r="S406" t="s">
        <v>182</v>
      </c>
      <c r="T406">
        <v>5400</v>
      </c>
      <c r="U406">
        <v>4.7</v>
      </c>
      <c r="V406" t="s">
        <v>114</v>
      </c>
    </row>
    <row r="407" spans="1:22" x14ac:dyDescent="0.3">
      <c r="A407" t="s">
        <v>5028</v>
      </c>
      <c r="B407" t="s">
        <v>2552</v>
      </c>
      <c r="C407" t="s">
        <v>2553</v>
      </c>
      <c r="D407" s="2">
        <v>45850</v>
      </c>
      <c r="E407" t="s">
        <v>228</v>
      </c>
      <c r="F407" t="s">
        <v>228</v>
      </c>
      <c r="G407" t="s">
        <v>27</v>
      </c>
      <c r="H407" t="s">
        <v>229</v>
      </c>
      <c r="I407" t="s">
        <v>69</v>
      </c>
      <c r="J407" t="s">
        <v>30</v>
      </c>
      <c r="K407">
        <v>2</v>
      </c>
      <c r="L407">
        <v>32</v>
      </c>
      <c r="M407">
        <v>103800</v>
      </c>
      <c r="N407">
        <v>20800</v>
      </c>
      <c r="O407">
        <v>83000</v>
      </c>
      <c r="P407">
        <v>76400</v>
      </c>
      <c r="Q407">
        <v>6600</v>
      </c>
      <c r="R407">
        <v>7.95</v>
      </c>
      <c r="S407" t="s">
        <v>58</v>
      </c>
      <c r="T407">
        <v>8500</v>
      </c>
      <c r="U407">
        <v>4.0999999999999996</v>
      </c>
      <c r="V407" t="s">
        <v>114</v>
      </c>
    </row>
    <row r="408" spans="1:22" x14ac:dyDescent="0.3">
      <c r="A408" t="s">
        <v>1732</v>
      </c>
      <c r="B408" t="s">
        <v>1733</v>
      </c>
      <c r="C408" t="s">
        <v>1734</v>
      </c>
      <c r="D408" s="2">
        <v>45851</v>
      </c>
      <c r="E408" t="s">
        <v>228</v>
      </c>
      <c r="F408" t="s">
        <v>228</v>
      </c>
      <c r="G408" t="s">
        <v>147</v>
      </c>
      <c r="H408" t="s">
        <v>49</v>
      </c>
      <c r="I408" t="s">
        <v>29</v>
      </c>
      <c r="J408" t="s">
        <v>30</v>
      </c>
      <c r="K408">
        <v>3</v>
      </c>
      <c r="L408">
        <v>37</v>
      </c>
      <c r="M408">
        <v>23100</v>
      </c>
      <c r="N408">
        <v>0</v>
      </c>
      <c r="O408">
        <v>23100</v>
      </c>
      <c r="P408">
        <v>15600</v>
      </c>
      <c r="Q408">
        <v>7500</v>
      </c>
      <c r="R408">
        <v>32.47</v>
      </c>
      <c r="S408" t="s">
        <v>79</v>
      </c>
      <c r="T408">
        <v>2400</v>
      </c>
      <c r="U408">
        <v>4.3</v>
      </c>
      <c r="V408" t="s">
        <v>42</v>
      </c>
    </row>
    <row r="409" spans="1:22" x14ac:dyDescent="0.3">
      <c r="A409" t="s">
        <v>2732</v>
      </c>
      <c r="B409" t="s">
        <v>2478</v>
      </c>
      <c r="C409" t="s">
        <v>2479</v>
      </c>
      <c r="D409" s="2">
        <v>45851</v>
      </c>
      <c r="E409" t="s">
        <v>161</v>
      </c>
      <c r="F409" t="s">
        <v>161</v>
      </c>
      <c r="G409" t="s">
        <v>27</v>
      </c>
      <c r="H409" t="s">
        <v>88</v>
      </c>
      <c r="I409" t="s">
        <v>29</v>
      </c>
      <c r="J409" t="s">
        <v>70</v>
      </c>
      <c r="K409">
        <v>2</v>
      </c>
      <c r="L409">
        <v>26</v>
      </c>
      <c r="M409">
        <v>113100</v>
      </c>
      <c r="N409">
        <v>11300</v>
      </c>
      <c r="O409">
        <v>101800</v>
      </c>
      <c r="P409">
        <v>63200</v>
      </c>
      <c r="Q409">
        <v>38600</v>
      </c>
      <c r="R409">
        <v>37.92</v>
      </c>
      <c r="S409" t="s">
        <v>58</v>
      </c>
      <c r="T409">
        <v>5100</v>
      </c>
      <c r="U409">
        <v>4.4000000000000004</v>
      </c>
      <c r="V409" t="s">
        <v>114</v>
      </c>
    </row>
    <row r="410" spans="1:22" x14ac:dyDescent="0.3">
      <c r="A410" t="s">
        <v>2292</v>
      </c>
      <c r="B410" t="s">
        <v>2293</v>
      </c>
      <c r="C410" t="s">
        <v>2294</v>
      </c>
      <c r="D410" s="2">
        <v>45852</v>
      </c>
      <c r="E410" t="s">
        <v>188</v>
      </c>
      <c r="F410" t="s">
        <v>188</v>
      </c>
      <c r="G410" t="s">
        <v>67</v>
      </c>
      <c r="H410" t="s">
        <v>268</v>
      </c>
      <c r="I410" t="s">
        <v>29</v>
      </c>
      <c r="J410" t="s">
        <v>70</v>
      </c>
      <c r="K410">
        <v>8</v>
      </c>
      <c r="L410">
        <v>24</v>
      </c>
      <c r="M410">
        <v>52900</v>
      </c>
      <c r="N410">
        <v>2600</v>
      </c>
      <c r="O410">
        <v>50300</v>
      </c>
      <c r="P410">
        <v>33100</v>
      </c>
      <c r="Q410">
        <v>17200</v>
      </c>
      <c r="R410">
        <v>34.19</v>
      </c>
      <c r="S410" t="s">
        <v>79</v>
      </c>
      <c r="T410">
        <v>2300</v>
      </c>
      <c r="U410">
        <v>5</v>
      </c>
      <c r="V410" t="s">
        <v>42</v>
      </c>
    </row>
    <row r="411" spans="1:22" x14ac:dyDescent="0.3">
      <c r="A411" t="s">
        <v>363</v>
      </c>
      <c r="B411" t="s">
        <v>364</v>
      </c>
      <c r="C411" t="s">
        <v>365</v>
      </c>
      <c r="D411" s="2">
        <v>45852</v>
      </c>
      <c r="E411" t="s">
        <v>282</v>
      </c>
      <c r="F411" t="s">
        <v>282</v>
      </c>
      <c r="G411" t="s">
        <v>147</v>
      </c>
      <c r="H411" t="s">
        <v>229</v>
      </c>
      <c r="I411" t="s">
        <v>29</v>
      </c>
      <c r="J411" t="s">
        <v>30</v>
      </c>
      <c r="K411">
        <v>6</v>
      </c>
      <c r="L411">
        <v>63</v>
      </c>
      <c r="M411">
        <v>27300</v>
      </c>
      <c r="N411">
        <v>2700</v>
      </c>
      <c r="O411">
        <v>24600</v>
      </c>
      <c r="P411">
        <v>20600</v>
      </c>
      <c r="Q411">
        <v>4000</v>
      </c>
      <c r="R411">
        <v>16.260000000000002</v>
      </c>
      <c r="S411" t="s">
        <v>39</v>
      </c>
      <c r="T411">
        <v>2700</v>
      </c>
      <c r="U411">
        <v>4.0999999999999996</v>
      </c>
      <c r="V411" t="s">
        <v>42</v>
      </c>
    </row>
    <row r="412" spans="1:22" x14ac:dyDescent="0.3">
      <c r="A412" t="s">
        <v>4168</v>
      </c>
      <c r="B412" t="s">
        <v>364</v>
      </c>
      <c r="C412" t="s">
        <v>365</v>
      </c>
      <c r="D412" s="2">
        <v>45852</v>
      </c>
      <c r="E412" t="s">
        <v>134</v>
      </c>
      <c r="F412" t="s">
        <v>134</v>
      </c>
      <c r="G412" t="s">
        <v>580</v>
      </c>
      <c r="H412" t="s">
        <v>28</v>
      </c>
      <c r="I412" t="s">
        <v>29</v>
      </c>
      <c r="J412" t="s">
        <v>30</v>
      </c>
      <c r="K412">
        <v>2</v>
      </c>
      <c r="L412">
        <v>30</v>
      </c>
      <c r="M412">
        <v>40600</v>
      </c>
      <c r="N412">
        <v>0</v>
      </c>
      <c r="O412">
        <v>40600</v>
      </c>
      <c r="P412">
        <v>26100</v>
      </c>
      <c r="Q412">
        <v>14500</v>
      </c>
      <c r="R412">
        <v>35.71</v>
      </c>
      <c r="S412" t="s">
        <v>58</v>
      </c>
      <c r="T412">
        <v>3500</v>
      </c>
      <c r="U412">
        <v>5</v>
      </c>
      <c r="V412" t="s">
        <v>79</v>
      </c>
    </row>
    <row r="413" spans="1:22" x14ac:dyDescent="0.3">
      <c r="A413" t="s">
        <v>771</v>
      </c>
      <c r="B413" t="s">
        <v>279</v>
      </c>
      <c r="C413" t="s">
        <v>280</v>
      </c>
      <c r="D413" s="2">
        <v>45853</v>
      </c>
      <c r="E413" t="s">
        <v>244</v>
      </c>
      <c r="F413" t="s">
        <v>244</v>
      </c>
      <c r="G413" t="s">
        <v>580</v>
      </c>
      <c r="H413" t="s">
        <v>49</v>
      </c>
      <c r="I413" t="s">
        <v>69</v>
      </c>
      <c r="J413" t="s">
        <v>30</v>
      </c>
      <c r="K413">
        <v>3</v>
      </c>
      <c r="L413">
        <v>61</v>
      </c>
      <c r="M413">
        <v>26200</v>
      </c>
      <c r="N413">
        <v>2600</v>
      </c>
      <c r="O413">
        <v>23600</v>
      </c>
      <c r="P413">
        <v>16100</v>
      </c>
      <c r="Q413">
        <v>7500</v>
      </c>
      <c r="R413">
        <v>31.78</v>
      </c>
      <c r="S413" t="s">
        <v>97</v>
      </c>
      <c r="T413">
        <v>2800</v>
      </c>
      <c r="U413">
        <v>4.7</v>
      </c>
      <c r="V413" t="s">
        <v>79</v>
      </c>
    </row>
    <row r="414" spans="1:22" x14ac:dyDescent="0.3">
      <c r="A414" t="s">
        <v>4662</v>
      </c>
      <c r="B414" t="s">
        <v>2104</v>
      </c>
      <c r="C414" t="s">
        <v>2105</v>
      </c>
      <c r="D414" s="2">
        <v>45853</v>
      </c>
      <c r="E414" t="s">
        <v>66</v>
      </c>
      <c r="F414" t="s">
        <v>66</v>
      </c>
      <c r="G414" t="s">
        <v>118</v>
      </c>
      <c r="H414" t="s">
        <v>5470</v>
      </c>
      <c r="I414" t="s">
        <v>29</v>
      </c>
      <c r="J414" t="s">
        <v>30</v>
      </c>
      <c r="K414">
        <v>2</v>
      </c>
      <c r="L414">
        <v>53</v>
      </c>
      <c r="M414">
        <v>22000</v>
      </c>
      <c r="N414">
        <v>0</v>
      </c>
      <c r="O414">
        <v>22000</v>
      </c>
      <c r="P414">
        <v>12700</v>
      </c>
      <c r="Q414">
        <v>9300</v>
      </c>
      <c r="R414">
        <v>42.27</v>
      </c>
      <c r="S414" t="s">
        <v>58</v>
      </c>
      <c r="T414">
        <v>2400</v>
      </c>
      <c r="U414">
        <v>4</v>
      </c>
      <c r="V414" t="s">
        <v>79</v>
      </c>
    </row>
    <row r="415" spans="1:22" x14ac:dyDescent="0.3">
      <c r="A415" t="s">
        <v>2546</v>
      </c>
      <c r="B415" t="s">
        <v>2547</v>
      </c>
      <c r="C415" t="s">
        <v>2548</v>
      </c>
      <c r="D415" s="2">
        <v>45853</v>
      </c>
      <c r="E415" t="s">
        <v>282</v>
      </c>
      <c r="F415" t="s">
        <v>282</v>
      </c>
      <c r="G415" t="s">
        <v>147</v>
      </c>
      <c r="H415" t="s">
        <v>5470</v>
      </c>
      <c r="I415" t="s">
        <v>69</v>
      </c>
      <c r="J415" t="s">
        <v>30</v>
      </c>
      <c r="K415">
        <v>7</v>
      </c>
      <c r="L415">
        <v>55</v>
      </c>
      <c r="M415">
        <v>29500</v>
      </c>
      <c r="N415">
        <v>3000</v>
      </c>
      <c r="O415">
        <v>26500</v>
      </c>
      <c r="P415">
        <v>18500</v>
      </c>
      <c r="Q415">
        <v>8000</v>
      </c>
      <c r="R415">
        <v>30.19</v>
      </c>
      <c r="S415" t="s">
        <v>58</v>
      </c>
      <c r="T415">
        <v>3400</v>
      </c>
      <c r="U415">
        <v>5</v>
      </c>
      <c r="V415" t="s">
        <v>79</v>
      </c>
    </row>
    <row r="416" spans="1:22" x14ac:dyDescent="0.3">
      <c r="A416" t="s">
        <v>1820</v>
      </c>
      <c r="B416" t="s">
        <v>1409</v>
      </c>
      <c r="C416" t="s">
        <v>1410</v>
      </c>
      <c r="D416" s="2">
        <v>45854</v>
      </c>
      <c r="E416" t="s">
        <v>228</v>
      </c>
      <c r="F416" t="s">
        <v>228</v>
      </c>
      <c r="G416" t="s">
        <v>67</v>
      </c>
      <c r="H416" t="s">
        <v>28</v>
      </c>
      <c r="I416" t="s">
        <v>29</v>
      </c>
      <c r="J416" t="s">
        <v>30</v>
      </c>
      <c r="K416">
        <v>10</v>
      </c>
      <c r="L416">
        <v>18</v>
      </c>
      <c r="M416">
        <v>66400</v>
      </c>
      <c r="N416">
        <v>13300</v>
      </c>
      <c r="O416">
        <v>53100</v>
      </c>
      <c r="P416">
        <v>40000</v>
      </c>
      <c r="Q416">
        <v>13100</v>
      </c>
      <c r="R416">
        <v>24.67</v>
      </c>
      <c r="S416" t="s">
        <v>39</v>
      </c>
      <c r="T416">
        <v>7100</v>
      </c>
      <c r="U416">
        <v>5</v>
      </c>
      <c r="V416" t="s">
        <v>82</v>
      </c>
    </row>
    <row r="417" spans="1:22" x14ac:dyDescent="0.3">
      <c r="A417" t="s">
        <v>500</v>
      </c>
      <c r="B417" t="s">
        <v>501</v>
      </c>
      <c r="C417" t="s">
        <v>502</v>
      </c>
      <c r="D417" s="2">
        <v>45855</v>
      </c>
      <c r="E417" t="s">
        <v>244</v>
      </c>
      <c r="F417" t="s">
        <v>244</v>
      </c>
      <c r="G417" t="s">
        <v>67</v>
      </c>
      <c r="H417" t="s">
        <v>229</v>
      </c>
      <c r="I417" t="s">
        <v>69</v>
      </c>
      <c r="J417" t="s">
        <v>30</v>
      </c>
      <c r="K417">
        <v>8</v>
      </c>
      <c r="L417">
        <v>27</v>
      </c>
      <c r="M417">
        <v>41700</v>
      </c>
      <c r="N417">
        <v>0</v>
      </c>
      <c r="O417">
        <v>41700</v>
      </c>
      <c r="P417">
        <v>23700</v>
      </c>
      <c r="Q417">
        <v>18000</v>
      </c>
      <c r="R417">
        <v>43.17</v>
      </c>
      <c r="S417" t="s">
        <v>97</v>
      </c>
      <c r="T417">
        <v>7100</v>
      </c>
      <c r="U417">
        <v>3</v>
      </c>
      <c r="V417" t="s">
        <v>58</v>
      </c>
    </row>
    <row r="418" spans="1:22" x14ac:dyDescent="0.3">
      <c r="A418" t="s">
        <v>2592</v>
      </c>
      <c r="B418" t="s">
        <v>1257</v>
      </c>
      <c r="C418" t="s">
        <v>1258</v>
      </c>
      <c r="D418" s="2">
        <v>45856</v>
      </c>
      <c r="E418" t="s">
        <v>134</v>
      </c>
      <c r="F418" t="s">
        <v>134</v>
      </c>
      <c r="G418" t="s">
        <v>213</v>
      </c>
      <c r="H418" t="s">
        <v>68</v>
      </c>
      <c r="I418" t="s">
        <v>69</v>
      </c>
      <c r="J418" t="s">
        <v>30</v>
      </c>
      <c r="K418">
        <v>6</v>
      </c>
      <c r="L418">
        <v>37</v>
      </c>
      <c r="M418">
        <v>28000</v>
      </c>
      <c r="N418">
        <v>0</v>
      </c>
      <c r="O418">
        <v>28000</v>
      </c>
      <c r="P418">
        <v>22900</v>
      </c>
      <c r="Q418">
        <v>5100</v>
      </c>
      <c r="R418">
        <v>18.21</v>
      </c>
      <c r="S418" t="s">
        <v>97</v>
      </c>
      <c r="T418">
        <v>4500</v>
      </c>
      <c r="U418">
        <v>4.4000000000000004</v>
      </c>
      <c r="V418" t="s">
        <v>58</v>
      </c>
    </row>
    <row r="419" spans="1:22" x14ac:dyDescent="0.3">
      <c r="A419" t="s">
        <v>4561</v>
      </c>
      <c r="B419" t="s">
        <v>3863</v>
      </c>
      <c r="C419" t="s">
        <v>3864</v>
      </c>
      <c r="D419" s="2">
        <v>45856</v>
      </c>
      <c r="E419" t="s">
        <v>134</v>
      </c>
      <c r="F419" t="s">
        <v>134</v>
      </c>
      <c r="G419" t="s">
        <v>67</v>
      </c>
      <c r="H419" t="s">
        <v>88</v>
      </c>
      <c r="I419" t="s">
        <v>29</v>
      </c>
      <c r="J419" t="s">
        <v>162</v>
      </c>
      <c r="K419">
        <v>10</v>
      </c>
      <c r="L419">
        <v>41</v>
      </c>
      <c r="M419">
        <v>38400</v>
      </c>
      <c r="N419">
        <v>0</v>
      </c>
      <c r="O419">
        <v>38400</v>
      </c>
      <c r="P419">
        <v>19900</v>
      </c>
      <c r="Q419">
        <v>18500</v>
      </c>
      <c r="R419">
        <v>48.18</v>
      </c>
      <c r="S419" t="s">
        <v>126</v>
      </c>
      <c r="T419">
        <v>3700</v>
      </c>
      <c r="U419">
        <v>3.9</v>
      </c>
      <c r="V419" t="s">
        <v>42</v>
      </c>
    </row>
    <row r="420" spans="1:22" x14ac:dyDescent="0.3">
      <c r="A420" t="s">
        <v>4473</v>
      </c>
      <c r="B420" t="s">
        <v>4184</v>
      </c>
      <c r="C420" t="s">
        <v>4185</v>
      </c>
      <c r="D420" s="2">
        <v>45857</v>
      </c>
      <c r="E420" t="s">
        <v>161</v>
      </c>
      <c r="F420" t="s">
        <v>161</v>
      </c>
      <c r="G420" t="s">
        <v>118</v>
      </c>
      <c r="H420" t="s">
        <v>68</v>
      </c>
      <c r="I420" t="s">
        <v>69</v>
      </c>
      <c r="J420" t="s">
        <v>70</v>
      </c>
      <c r="K420">
        <v>7</v>
      </c>
      <c r="L420">
        <v>35</v>
      </c>
      <c r="M420">
        <v>122900</v>
      </c>
      <c r="N420">
        <v>6100</v>
      </c>
      <c r="O420">
        <v>116800</v>
      </c>
      <c r="P420">
        <v>77200</v>
      </c>
      <c r="Q420">
        <v>39600</v>
      </c>
      <c r="R420">
        <v>33.9</v>
      </c>
      <c r="S420" t="s">
        <v>97</v>
      </c>
      <c r="T420">
        <v>17300</v>
      </c>
      <c r="U420">
        <v>3.6</v>
      </c>
      <c r="V420" t="s">
        <v>42</v>
      </c>
    </row>
    <row r="421" spans="1:22" x14ac:dyDescent="0.3">
      <c r="A421" t="s">
        <v>4875</v>
      </c>
      <c r="B421" t="s">
        <v>1592</v>
      </c>
      <c r="C421" t="s">
        <v>1593</v>
      </c>
      <c r="D421" s="2">
        <v>45858</v>
      </c>
      <c r="E421" t="s">
        <v>134</v>
      </c>
      <c r="F421" t="s">
        <v>134</v>
      </c>
      <c r="G421" t="s">
        <v>213</v>
      </c>
      <c r="H421" t="s">
        <v>214</v>
      </c>
      <c r="I421" t="s">
        <v>69</v>
      </c>
      <c r="J421" t="s">
        <v>30</v>
      </c>
      <c r="K421">
        <v>6</v>
      </c>
      <c r="L421">
        <v>34</v>
      </c>
      <c r="M421">
        <v>26500</v>
      </c>
      <c r="N421">
        <v>2600</v>
      </c>
      <c r="O421">
        <v>23900</v>
      </c>
      <c r="P421">
        <v>18000</v>
      </c>
      <c r="Q421">
        <v>5900</v>
      </c>
      <c r="R421">
        <v>24.69</v>
      </c>
      <c r="S421" t="s">
        <v>126</v>
      </c>
      <c r="T421">
        <v>4200</v>
      </c>
      <c r="U421">
        <v>4.0999999999999996</v>
      </c>
      <c r="V421" t="s">
        <v>114</v>
      </c>
    </row>
    <row r="422" spans="1:22" x14ac:dyDescent="0.3">
      <c r="A422" t="s">
        <v>3960</v>
      </c>
      <c r="B422" t="s">
        <v>1675</v>
      </c>
      <c r="C422" t="s">
        <v>1676</v>
      </c>
      <c r="D422" s="2">
        <v>45858</v>
      </c>
      <c r="E422" t="s">
        <v>134</v>
      </c>
      <c r="F422" t="s">
        <v>134</v>
      </c>
      <c r="G422" t="s">
        <v>580</v>
      </c>
      <c r="H422" t="s">
        <v>68</v>
      </c>
      <c r="I422" t="s">
        <v>29</v>
      </c>
      <c r="J422" t="s">
        <v>30</v>
      </c>
      <c r="K422">
        <v>8</v>
      </c>
      <c r="L422">
        <v>51</v>
      </c>
      <c r="M422">
        <v>44300</v>
      </c>
      <c r="N422">
        <v>0</v>
      </c>
      <c r="O422">
        <v>44300</v>
      </c>
      <c r="P422">
        <v>23900</v>
      </c>
      <c r="Q422">
        <v>20400</v>
      </c>
      <c r="R422">
        <v>46.05</v>
      </c>
      <c r="S422" t="s">
        <v>182</v>
      </c>
      <c r="T422">
        <v>4500</v>
      </c>
      <c r="U422">
        <v>4.8</v>
      </c>
      <c r="V422" t="s">
        <v>114</v>
      </c>
    </row>
    <row r="423" spans="1:22" x14ac:dyDescent="0.3">
      <c r="A423" t="s">
        <v>2150</v>
      </c>
      <c r="B423" t="s">
        <v>2151</v>
      </c>
      <c r="C423" t="s">
        <v>2152</v>
      </c>
      <c r="D423" s="2">
        <v>45858</v>
      </c>
      <c r="E423" t="s">
        <v>282</v>
      </c>
      <c r="F423" t="s">
        <v>282</v>
      </c>
      <c r="G423" t="s">
        <v>213</v>
      </c>
      <c r="H423" t="s">
        <v>88</v>
      </c>
      <c r="I423" t="s">
        <v>69</v>
      </c>
      <c r="J423" t="s">
        <v>70</v>
      </c>
      <c r="K423">
        <v>10</v>
      </c>
      <c r="L423">
        <v>53</v>
      </c>
      <c r="M423">
        <v>42500</v>
      </c>
      <c r="N423">
        <v>4200</v>
      </c>
      <c r="O423">
        <v>38300</v>
      </c>
      <c r="P423">
        <v>27000</v>
      </c>
      <c r="Q423">
        <v>11300</v>
      </c>
      <c r="R423">
        <v>29.5</v>
      </c>
      <c r="S423" t="s">
        <v>58</v>
      </c>
      <c r="T423">
        <v>5800</v>
      </c>
      <c r="U423">
        <v>3.6</v>
      </c>
      <c r="V423" t="s">
        <v>42</v>
      </c>
    </row>
    <row r="424" spans="1:22" x14ac:dyDescent="0.3">
      <c r="A424" t="s">
        <v>4154</v>
      </c>
      <c r="B424" t="s">
        <v>4155</v>
      </c>
      <c r="C424" t="s">
        <v>4156</v>
      </c>
      <c r="D424" s="2">
        <v>45860</v>
      </c>
      <c r="E424" t="s">
        <v>66</v>
      </c>
      <c r="F424" t="s">
        <v>66</v>
      </c>
      <c r="G424" t="s">
        <v>103</v>
      </c>
      <c r="H424" t="s">
        <v>268</v>
      </c>
      <c r="I424" t="s">
        <v>29</v>
      </c>
      <c r="J424" t="s">
        <v>30</v>
      </c>
      <c r="K424">
        <v>5</v>
      </c>
      <c r="L424">
        <v>43</v>
      </c>
      <c r="M424">
        <v>19500</v>
      </c>
      <c r="N424">
        <v>2000</v>
      </c>
      <c r="O424">
        <v>17500</v>
      </c>
      <c r="P424">
        <v>14300</v>
      </c>
      <c r="Q424">
        <v>3200</v>
      </c>
      <c r="R424">
        <v>18.29</v>
      </c>
      <c r="S424" t="s">
        <v>126</v>
      </c>
      <c r="T424">
        <v>1000</v>
      </c>
      <c r="U424">
        <v>4.9000000000000004</v>
      </c>
      <c r="V424" t="s">
        <v>58</v>
      </c>
    </row>
    <row r="425" spans="1:22" x14ac:dyDescent="0.3">
      <c r="A425" t="s">
        <v>2653</v>
      </c>
      <c r="B425" t="s">
        <v>1093</v>
      </c>
      <c r="C425" t="s">
        <v>1094</v>
      </c>
      <c r="D425" s="2">
        <v>45860</v>
      </c>
      <c r="E425" t="s">
        <v>66</v>
      </c>
      <c r="F425" t="s">
        <v>66</v>
      </c>
      <c r="G425" t="s">
        <v>213</v>
      </c>
      <c r="H425" t="s">
        <v>49</v>
      </c>
      <c r="I425" t="s">
        <v>29</v>
      </c>
      <c r="J425" t="s">
        <v>257</v>
      </c>
      <c r="K425">
        <v>9</v>
      </c>
      <c r="L425">
        <v>43</v>
      </c>
      <c r="M425">
        <v>33600</v>
      </c>
      <c r="N425">
        <v>6700</v>
      </c>
      <c r="O425">
        <v>26900</v>
      </c>
      <c r="P425">
        <v>15800</v>
      </c>
      <c r="Q425">
        <v>11100</v>
      </c>
      <c r="R425">
        <v>41.26</v>
      </c>
      <c r="S425" t="s">
        <v>39</v>
      </c>
      <c r="T425">
        <v>3100</v>
      </c>
      <c r="U425">
        <v>4</v>
      </c>
      <c r="V425" t="s">
        <v>82</v>
      </c>
    </row>
    <row r="426" spans="1:22" x14ac:dyDescent="0.3">
      <c r="A426" t="s">
        <v>5361</v>
      </c>
      <c r="B426" t="s">
        <v>1797</v>
      </c>
      <c r="C426" t="s">
        <v>1798</v>
      </c>
      <c r="D426" s="2">
        <v>45860</v>
      </c>
      <c r="E426" t="s">
        <v>282</v>
      </c>
      <c r="F426" t="s">
        <v>282</v>
      </c>
      <c r="G426" t="s">
        <v>48</v>
      </c>
      <c r="H426" t="s">
        <v>28</v>
      </c>
      <c r="I426" t="s">
        <v>69</v>
      </c>
      <c r="J426" t="s">
        <v>162</v>
      </c>
      <c r="K426">
        <v>6</v>
      </c>
      <c r="L426">
        <v>61</v>
      </c>
      <c r="M426">
        <v>24900</v>
      </c>
      <c r="N426">
        <v>0</v>
      </c>
      <c r="O426">
        <v>24900</v>
      </c>
      <c r="P426">
        <v>19300</v>
      </c>
      <c r="Q426">
        <v>5600</v>
      </c>
      <c r="R426">
        <v>22.49</v>
      </c>
      <c r="S426" t="s">
        <v>58</v>
      </c>
      <c r="T426">
        <v>3700</v>
      </c>
      <c r="U426">
        <v>4.5</v>
      </c>
      <c r="V426" t="s">
        <v>42</v>
      </c>
    </row>
    <row r="427" spans="1:22" x14ac:dyDescent="0.3">
      <c r="A427" t="s">
        <v>5461</v>
      </c>
      <c r="B427" t="s">
        <v>2871</v>
      </c>
      <c r="C427" t="s">
        <v>2872</v>
      </c>
      <c r="D427" s="2">
        <v>45860</v>
      </c>
      <c r="E427" t="s">
        <v>134</v>
      </c>
      <c r="F427" t="s">
        <v>134</v>
      </c>
      <c r="G427" t="s">
        <v>580</v>
      </c>
      <c r="H427" t="s">
        <v>268</v>
      </c>
      <c r="I427" t="s">
        <v>69</v>
      </c>
      <c r="J427" t="s">
        <v>30</v>
      </c>
      <c r="K427">
        <v>9</v>
      </c>
      <c r="L427">
        <v>55</v>
      </c>
      <c r="M427">
        <v>65300</v>
      </c>
      <c r="N427">
        <v>9800</v>
      </c>
      <c r="O427">
        <v>55500</v>
      </c>
      <c r="P427">
        <v>39300</v>
      </c>
      <c r="Q427">
        <v>16200</v>
      </c>
      <c r="R427">
        <v>29.19</v>
      </c>
      <c r="S427" t="s">
        <v>97</v>
      </c>
      <c r="T427">
        <v>7500</v>
      </c>
      <c r="U427">
        <v>3.5</v>
      </c>
      <c r="V427" t="s">
        <v>58</v>
      </c>
    </row>
    <row r="428" spans="1:22" x14ac:dyDescent="0.3">
      <c r="A428" t="s">
        <v>576</v>
      </c>
      <c r="B428" t="s">
        <v>577</v>
      </c>
      <c r="C428" t="s">
        <v>578</v>
      </c>
      <c r="D428" s="2">
        <v>45861</v>
      </c>
      <c r="E428" t="s">
        <v>134</v>
      </c>
      <c r="F428" t="s">
        <v>134</v>
      </c>
      <c r="G428" t="s">
        <v>580</v>
      </c>
      <c r="H428" t="s">
        <v>5470</v>
      </c>
      <c r="I428" t="s">
        <v>69</v>
      </c>
      <c r="J428" t="s">
        <v>30</v>
      </c>
      <c r="K428">
        <v>4</v>
      </c>
      <c r="L428">
        <v>45</v>
      </c>
      <c r="M428">
        <v>21600</v>
      </c>
      <c r="N428">
        <v>0</v>
      </c>
      <c r="O428">
        <v>21600</v>
      </c>
      <c r="P428">
        <v>15500</v>
      </c>
      <c r="Q428">
        <v>6100</v>
      </c>
      <c r="R428">
        <v>28.24</v>
      </c>
      <c r="S428" t="s">
        <v>58</v>
      </c>
      <c r="T428">
        <v>1000</v>
      </c>
      <c r="U428">
        <v>2.8</v>
      </c>
      <c r="V428" t="s">
        <v>79</v>
      </c>
    </row>
    <row r="429" spans="1:22" x14ac:dyDescent="0.3">
      <c r="A429" t="s">
        <v>1649</v>
      </c>
      <c r="B429" t="s">
        <v>339</v>
      </c>
      <c r="C429" t="s">
        <v>340</v>
      </c>
      <c r="D429" s="2">
        <v>45862</v>
      </c>
      <c r="E429" t="s">
        <v>282</v>
      </c>
      <c r="F429" t="s">
        <v>282</v>
      </c>
      <c r="G429" t="s">
        <v>147</v>
      </c>
      <c r="H429" t="s">
        <v>5470</v>
      </c>
      <c r="I429" t="s">
        <v>69</v>
      </c>
      <c r="J429" t="s">
        <v>30</v>
      </c>
      <c r="K429">
        <v>6</v>
      </c>
      <c r="L429">
        <v>8</v>
      </c>
      <c r="M429">
        <v>120100</v>
      </c>
      <c r="N429">
        <v>0</v>
      </c>
      <c r="O429">
        <v>120100</v>
      </c>
      <c r="P429">
        <v>55000</v>
      </c>
      <c r="Q429">
        <v>65100</v>
      </c>
      <c r="R429">
        <v>54.2</v>
      </c>
      <c r="S429" t="s">
        <v>97</v>
      </c>
      <c r="T429">
        <v>11400</v>
      </c>
      <c r="U429">
        <v>4.7</v>
      </c>
      <c r="V429" t="s">
        <v>58</v>
      </c>
    </row>
    <row r="430" spans="1:22" x14ac:dyDescent="0.3">
      <c r="A430" t="s">
        <v>3774</v>
      </c>
      <c r="B430" t="s">
        <v>3775</v>
      </c>
      <c r="C430" t="s">
        <v>3776</v>
      </c>
      <c r="D430" s="2">
        <v>45862</v>
      </c>
      <c r="E430" t="s">
        <v>188</v>
      </c>
      <c r="F430" t="s">
        <v>188</v>
      </c>
      <c r="G430" t="s">
        <v>580</v>
      </c>
      <c r="H430" t="s">
        <v>268</v>
      </c>
      <c r="I430" t="s">
        <v>69</v>
      </c>
      <c r="J430" t="s">
        <v>30</v>
      </c>
      <c r="K430">
        <v>9</v>
      </c>
      <c r="L430">
        <v>28</v>
      </c>
      <c r="M430">
        <v>61600</v>
      </c>
      <c r="N430">
        <v>0</v>
      </c>
      <c r="O430">
        <v>61600</v>
      </c>
      <c r="P430">
        <v>26200</v>
      </c>
      <c r="Q430">
        <v>35400</v>
      </c>
      <c r="R430">
        <v>57.47</v>
      </c>
      <c r="S430" t="s">
        <v>182</v>
      </c>
      <c r="T430">
        <v>7800</v>
      </c>
      <c r="U430">
        <v>3.9</v>
      </c>
      <c r="V430" t="s">
        <v>58</v>
      </c>
    </row>
    <row r="431" spans="1:22" x14ac:dyDescent="0.3">
      <c r="A431" t="s">
        <v>697</v>
      </c>
      <c r="B431" t="s">
        <v>698</v>
      </c>
      <c r="C431" t="s">
        <v>699</v>
      </c>
      <c r="D431" s="2">
        <v>45862</v>
      </c>
      <c r="E431" t="s">
        <v>244</v>
      </c>
      <c r="F431" t="s">
        <v>244</v>
      </c>
      <c r="G431" t="s">
        <v>213</v>
      </c>
      <c r="H431" t="s">
        <v>214</v>
      </c>
      <c r="I431" t="s">
        <v>29</v>
      </c>
      <c r="J431" t="s">
        <v>70</v>
      </c>
      <c r="K431">
        <v>2</v>
      </c>
      <c r="L431">
        <v>58</v>
      </c>
      <c r="M431">
        <v>71100</v>
      </c>
      <c r="N431">
        <v>14200</v>
      </c>
      <c r="O431">
        <v>56900</v>
      </c>
      <c r="P431">
        <v>36600</v>
      </c>
      <c r="Q431">
        <v>20300</v>
      </c>
      <c r="R431">
        <v>35.68</v>
      </c>
      <c r="S431" t="s">
        <v>97</v>
      </c>
      <c r="T431">
        <v>9500</v>
      </c>
      <c r="U431">
        <v>4.9000000000000004</v>
      </c>
      <c r="V431" t="s">
        <v>42</v>
      </c>
    </row>
    <row r="432" spans="1:22" x14ac:dyDescent="0.3">
      <c r="A432" t="s">
        <v>1486</v>
      </c>
      <c r="B432" t="s">
        <v>1487</v>
      </c>
      <c r="C432" t="s">
        <v>1488</v>
      </c>
      <c r="D432" s="2">
        <v>45863</v>
      </c>
      <c r="E432" t="s">
        <v>134</v>
      </c>
      <c r="F432" t="s">
        <v>134</v>
      </c>
      <c r="G432" t="s">
        <v>147</v>
      </c>
      <c r="H432" t="s">
        <v>229</v>
      </c>
      <c r="I432" t="s">
        <v>29</v>
      </c>
      <c r="J432" t="s">
        <v>30</v>
      </c>
      <c r="K432">
        <v>4</v>
      </c>
      <c r="L432">
        <v>64</v>
      </c>
      <c r="M432">
        <v>49900</v>
      </c>
      <c r="N432">
        <v>10000</v>
      </c>
      <c r="O432">
        <v>39900</v>
      </c>
      <c r="P432">
        <v>23100</v>
      </c>
      <c r="Q432">
        <v>16800</v>
      </c>
      <c r="R432">
        <v>42.11</v>
      </c>
      <c r="S432" t="s">
        <v>182</v>
      </c>
      <c r="T432">
        <v>1700</v>
      </c>
      <c r="U432">
        <v>4.9000000000000004</v>
      </c>
      <c r="V432" t="s">
        <v>58</v>
      </c>
    </row>
    <row r="433" spans="1:22" x14ac:dyDescent="0.3">
      <c r="A433" t="s">
        <v>4158</v>
      </c>
      <c r="B433" t="s">
        <v>1512</v>
      </c>
      <c r="C433" t="s">
        <v>1513</v>
      </c>
      <c r="D433" s="2">
        <v>45864</v>
      </c>
      <c r="E433" t="s">
        <v>282</v>
      </c>
      <c r="F433" t="s">
        <v>282</v>
      </c>
      <c r="G433" t="s">
        <v>27</v>
      </c>
      <c r="H433" t="s">
        <v>229</v>
      </c>
      <c r="I433" t="s">
        <v>69</v>
      </c>
      <c r="J433" t="s">
        <v>162</v>
      </c>
      <c r="K433">
        <v>6</v>
      </c>
      <c r="L433">
        <v>21</v>
      </c>
      <c r="M433">
        <v>23400</v>
      </c>
      <c r="N433">
        <v>0</v>
      </c>
      <c r="O433">
        <v>23400</v>
      </c>
      <c r="P433">
        <v>17000</v>
      </c>
      <c r="Q433">
        <v>6400</v>
      </c>
      <c r="R433">
        <v>27.35</v>
      </c>
      <c r="S433" t="s">
        <v>5471</v>
      </c>
      <c r="T433">
        <v>1400</v>
      </c>
      <c r="U433">
        <v>4.3</v>
      </c>
      <c r="V433" t="s">
        <v>79</v>
      </c>
    </row>
    <row r="434" spans="1:22" x14ac:dyDescent="0.3">
      <c r="A434" t="s">
        <v>1629</v>
      </c>
      <c r="B434" t="s">
        <v>1630</v>
      </c>
      <c r="C434" t="s">
        <v>1631</v>
      </c>
      <c r="D434" s="2">
        <v>45864</v>
      </c>
      <c r="E434" t="s">
        <v>282</v>
      </c>
      <c r="F434" t="s">
        <v>282</v>
      </c>
      <c r="G434" t="s">
        <v>67</v>
      </c>
      <c r="H434" t="s">
        <v>68</v>
      </c>
      <c r="I434" t="s">
        <v>29</v>
      </c>
      <c r="J434" t="s">
        <v>30</v>
      </c>
      <c r="K434">
        <v>10</v>
      </c>
      <c r="L434">
        <v>34</v>
      </c>
      <c r="M434">
        <v>72100</v>
      </c>
      <c r="N434">
        <v>3600</v>
      </c>
      <c r="O434">
        <v>68500</v>
      </c>
      <c r="P434">
        <v>38300</v>
      </c>
      <c r="Q434">
        <v>30200</v>
      </c>
      <c r="R434">
        <v>44.09</v>
      </c>
      <c r="S434" t="s">
        <v>39</v>
      </c>
      <c r="T434">
        <v>5500</v>
      </c>
      <c r="U434">
        <v>3.3</v>
      </c>
      <c r="V434" t="s">
        <v>58</v>
      </c>
    </row>
    <row r="435" spans="1:22" x14ac:dyDescent="0.3">
      <c r="A435" t="s">
        <v>3350</v>
      </c>
      <c r="B435" t="s">
        <v>3351</v>
      </c>
      <c r="C435" t="s">
        <v>3352</v>
      </c>
      <c r="D435" s="2">
        <v>45865</v>
      </c>
      <c r="E435" t="s">
        <v>66</v>
      </c>
      <c r="F435" t="s">
        <v>66</v>
      </c>
      <c r="G435" t="s">
        <v>103</v>
      </c>
      <c r="H435" t="s">
        <v>268</v>
      </c>
      <c r="I435" t="s">
        <v>69</v>
      </c>
      <c r="J435" t="s">
        <v>30</v>
      </c>
      <c r="K435">
        <v>4</v>
      </c>
      <c r="L435">
        <v>28</v>
      </c>
      <c r="M435">
        <v>21200</v>
      </c>
      <c r="N435">
        <v>2100</v>
      </c>
      <c r="O435">
        <v>19100</v>
      </c>
      <c r="P435">
        <v>13000</v>
      </c>
      <c r="Q435">
        <v>6100</v>
      </c>
      <c r="R435">
        <v>31.94</v>
      </c>
      <c r="S435" t="s">
        <v>97</v>
      </c>
      <c r="T435">
        <v>1000</v>
      </c>
      <c r="U435">
        <v>5</v>
      </c>
      <c r="V435" t="s">
        <v>79</v>
      </c>
    </row>
    <row r="436" spans="1:22" x14ac:dyDescent="0.3">
      <c r="A436" t="s">
        <v>4644</v>
      </c>
      <c r="B436" t="s">
        <v>2330</v>
      </c>
      <c r="C436" t="s">
        <v>2331</v>
      </c>
      <c r="D436" s="2">
        <v>45866</v>
      </c>
      <c r="E436" t="s">
        <v>228</v>
      </c>
      <c r="F436" t="s">
        <v>228</v>
      </c>
      <c r="G436" t="s">
        <v>147</v>
      </c>
      <c r="H436" t="s">
        <v>5470</v>
      </c>
      <c r="I436" t="s">
        <v>69</v>
      </c>
      <c r="J436" t="s">
        <v>70</v>
      </c>
      <c r="K436">
        <v>7</v>
      </c>
      <c r="L436">
        <v>39</v>
      </c>
      <c r="M436">
        <v>62500</v>
      </c>
      <c r="N436">
        <v>12500</v>
      </c>
      <c r="O436">
        <v>50000</v>
      </c>
      <c r="P436">
        <v>34800</v>
      </c>
      <c r="Q436">
        <v>15200</v>
      </c>
      <c r="R436">
        <v>30.4</v>
      </c>
      <c r="S436" t="s">
        <v>79</v>
      </c>
      <c r="T436">
        <v>2700</v>
      </c>
      <c r="U436">
        <v>3.3</v>
      </c>
      <c r="V436" t="s">
        <v>58</v>
      </c>
    </row>
    <row r="437" spans="1:22" x14ac:dyDescent="0.3">
      <c r="A437" t="s">
        <v>1534</v>
      </c>
      <c r="B437" t="s">
        <v>1535</v>
      </c>
      <c r="C437" t="s">
        <v>1536</v>
      </c>
      <c r="D437" s="2">
        <v>45866</v>
      </c>
      <c r="E437" t="s">
        <v>282</v>
      </c>
      <c r="F437" t="s">
        <v>282</v>
      </c>
      <c r="G437" t="s">
        <v>118</v>
      </c>
      <c r="H437" t="s">
        <v>229</v>
      </c>
      <c r="I437" t="s">
        <v>69</v>
      </c>
      <c r="J437" t="s">
        <v>30</v>
      </c>
      <c r="K437">
        <v>7</v>
      </c>
      <c r="L437">
        <v>84</v>
      </c>
      <c r="M437">
        <v>22700</v>
      </c>
      <c r="N437">
        <v>3400</v>
      </c>
      <c r="O437">
        <v>19300</v>
      </c>
      <c r="P437">
        <v>11400</v>
      </c>
      <c r="Q437">
        <v>7900</v>
      </c>
      <c r="R437">
        <v>40.93</v>
      </c>
      <c r="S437" t="s">
        <v>58</v>
      </c>
      <c r="T437">
        <v>2900</v>
      </c>
      <c r="U437">
        <v>4.2</v>
      </c>
      <c r="V437" t="s">
        <v>114</v>
      </c>
    </row>
    <row r="438" spans="1:22" x14ac:dyDescent="0.3">
      <c r="A438" t="s">
        <v>4558</v>
      </c>
      <c r="B438" t="s">
        <v>3638</v>
      </c>
      <c r="C438" t="s">
        <v>3639</v>
      </c>
      <c r="D438" s="2">
        <v>45866</v>
      </c>
      <c r="E438" t="s">
        <v>228</v>
      </c>
      <c r="F438" t="s">
        <v>228</v>
      </c>
      <c r="G438" t="s">
        <v>147</v>
      </c>
      <c r="H438" t="s">
        <v>68</v>
      </c>
      <c r="I438" t="s">
        <v>29</v>
      </c>
      <c r="J438" t="s">
        <v>30</v>
      </c>
      <c r="K438">
        <v>3</v>
      </c>
      <c r="L438">
        <v>34</v>
      </c>
      <c r="M438">
        <v>63000</v>
      </c>
      <c r="N438">
        <v>0</v>
      </c>
      <c r="O438">
        <v>63000</v>
      </c>
      <c r="P438">
        <v>44800</v>
      </c>
      <c r="Q438">
        <v>18200</v>
      </c>
      <c r="R438">
        <v>28.89</v>
      </c>
      <c r="S438" t="s">
        <v>39</v>
      </c>
      <c r="T438">
        <v>9500</v>
      </c>
      <c r="U438">
        <v>4</v>
      </c>
      <c r="V438" t="s">
        <v>58</v>
      </c>
    </row>
    <row r="439" spans="1:22" x14ac:dyDescent="0.3">
      <c r="A439" t="s">
        <v>4694</v>
      </c>
      <c r="B439" t="s">
        <v>2563</v>
      </c>
      <c r="C439" t="s">
        <v>2564</v>
      </c>
      <c r="D439" s="2">
        <v>45867</v>
      </c>
      <c r="E439" t="s">
        <v>244</v>
      </c>
      <c r="F439" t="s">
        <v>244</v>
      </c>
      <c r="G439" t="s">
        <v>213</v>
      </c>
      <c r="H439" t="s">
        <v>49</v>
      </c>
      <c r="I439" t="s">
        <v>69</v>
      </c>
      <c r="J439" t="s">
        <v>30</v>
      </c>
      <c r="K439">
        <v>10</v>
      </c>
      <c r="L439">
        <v>26</v>
      </c>
      <c r="M439">
        <v>49700</v>
      </c>
      <c r="N439">
        <v>2500</v>
      </c>
      <c r="O439">
        <v>47200</v>
      </c>
      <c r="P439">
        <v>23500</v>
      </c>
      <c r="Q439">
        <v>23700</v>
      </c>
      <c r="R439">
        <v>50.21</v>
      </c>
      <c r="S439" t="s">
        <v>97</v>
      </c>
      <c r="T439">
        <v>8200</v>
      </c>
      <c r="U439">
        <v>4.5</v>
      </c>
      <c r="V439" t="s">
        <v>114</v>
      </c>
    </row>
    <row r="440" spans="1:22" x14ac:dyDescent="0.3">
      <c r="A440" t="s">
        <v>4075</v>
      </c>
      <c r="B440" t="s">
        <v>2213</v>
      </c>
      <c r="C440" t="s">
        <v>2214</v>
      </c>
      <c r="D440" s="2">
        <v>45867</v>
      </c>
      <c r="E440" t="s">
        <v>161</v>
      </c>
      <c r="F440" t="s">
        <v>161</v>
      </c>
      <c r="G440" t="s">
        <v>103</v>
      </c>
      <c r="H440" t="s">
        <v>214</v>
      </c>
      <c r="I440" t="s">
        <v>69</v>
      </c>
      <c r="J440" t="s">
        <v>30</v>
      </c>
      <c r="K440">
        <v>8</v>
      </c>
      <c r="L440">
        <v>5</v>
      </c>
      <c r="M440">
        <v>48400</v>
      </c>
      <c r="N440">
        <v>0</v>
      </c>
      <c r="O440">
        <v>48400</v>
      </c>
      <c r="P440">
        <v>39400</v>
      </c>
      <c r="Q440">
        <v>9000</v>
      </c>
      <c r="R440">
        <v>18.600000000000001</v>
      </c>
      <c r="S440" t="s">
        <v>39</v>
      </c>
      <c r="T440">
        <v>7000</v>
      </c>
      <c r="U440">
        <v>3.7</v>
      </c>
      <c r="V440" t="s">
        <v>82</v>
      </c>
    </row>
    <row r="441" spans="1:22" x14ac:dyDescent="0.3">
      <c r="A441" t="s">
        <v>395</v>
      </c>
      <c r="B441" t="s">
        <v>396</v>
      </c>
      <c r="C441" t="s">
        <v>397</v>
      </c>
      <c r="D441" s="2">
        <v>45867</v>
      </c>
      <c r="E441" t="s">
        <v>188</v>
      </c>
      <c r="F441" t="s">
        <v>188</v>
      </c>
      <c r="G441" t="s">
        <v>213</v>
      </c>
      <c r="H441" t="s">
        <v>268</v>
      </c>
      <c r="I441" t="s">
        <v>29</v>
      </c>
      <c r="J441" t="s">
        <v>30</v>
      </c>
      <c r="K441">
        <v>7</v>
      </c>
      <c r="L441">
        <v>59</v>
      </c>
      <c r="M441">
        <v>71700</v>
      </c>
      <c r="N441">
        <v>14300</v>
      </c>
      <c r="O441">
        <v>57400</v>
      </c>
      <c r="P441">
        <v>36100</v>
      </c>
      <c r="Q441">
        <v>21300</v>
      </c>
      <c r="R441">
        <v>37.11</v>
      </c>
      <c r="S441" t="s">
        <v>58</v>
      </c>
      <c r="T441">
        <v>7900</v>
      </c>
      <c r="U441">
        <v>3.7</v>
      </c>
      <c r="V441" t="s">
        <v>82</v>
      </c>
    </row>
    <row r="442" spans="1:22" x14ac:dyDescent="0.3">
      <c r="A442" t="s">
        <v>4586</v>
      </c>
      <c r="B442" t="s">
        <v>4155</v>
      </c>
      <c r="C442" t="s">
        <v>4156</v>
      </c>
      <c r="D442" s="2">
        <v>45868</v>
      </c>
      <c r="E442" t="s">
        <v>66</v>
      </c>
      <c r="F442" t="s">
        <v>66</v>
      </c>
      <c r="G442" t="s">
        <v>48</v>
      </c>
      <c r="H442" t="s">
        <v>268</v>
      </c>
      <c r="I442" t="s">
        <v>29</v>
      </c>
      <c r="J442" t="s">
        <v>30</v>
      </c>
      <c r="K442">
        <v>9</v>
      </c>
      <c r="L442">
        <v>16</v>
      </c>
      <c r="M442">
        <v>51500</v>
      </c>
      <c r="N442">
        <v>10300</v>
      </c>
      <c r="O442">
        <v>41200</v>
      </c>
      <c r="P442">
        <v>31800</v>
      </c>
      <c r="Q442">
        <v>9400</v>
      </c>
      <c r="R442">
        <v>22.82</v>
      </c>
      <c r="S442" t="s">
        <v>126</v>
      </c>
      <c r="T442">
        <v>6700</v>
      </c>
      <c r="U442">
        <v>3.9</v>
      </c>
      <c r="V442" t="s">
        <v>58</v>
      </c>
    </row>
    <row r="443" spans="1:22" x14ac:dyDescent="0.3">
      <c r="A443" t="s">
        <v>2620</v>
      </c>
      <c r="B443" t="s">
        <v>2621</v>
      </c>
      <c r="C443" t="s">
        <v>2622</v>
      </c>
      <c r="D443" s="2">
        <v>45868</v>
      </c>
      <c r="E443" t="s">
        <v>161</v>
      </c>
      <c r="F443" t="s">
        <v>161</v>
      </c>
      <c r="G443" t="s">
        <v>48</v>
      </c>
      <c r="H443" t="s">
        <v>5470</v>
      </c>
      <c r="I443" t="s">
        <v>29</v>
      </c>
      <c r="J443" t="s">
        <v>70</v>
      </c>
      <c r="K443">
        <v>10</v>
      </c>
      <c r="L443">
        <v>7</v>
      </c>
      <c r="M443">
        <v>35200</v>
      </c>
      <c r="N443">
        <v>5300</v>
      </c>
      <c r="O443">
        <v>29900</v>
      </c>
      <c r="P443">
        <v>23500</v>
      </c>
      <c r="Q443">
        <v>6400</v>
      </c>
      <c r="R443">
        <v>21.4</v>
      </c>
      <c r="S443" t="s">
        <v>97</v>
      </c>
      <c r="T443">
        <v>2200</v>
      </c>
      <c r="U443">
        <v>2.8</v>
      </c>
      <c r="V443" t="s">
        <v>114</v>
      </c>
    </row>
    <row r="444" spans="1:22" x14ac:dyDescent="0.3">
      <c r="A444" t="s">
        <v>4660</v>
      </c>
      <c r="B444" t="s">
        <v>2837</v>
      </c>
      <c r="C444" t="s">
        <v>2838</v>
      </c>
      <c r="D444" s="2">
        <v>45869</v>
      </c>
      <c r="E444" t="s">
        <v>161</v>
      </c>
      <c r="F444" t="s">
        <v>161</v>
      </c>
      <c r="G444" t="s">
        <v>27</v>
      </c>
      <c r="H444" t="s">
        <v>268</v>
      </c>
      <c r="I444" t="s">
        <v>69</v>
      </c>
      <c r="J444" t="s">
        <v>30</v>
      </c>
      <c r="K444">
        <v>3</v>
      </c>
      <c r="L444">
        <v>32</v>
      </c>
      <c r="M444">
        <v>17400</v>
      </c>
      <c r="N444">
        <v>900</v>
      </c>
      <c r="O444">
        <v>16500</v>
      </c>
      <c r="P444">
        <v>10600</v>
      </c>
      <c r="Q444">
        <v>5900</v>
      </c>
      <c r="R444">
        <v>35.76</v>
      </c>
      <c r="S444" t="s">
        <v>97</v>
      </c>
      <c r="T444">
        <v>2500</v>
      </c>
      <c r="U444">
        <v>5</v>
      </c>
      <c r="V444" t="s">
        <v>58</v>
      </c>
    </row>
    <row r="445" spans="1:22" x14ac:dyDescent="0.3">
      <c r="A445" t="s">
        <v>2009</v>
      </c>
      <c r="B445" t="s">
        <v>2010</v>
      </c>
      <c r="C445" t="s">
        <v>2011</v>
      </c>
      <c r="D445" s="2">
        <v>45869</v>
      </c>
      <c r="E445" t="s">
        <v>228</v>
      </c>
      <c r="F445" t="s">
        <v>228</v>
      </c>
      <c r="G445" t="s">
        <v>67</v>
      </c>
      <c r="H445" t="s">
        <v>68</v>
      </c>
      <c r="I445" t="s">
        <v>69</v>
      </c>
      <c r="J445" t="s">
        <v>70</v>
      </c>
      <c r="K445">
        <v>5</v>
      </c>
      <c r="L445">
        <v>46</v>
      </c>
      <c r="M445">
        <v>38600</v>
      </c>
      <c r="N445">
        <v>5800</v>
      </c>
      <c r="O445">
        <v>32800</v>
      </c>
      <c r="P445">
        <v>20000</v>
      </c>
      <c r="Q445">
        <v>12800</v>
      </c>
      <c r="R445">
        <v>39.020000000000003</v>
      </c>
      <c r="S445" t="s">
        <v>126</v>
      </c>
      <c r="T445">
        <v>5400</v>
      </c>
      <c r="U445">
        <v>4.0999999999999996</v>
      </c>
      <c r="V445" t="s">
        <v>82</v>
      </c>
    </row>
    <row r="446" spans="1:22" x14ac:dyDescent="0.3">
      <c r="A446" t="s">
        <v>4121</v>
      </c>
      <c r="B446" t="s">
        <v>1153</v>
      </c>
      <c r="C446" t="s">
        <v>1154</v>
      </c>
      <c r="D446" s="2">
        <v>45870</v>
      </c>
      <c r="E446" t="s">
        <v>134</v>
      </c>
      <c r="F446" t="s">
        <v>134</v>
      </c>
      <c r="G446" t="s">
        <v>27</v>
      </c>
      <c r="H446" t="s">
        <v>49</v>
      </c>
      <c r="I446" t="s">
        <v>69</v>
      </c>
      <c r="J446" t="s">
        <v>30</v>
      </c>
      <c r="K446">
        <v>10</v>
      </c>
      <c r="L446">
        <v>42</v>
      </c>
      <c r="M446">
        <v>26100</v>
      </c>
      <c r="N446">
        <v>1300</v>
      </c>
      <c r="O446">
        <v>24800</v>
      </c>
      <c r="P446">
        <v>12200</v>
      </c>
      <c r="Q446">
        <v>12600</v>
      </c>
      <c r="R446">
        <v>50.81</v>
      </c>
      <c r="S446" t="s">
        <v>79</v>
      </c>
      <c r="T446">
        <v>4300</v>
      </c>
      <c r="U446">
        <v>4.3</v>
      </c>
      <c r="V446" t="s">
        <v>42</v>
      </c>
    </row>
    <row r="447" spans="1:22" x14ac:dyDescent="0.3">
      <c r="A447" t="s">
        <v>3520</v>
      </c>
      <c r="B447" t="s">
        <v>1459</v>
      </c>
      <c r="C447" t="s">
        <v>1460</v>
      </c>
      <c r="D447" s="2">
        <v>45870</v>
      </c>
      <c r="E447" t="s">
        <v>26</v>
      </c>
      <c r="F447" t="s">
        <v>26</v>
      </c>
      <c r="G447" t="s">
        <v>27</v>
      </c>
      <c r="H447" t="s">
        <v>28</v>
      </c>
      <c r="I447" t="s">
        <v>29</v>
      </c>
      <c r="J447" t="s">
        <v>30</v>
      </c>
      <c r="K447">
        <v>6</v>
      </c>
      <c r="L447">
        <v>48</v>
      </c>
      <c r="M447">
        <v>38400</v>
      </c>
      <c r="N447">
        <v>3800</v>
      </c>
      <c r="O447">
        <v>34600</v>
      </c>
      <c r="P447">
        <v>17100</v>
      </c>
      <c r="Q447">
        <v>17500</v>
      </c>
      <c r="R447">
        <v>50.58</v>
      </c>
      <c r="S447" t="s">
        <v>39</v>
      </c>
      <c r="T447">
        <v>3900</v>
      </c>
      <c r="U447">
        <v>2.9</v>
      </c>
      <c r="V447" t="s">
        <v>42</v>
      </c>
    </row>
    <row r="448" spans="1:22" x14ac:dyDescent="0.3">
      <c r="A448" t="s">
        <v>2962</v>
      </c>
      <c r="B448" t="s">
        <v>2963</v>
      </c>
      <c r="C448" t="s">
        <v>2964</v>
      </c>
      <c r="D448" s="2">
        <v>45871</v>
      </c>
      <c r="E448" t="s">
        <v>26</v>
      </c>
      <c r="F448" t="s">
        <v>26</v>
      </c>
      <c r="G448" t="s">
        <v>580</v>
      </c>
      <c r="H448" t="s">
        <v>88</v>
      </c>
      <c r="I448" t="s">
        <v>29</v>
      </c>
      <c r="J448" t="s">
        <v>162</v>
      </c>
      <c r="K448">
        <v>9</v>
      </c>
      <c r="L448">
        <v>55</v>
      </c>
      <c r="M448">
        <v>95300</v>
      </c>
      <c r="N448">
        <v>14300</v>
      </c>
      <c r="O448">
        <v>81000</v>
      </c>
      <c r="P448">
        <v>64200</v>
      </c>
      <c r="Q448">
        <v>16800</v>
      </c>
      <c r="R448">
        <v>20.74</v>
      </c>
      <c r="S448" t="s">
        <v>126</v>
      </c>
      <c r="T448">
        <v>14500</v>
      </c>
      <c r="U448">
        <v>3.1</v>
      </c>
      <c r="V448" t="s">
        <v>58</v>
      </c>
    </row>
    <row r="449" spans="1:22" x14ac:dyDescent="0.3">
      <c r="A449" t="s">
        <v>5198</v>
      </c>
      <c r="B449" t="s">
        <v>1587</v>
      </c>
      <c r="C449" t="s">
        <v>1588</v>
      </c>
      <c r="D449" s="2">
        <v>45872</v>
      </c>
      <c r="E449" t="s">
        <v>26</v>
      </c>
      <c r="F449" t="s">
        <v>26</v>
      </c>
      <c r="G449" t="s">
        <v>118</v>
      </c>
      <c r="H449" t="s">
        <v>28</v>
      </c>
      <c r="I449" t="s">
        <v>29</v>
      </c>
      <c r="J449" t="s">
        <v>162</v>
      </c>
      <c r="K449">
        <v>3</v>
      </c>
      <c r="L449">
        <v>30</v>
      </c>
      <c r="M449">
        <v>27900</v>
      </c>
      <c r="N449">
        <v>4200</v>
      </c>
      <c r="O449">
        <v>23700</v>
      </c>
      <c r="P449">
        <v>18200</v>
      </c>
      <c r="Q449">
        <v>5500</v>
      </c>
      <c r="R449">
        <v>23.21</v>
      </c>
      <c r="S449" t="s">
        <v>79</v>
      </c>
      <c r="T449">
        <v>4100</v>
      </c>
      <c r="U449">
        <v>4.5999999999999996</v>
      </c>
      <c r="V449" t="s">
        <v>114</v>
      </c>
    </row>
    <row r="450" spans="1:22" x14ac:dyDescent="0.3">
      <c r="A450" t="s">
        <v>557</v>
      </c>
      <c r="B450" t="s">
        <v>558</v>
      </c>
      <c r="C450" t="s">
        <v>559</v>
      </c>
      <c r="D450" s="2">
        <v>45873</v>
      </c>
      <c r="E450" t="s">
        <v>66</v>
      </c>
      <c r="F450" t="s">
        <v>66</v>
      </c>
      <c r="G450" t="s">
        <v>118</v>
      </c>
      <c r="H450" t="s">
        <v>214</v>
      </c>
      <c r="I450" t="s">
        <v>29</v>
      </c>
      <c r="J450" t="s">
        <v>70</v>
      </c>
      <c r="K450">
        <v>8</v>
      </c>
      <c r="L450">
        <v>40</v>
      </c>
      <c r="M450">
        <v>53900</v>
      </c>
      <c r="N450">
        <v>8100</v>
      </c>
      <c r="O450">
        <v>45800</v>
      </c>
      <c r="P450">
        <v>29700</v>
      </c>
      <c r="Q450">
        <v>16100</v>
      </c>
      <c r="R450">
        <v>35.15</v>
      </c>
      <c r="S450" t="s">
        <v>58</v>
      </c>
      <c r="T450">
        <v>3600</v>
      </c>
      <c r="U450">
        <v>2.9</v>
      </c>
      <c r="V450" t="s">
        <v>79</v>
      </c>
    </row>
    <row r="451" spans="1:22" x14ac:dyDescent="0.3">
      <c r="A451" t="s">
        <v>1525</v>
      </c>
      <c r="B451" t="s">
        <v>339</v>
      </c>
      <c r="C451" t="s">
        <v>340</v>
      </c>
      <c r="D451" s="2">
        <v>45873</v>
      </c>
      <c r="E451" t="s">
        <v>66</v>
      </c>
      <c r="F451" t="s">
        <v>66</v>
      </c>
      <c r="G451" t="s">
        <v>580</v>
      </c>
      <c r="H451" t="s">
        <v>268</v>
      </c>
      <c r="I451" t="s">
        <v>69</v>
      </c>
      <c r="J451" t="s">
        <v>30</v>
      </c>
      <c r="K451">
        <v>8</v>
      </c>
      <c r="M451">
        <v>36700</v>
      </c>
      <c r="N451">
        <v>0</v>
      </c>
      <c r="O451">
        <v>36700</v>
      </c>
      <c r="P451">
        <v>20000</v>
      </c>
      <c r="Q451">
        <v>16700</v>
      </c>
      <c r="R451">
        <v>45.5</v>
      </c>
      <c r="S451" t="s">
        <v>97</v>
      </c>
      <c r="T451">
        <v>6100</v>
      </c>
      <c r="U451">
        <v>5</v>
      </c>
      <c r="V451" t="s">
        <v>82</v>
      </c>
    </row>
    <row r="452" spans="1:22" x14ac:dyDescent="0.3">
      <c r="A452" t="s">
        <v>3254</v>
      </c>
      <c r="B452" t="s">
        <v>3255</v>
      </c>
      <c r="C452" t="s">
        <v>3256</v>
      </c>
      <c r="D452" s="2">
        <v>45874</v>
      </c>
      <c r="E452" t="s">
        <v>161</v>
      </c>
      <c r="F452" t="s">
        <v>161</v>
      </c>
      <c r="G452" t="s">
        <v>48</v>
      </c>
      <c r="H452" t="s">
        <v>229</v>
      </c>
      <c r="I452" t="s">
        <v>69</v>
      </c>
      <c r="J452" t="s">
        <v>30</v>
      </c>
      <c r="K452">
        <v>4</v>
      </c>
      <c r="L452">
        <v>23</v>
      </c>
      <c r="M452">
        <v>26000</v>
      </c>
      <c r="N452">
        <v>5200</v>
      </c>
      <c r="O452">
        <v>20800</v>
      </c>
      <c r="P452">
        <v>16800</v>
      </c>
      <c r="Q452">
        <v>4000</v>
      </c>
      <c r="R452">
        <v>19.23</v>
      </c>
      <c r="S452" t="s">
        <v>58</v>
      </c>
      <c r="T452">
        <v>2400</v>
      </c>
      <c r="U452">
        <v>5</v>
      </c>
      <c r="V452" t="s">
        <v>114</v>
      </c>
    </row>
    <row r="453" spans="1:22" x14ac:dyDescent="0.3">
      <c r="A453" t="s">
        <v>4828</v>
      </c>
      <c r="B453" t="s">
        <v>3502</v>
      </c>
      <c r="C453" t="s">
        <v>3503</v>
      </c>
      <c r="D453" s="2">
        <v>45874</v>
      </c>
      <c r="E453" t="s">
        <v>26</v>
      </c>
      <c r="F453" t="s">
        <v>26</v>
      </c>
      <c r="G453" t="s">
        <v>103</v>
      </c>
      <c r="H453" t="s">
        <v>28</v>
      </c>
      <c r="I453" t="s">
        <v>69</v>
      </c>
      <c r="J453" t="s">
        <v>30</v>
      </c>
      <c r="K453">
        <v>7</v>
      </c>
      <c r="L453">
        <v>30</v>
      </c>
      <c r="M453">
        <v>67900</v>
      </c>
      <c r="N453">
        <v>3400</v>
      </c>
      <c r="O453">
        <v>64500</v>
      </c>
      <c r="P453">
        <v>53600</v>
      </c>
      <c r="Q453">
        <v>10900</v>
      </c>
      <c r="R453">
        <v>16.899999999999999</v>
      </c>
      <c r="S453" t="s">
        <v>182</v>
      </c>
      <c r="T453">
        <v>2800</v>
      </c>
      <c r="U453">
        <v>4.8</v>
      </c>
      <c r="V453" t="s">
        <v>42</v>
      </c>
    </row>
    <row r="454" spans="1:22" x14ac:dyDescent="0.3">
      <c r="A454" t="s">
        <v>2324</v>
      </c>
      <c r="B454" t="s">
        <v>2277</v>
      </c>
      <c r="C454" t="s">
        <v>2278</v>
      </c>
      <c r="D454" s="2">
        <v>45874</v>
      </c>
      <c r="E454" t="s">
        <v>228</v>
      </c>
      <c r="F454" t="s">
        <v>228</v>
      </c>
      <c r="G454" t="s">
        <v>27</v>
      </c>
      <c r="H454" t="s">
        <v>28</v>
      </c>
      <c r="I454" t="s">
        <v>29</v>
      </c>
      <c r="J454" t="s">
        <v>30</v>
      </c>
      <c r="K454">
        <v>5</v>
      </c>
      <c r="L454">
        <v>38</v>
      </c>
      <c r="M454">
        <v>56900</v>
      </c>
      <c r="N454">
        <v>8500</v>
      </c>
      <c r="O454">
        <v>48400</v>
      </c>
      <c r="P454">
        <v>40800</v>
      </c>
      <c r="Q454">
        <v>7600</v>
      </c>
      <c r="R454">
        <v>15.7</v>
      </c>
      <c r="S454" t="s">
        <v>79</v>
      </c>
      <c r="T454">
        <v>2400</v>
      </c>
      <c r="U454">
        <v>3.4</v>
      </c>
      <c r="V454" t="s">
        <v>114</v>
      </c>
    </row>
    <row r="455" spans="1:22" x14ac:dyDescent="0.3">
      <c r="A455" t="s">
        <v>1775</v>
      </c>
      <c r="B455" t="s">
        <v>971</v>
      </c>
      <c r="C455" t="s">
        <v>972</v>
      </c>
      <c r="D455" s="2">
        <v>45874</v>
      </c>
      <c r="E455" t="s">
        <v>66</v>
      </c>
      <c r="F455" t="s">
        <v>66</v>
      </c>
      <c r="G455" t="s">
        <v>580</v>
      </c>
      <c r="H455" t="s">
        <v>49</v>
      </c>
      <c r="I455" t="s">
        <v>29</v>
      </c>
      <c r="J455" t="s">
        <v>257</v>
      </c>
      <c r="K455">
        <v>5</v>
      </c>
      <c r="L455">
        <v>46</v>
      </c>
      <c r="M455">
        <v>47900</v>
      </c>
      <c r="N455">
        <v>9600</v>
      </c>
      <c r="O455">
        <v>38300</v>
      </c>
      <c r="P455">
        <v>31600</v>
      </c>
      <c r="Q455">
        <v>6700</v>
      </c>
      <c r="R455">
        <v>17.489999999999998</v>
      </c>
      <c r="S455" t="s">
        <v>97</v>
      </c>
      <c r="T455">
        <v>4300</v>
      </c>
      <c r="U455">
        <v>5</v>
      </c>
      <c r="V455" t="s">
        <v>58</v>
      </c>
    </row>
    <row r="456" spans="1:22" x14ac:dyDescent="0.3">
      <c r="A456" t="s">
        <v>2051</v>
      </c>
      <c r="B456" t="s">
        <v>2052</v>
      </c>
      <c r="C456" t="s">
        <v>2053</v>
      </c>
      <c r="D456" s="2">
        <v>45876</v>
      </c>
      <c r="E456" t="s">
        <v>26</v>
      </c>
      <c r="F456" t="s">
        <v>26</v>
      </c>
      <c r="G456" t="s">
        <v>580</v>
      </c>
      <c r="H456" t="s">
        <v>88</v>
      </c>
      <c r="I456" t="s">
        <v>29</v>
      </c>
      <c r="J456" t="s">
        <v>30</v>
      </c>
      <c r="K456">
        <v>9</v>
      </c>
      <c r="L456">
        <v>61</v>
      </c>
      <c r="M456">
        <v>27000</v>
      </c>
      <c r="N456">
        <v>0</v>
      </c>
      <c r="O456">
        <v>27000</v>
      </c>
      <c r="P456">
        <v>19300</v>
      </c>
      <c r="Q456">
        <v>7700</v>
      </c>
      <c r="R456">
        <v>28.52</v>
      </c>
      <c r="S456" t="s">
        <v>39</v>
      </c>
      <c r="T456">
        <v>1400</v>
      </c>
      <c r="U456">
        <v>3.9</v>
      </c>
      <c r="V456" t="s">
        <v>82</v>
      </c>
    </row>
    <row r="457" spans="1:22" x14ac:dyDescent="0.3">
      <c r="A457" t="s">
        <v>630</v>
      </c>
      <c r="B457" t="s">
        <v>631</v>
      </c>
      <c r="C457" t="s">
        <v>632</v>
      </c>
      <c r="D457" s="2">
        <v>45877</v>
      </c>
      <c r="E457" t="s">
        <v>228</v>
      </c>
      <c r="F457" t="s">
        <v>228</v>
      </c>
      <c r="G457" t="s">
        <v>580</v>
      </c>
      <c r="H457" t="s">
        <v>28</v>
      </c>
      <c r="I457" t="s">
        <v>69</v>
      </c>
      <c r="J457" t="s">
        <v>30</v>
      </c>
      <c r="K457">
        <v>3</v>
      </c>
      <c r="L457">
        <v>40</v>
      </c>
      <c r="M457">
        <v>44400</v>
      </c>
      <c r="N457">
        <v>6700</v>
      </c>
      <c r="O457">
        <v>37700</v>
      </c>
      <c r="P457">
        <v>28200</v>
      </c>
      <c r="Q457">
        <v>9500</v>
      </c>
      <c r="R457">
        <v>25.2</v>
      </c>
      <c r="S457" t="s">
        <v>39</v>
      </c>
      <c r="T457">
        <v>2400</v>
      </c>
      <c r="U457">
        <v>4.5999999999999996</v>
      </c>
      <c r="V457" t="s">
        <v>114</v>
      </c>
    </row>
    <row r="458" spans="1:22" x14ac:dyDescent="0.3">
      <c r="A458" t="s">
        <v>2375</v>
      </c>
      <c r="B458" t="s">
        <v>1881</v>
      </c>
      <c r="C458" t="s">
        <v>1882</v>
      </c>
      <c r="D458" s="2">
        <v>45877</v>
      </c>
      <c r="E458" t="s">
        <v>228</v>
      </c>
      <c r="F458" t="s">
        <v>228</v>
      </c>
      <c r="G458" t="s">
        <v>67</v>
      </c>
      <c r="H458" t="s">
        <v>28</v>
      </c>
      <c r="I458" t="s">
        <v>69</v>
      </c>
      <c r="J458" t="s">
        <v>70</v>
      </c>
      <c r="K458">
        <v>5</v>
      </c>
      <c r="L458">
        <v>23</v>
      </c>
      <c r="M458">
        <v>43900</v>
      </c>
      <c r="N458">
        <v>6600</v>
      </c>
      <c r="O458">
        <v>37300</v>
      </c>
      <c r="P458">
        <v>27800</v>
      </c>
      <c r="Q458">
        <v>9500</v>
      </c>
      <c r="R458">
        <v>25.47</v>
      </c>
      <c r="S458" t="s">
        <v>182</v>
      </c>
      <c r="T458">
        <v>5500</v>
      </c>
      <c r="U458">
        <v>4.4000000000000004</v>
      </c>
      <c r="V458" t="s">
        <v>42</v>
      </c>
    </row>
    <row r="459" spans="1:22" x14ac:dyDescent="0.3">
      <c r="A459" t="s">
        <v>1740</v>
      </c>
      <c r="B459" t="s">
        <v>1741</v>
      </c>
      <c r="C459" t="s">
        <v>1742</v>
      </c>
      <c r="D459" s="2">
        <v>45880</v>
      </c>
      <c r="E459" t="s">
        <v>134</v>
      </c>
      <c r="F459" t="s">
        <v>134</v>
      </c>
      <c r="G459" t="s">
        <v>103</v>
      </c>
      <c r="H459" t="s">
        <v>229</v>
      </c>
      <c r="I459" t="s">
        <v>69</v>
      </c>
      <c r="J459" t="s">
        <v>30</v>
      </c>
      <c r="K459">
        <v>2</v>
      </c>
      <c r="L459">
        <v>16</v>
      </c>
      <c r="M459">
        <v>40800</v>
      </c>
      <c r="N459">
        <v>8200</v>
      </c>
      <c r="O459">
        <v>32600</v>
      </c>
      <c r="P459">
        <v>23600</v>
      </c>
      <c r="Q459">
        <v>9000</v>
      </c>
      <c r="R459">
        <v>27.61</v>
      </c>
      <c r="S459" t="s">
        <v>182</v>
      </c>
      <c r="T459">
        <v>4700</v>
      </c>
      <c r="U459">
        <v>3</v>
      </c>
      <c r="V459" t="s">
        <v>58</v>
      </c>
    </row>
    <row r="460" spans="1:22" x14ac:dyDescent="0.3">
      <c r="A460" t="s">
        <v>5081</v>
      </c>
      <c r="B460" t="s">
        <v>3949</v>
      </c>
      <c r="C460" t="s">
        <v>3950</v>
      </c>
      <c r="D460" s="2">
        <v>45880</v>
      </c>
      <c r="E460" t="s">
        <v>161</v>
      </c>
      <c r="F460" t="s">
        <v>161</v>
      </c>
      <c r="G460" t="s">
        <v>118</v>
      </c>
      <c r="H460" t="s">
        <v>229</v>
      </c>
      <c r="I460" t="s">
        <v>69</v>
      </c>
      <c r="J460" t="s">
        <v>162</v>
      </c>
      <c r="K460">
        <v>8</v>
      </c>
      <c r="L460">
        <v>43</v>
      </c>
      <c r="M460">
        <v>15100</v>
      </c>
      <c r="N460">
        <v>1500</v>
      </c>
      <c r="O460">
        <v>13600</v>
      </c>
      <c r="P460">
        <v>7200</v>
      </c>
      <c r="Q460">
        <v>6400</v>
      </c>
      <c r="R460">
        <v>47.06</v>
      </c>
      <c r="S460" t="s">
        <v>97</v>
      </c>
      <c r="T460">
        <v>2400</v>
      </c>
      <c r="U460">
        <v>4.4000000000000004</v>
      </c>
      <c r="V460" t="s">
        <v>42</v>
      </c>
    </row>
    <row r="461" spans="1:22" x14ac:dyDescent="0.3">
      <c r="A461" t="s">
        <v>5076</v>
      </c>
      <c r="B461" t="s">
        <v>1251</v>
      </c>
      <c r="C461" t="s">
        <v>1252</v>
      </c>
      <c r="D461" s="2">
        <v>45881</v>
      </c>
      <c r="E461" t="s">
        <v>26</v>
      </c>
      <c r="F461" t="s">
        <v>26</v>
      </c>
      <c r="G461" t="s">
        <v>213</v>
      </c>
      <c r="H461" t="s">
        <v>68</v>
      </c>
      <c r="I461" t="s">
        <v>69</v>
      </c>
      <c r="J461" t="s">
        <v>257</v>
      </c>
      <c r="K461">
        <v>5</v>
      </c>
      <c r="L461">
        <v>43</v>
      </c>
      <c r="M461">
        <v>125700</v>
      </c>
      <c r="N461">
        <v>18900</v>
      </c>
      <c r="O461">
        <v>106800</v>
      </c>
      <c r="P461">
        <v>72500</v>
      </c>
      <c r="Q461">
        <v>34300</v>
      </c>
      <c r="R461">
        <v>32.119999999999997</v>
      </c>
      <c r="S461" t="s">
        <v>97</v>
      </c>
      <c r="T461">
        <v>13800</v>
      </c>
      <c r="U461">
        <v>5</v>
      </c>
      <c r="V461" t="s">
        <v>79</v>
      </c>
    </row>
    <row r="462" spans="1:22" x14ac:dyDescent="0.3">
      <c r="A462" t="s">
        <v>4392</v>
      </c>
      <c r="B462" t="s">
        <v>1861</v>
      </c>
      <c r="C462" t="s">
        <v>1862</v>
      </c>
      <c r="D462" s="2">
        <v>45882</v>
      </c>
      <c r="E462" t="s">
        <v>244</v>
      </c>
      <c r="F462" t="s">
        <v>244</v>
      </c>
      <c r="G462" t="s">
        <v>27</v>
      </c>
      <c r="H462" t="s">
        <v>28</v>
      </c>
      <c r="I462" t="s">
        <v>69</v>
      </c>
      <c r="J462" t="s">
        <v>30</v>
      </c>
      <c r="K462">
        <v>6</v>
      </c>
      <c r="L462">
        <v>42</v>
      </c>
      <c r="M462">
        <v>15400</v>
      </c>
      <c r="N462">
        <v>800</v>
      </c>
      <c r="O462">
        <v>14600</v>
      </c>
      <c r="P462">
        <v>10500</v>
      </c>
      <c r="Q462">
        <v>4100</v>
      </c>
      <c r="R462">
        <v>28.08</v>
      </c>
      <c r="S462" t="s">
        <v>97</v>
      </c>
      <c r="T462">
        <v>1700</v>
      </c>
      <c r="U462">
        <v>3.8</v>
      </c>
      <c r="V462" t="s">
        <v>82</v>
      </c>
    </row>
    <row r="463" spans="1:22" x14ac:dyDescent="0.3">
      <c r="A463" t="s">
        <v>4628</v>
      </c>
      <c r="B463" t="s">
        <v>2954</v>
      </c>
      <c r="C463" t="s">
        <v>2955</v>
      </c>
      <c r="D463" s="2">
        <v>45882</v>
      </c>
      <c r="E463" t="s">
        <v>26</v>
      </c>
      <c r="F463" t="s">
        <v>26</v>
      </c>
      <c r="G463" t="s">
        <v>103</v>
      </c>
      <c r="H463" t="s">
        <v>28</v>
      </c>
      <c r="I463" t="s">
        <v>29</v>
      </c>
      <c r="J463" t="s">
        <v>30</v>
      </c>
      <c r="K463">
        <v>7</v>
      </c>
      <c r="L463">
        <v>32</v>
      </c>
      <c r="M463">
        <v>70600</v>
      </c>
      <c r="N463">
        <v>14100</v>
      </c>
      <c r="O463">
        <v>56500</v>
      </c>
      <c r="P463">
        <v>33700</v>
      </c>
      <c r="Q463">
        <v>22800</v>
      </c>
      <c r="R463">
        <v>40.35</v>
      </c>
      <c r="S463" t="s">
        <v>79</v>
      </c>
      <c r="T463">
        <v>9100</v>
      </c>
      <c r="U463">
        <v>3.6</v>
      </c>
      <c r="V463" t="s">
        <v>42</v>
      </c>
    </row>
    <row r="464" spans="1:22" x14ac:dyDescent="0.3">
      <c r="A464" t="s">
        <v>2239</v>
      </c>
      <c r="B464" t="s">
        <v>2240</v>
      </c>
      <c r="C464" t="s">
        <v>2241</v>
      </c>
      <c r="D464" s="2">
        <v>45882</v>
      </c>
      <c r="E464" t="s">
        <v>134</v>
      </c>
      <c r="F464" t="s">
        <v>134</v>
      </c>
      <c r="G464" t="s">
        <v>118</v>
      </c>
      <c r="H464" t="s">
        <v>49</v>
      </c>
      <c r="I464" t="s">
        <v>69</v>
      </c>
      <c r="J464" t="s">
        <v>30</v>
      </c>
      <c r="K464">
        <v>2</v>
      </c>
      <c r="L464">
        <v>31</v>
      </c>
      <c r="M464">
        <v>53500</v>
      </c>
      <c r="N464">
        <v>0</v>
      </c>
      <c r="O464">
        <v>53500</v>
      </c>
      <c r="P464">
        <v>34000</v>
      </c>
      <c r="Q464">
        <v>19500</v>
      </c>
      <c r="R464">
        <v>36.450000000000003</v>
      </c>
      <c r="S464" t="s">
        <v>79</v>
      </c>
      <c r="T464">
        <v>4000</v>
      </c>
      <c r="U464">
        <v>3.7</v>
      </c>
      <c r="V464" t="s">
        <v>82</v>
      </c>
    </row>
    <row r="465" spans="1:22" x14ac:dyDescent="0.3">
      <c r="A465" t="s">
        <v>4639</v>
      </c>
      <c r="B465" t="s">
        <v>1386</v>
      </c>
      <c r="C465" t="s">
        <v>1387</v>
      </c>
      <c r="D465" s="2">
        <v>45882</v>
      </c>
      <c r="E465" t="s">
        <v>134</v>
      </c>
      <c r="F465" t="s">
        <v>134</v>
      </c>
      <c r="G465" t="s">
        <v>67</v>
      </c>
      <c r="H465" t="s">
        <v>49</v>
      </c>
      <c r="I465" t="s">
        <v>29</v>
      </c>
      <c r="J465" t="s">
        <v>30</v>
      </c>
      <c r="K465">
        <v>3</v>
      </c>
      <c r="L465">
        <v>41</v>
      </c>
      <c r="M465">
        <v>32600</v>
      </c>
      <c r="N465">
        <v>4900</v>
      </c>
      <c r="O465">
        <v>27700</v>
      </c>
      <c r="P465">
        <v>19300</v>
      </c>
      <c r="Q465">
        <v>8400</v>
      </c>
      <c r="R465">
        <v>30.32</v>
      </c>
      <c r="S465" t="s">
        <v>39</v>
      </c>
      <c r="T465">
        <v>4000</v>
      </c>
      <c r="U465">
        <v>4.9000000000000004</v>
      </c>
      <c r="V465" t="s">
        <v>58</v>
      </c>
    </row>
    <row r="466" spans="1:22" x14ac:dyDescent="0.3">
      <c r="A466" t="s">
        <v>3320</v>
      </c>
      <c r="B466" t="s">
        <v>2729</v>
      </c>
      <c r="C466" t="s">
        <v>2730</v>
      </c>
      <c r="D466" s="2">
        <v>45882</v>
      </c>
      <c r="E466" t="s">
        <v>282</v>
      </c>
      <c r="F466" t="s">
        <v>282</v>
      </c>
      <c r="G466" t="s">
        <v>147</v>
      </c>
      <c r="H466" t="s">
        <v>5470</v>
      </c>
      <c r="I466" t="s">
        <v>69</v>
      </c>
      <c r="J466" t="s">
        <v>30</v>
      </c>
      <c r="K466">
        <v>6</v>
      </c>
      <c r="L466">
        <v>32</v>
      </c>
      <c r="M466">
        <v>15000</v>
      </c>
      <c r="N466">
        <v>0</v>
      </c>
      <c r="O466">
        <v>15000</v>
      </c>
      <c r="P466">
        <v>11900</v>
      </c>
      <c r="Q466">
        <v>3100</v>
      </c>
      <c r="R466">
        <v>20.67</v>
      </c>
      <c r="S466" t="s">
        <v>39</v>
      </c>
      <c r="T466">
        <v>1600</v>
      </c>
      <c r="U466">
        <v>3.4</v>
      </c>
      <c r="V466" t="s">
        <v>58</v>
      </c>
    </row>
    <row r="467" spans="1:22" x14ac:dyDescent="0.3">
      <c r="A467" t="s">
        <v>3815</v>
      </c>
      <c r="B467" t="s">
        <v>224</v>
      </c>
      <c r="C467" t="s">
        <v>225</v>
      </c>
      <c r="D467" s="2">
        <v>45882</v>
      </c>
      <c r="E467" t="s">
        <v>134</v>
      </c>
      <c r="F467" t="s">
        <v>134</v>
      </c>
      <c r="G467" t="s">
        <v>213</v>
      </c>
      <c r="H467" t="s">
        <v>268</v>
      </c>
      <c r="I467" t="s">
        <v>69</v>
      </c>
      <c r="J467" t="s">
        <v>162</v>
      </c>
      <c r="K467">
        <v>7</v>
      </c>
      <c r="L467">
        <v>63</v>
      </c>
      <c r="M467">
        <v>41700</v>
      </c>
      <c r="N467">
        <v>0</v>
      </c>
      <c r="O467">
        <v>41700</v>
      </c>
      <c r="P467">
        <v>23100</v>
      </c>
      <c r="Q467">
        <v>18600</v>
      </c>
      <c r="R467">
        <v>44.6</v>
      </c>
      <c r="S467" t="s">
        <v>97</v>
      </c>
      <c r="T467">
        <v>6100</v>
      </c>
      <c r="U467">
        <v>4.2</v>
      </c>
      <c r="V467" t="s">
        <v>79</v>
      </c>
    </row>
    <row r="468" spans="1:22" x14ac:dyDescent="0.3">
      <c r="A468" t="s">
        <v>1986</v>
      </c>
      <c r="B468" t="s">
        <v>727</v>
      </c>
      <c r="C468" t="s">
        <v>728</v>
      </c>
      <c r="D468" s="2">
        <v>45883</v>
      </c>
      <c r="E468" t="s">
        <v>244</v>
      </c>
      <c r="F468" t="s">
        <v>244</v>
      </c>
      <c r="G468" t="s">
        <v>67</v>
      </c>
      <c r="H468" t="s">
        <v>68</v>
      </c>
      <c r="I468" t="s">
        <v>69</v>
      </c>
      <c r="J468" t="s">
        <v>30</v>
      </c>
      <c r="K468">
        <v>6</v>
      </c>
      <c r="L468">
        <v>66</v>
      </c>
      <c r="M468">
        <v>82300</v>
      </c>
      <c r="N468">
        <v>8200</v>
      </c>
      <c r="O468">
        <v>74100</v>
      </c>
      <c r="P468">
        <v>43400</v>
      </c>
      <c r="Q468">
        <v>30700</v>
      </c>
      <c r="R468">
        <v>41.43</v>
      </c>
      <c r="S468" t="s">
        <v>58</v>
      </c>
      <c r="T468">
        <v>3400</v>
      </c>
      <c r="U468">
        <v>3.6</v>
      </c>
      <c r="V468" t="s">
        <v>58</v>
      </c>
    </row>
    <row r="469" spans="1:22" x14ac:dyDescent="0.3">
      <c r="A469" t="s">
        <v>289</v>
      </c>
      <c r="B469" t="s">
        <v>290</v>
      </c>
      <c r="C469" t="s">
        <v>291</v>
      </c>
      <c r="D469" s="2">
        <v>45883</v>
      </c>
      <c r="E469" t="s">
        <v>134</v>
      </c>
      <c r="F469" t="s">
        <v>134</v>
      </c>
      <c r="G469" t="s">
        <v>103</v>
      </c>
      <c r="H469" t="s">
        <v>5470</v>
      </c>
      <c r="I469" t="s">
        <v>69</v>
      </c>
      <c r="J469" t="s">
        <v>30</v>
      </c>
      <c r="K469">
        <v>2</v>
      </c>
      <c r="L469">
        <v>31</v>
      </c>
      <c r="M469">
        <v>67000</v>
      </c>
      <c r="N469">
        <v>0</v>
      </c>
      <c r="O469">
        <v>67000</v>
      </c>
      <c r="P469">
        <v>31400</v>
      </c>
      <c r="Q469">
        <v>35600</v>
      </c>
      <c r="R469">
        <v>53.13</v>
      </c>
      <c r="S469" t="s">
        <v>39</v>
      </c>
      <c r="T469">
        <v>5700</v>
      </c>
      <c r="U469">
        <v>3.9</v>
      </c>
      <c r="V469" t="s">
        <v>82</v>
      </c>
    </row>
    <row r="470" spans="1:22" x14ac:dyDescent="0.3">
      <c r="A470" t="s">
        <v>2781</v>
      </c>
      <c r="B470" t="s">
        <v>2782</v>
      </c>
      <c r="C470" t="s">
        <v>2783</v>
      </c>
      <c r="D470" s="2">
        <v>45883</v>
      </c>
      <c r="E470" t="s">
        <v>161</v>
      </c>
      <c r="F470" t="s">
        <v>161</v>
      </c>
      <c r="G470" t="s">
        <v>118</v>
      </c>
      <c r="H470" t="s">
        <v>88</v>
      </c>
      <c r="I470" t="s">
        <v>69</v>
      </c>
      <c r="J470" t="s">
        <v>70</v>
      </c>
      <c r="K470">
        <v>5</v>
      </c>
      <c r="L470">
        <v>30</v>
      </c>
      <c r="M470">
        <v>99500</v>
      </c>
      <c r="N470">
        <v>5000</v>
      </c>
      <c r="O470">
        <v>94500</v>
      </c>
      <c r="P470">
        <v>50000</v>
      </c>
      <c r="Q470">
        <v>44500</v>
      </c>
      <c r="R470">
        <v>47.09</v>
      </c>
      <c r="S470" t="s">
        <v>97</v>
      </c>
      <c r="T470">
        <v>10900</v>
      </c>
      <c r="U470">
        <v>3.6</v>
      </c>
      <c r="V470" t="s">
        <v>82</v>
      </c>
    </row>
    <row r="471" spans="1:22" x14ac:dyDescent="0.3">
      <c r="A471" t="s">
        <v>3952</v>
      </c>
      <c r="B471" t="s">
        <v>409</v>
      </c>
      <c r="C471" t="s">
        <v>410</v>
      </c>
      <c r="D471" s="2">
        <v>45884</v>
      </c>
      <c r="E471" t="s">
        <v>282</v>
      </c>
      <c r="F471" t="s">
        <v>282</v>
      </c>
      <c r="G471" t="s">
        <v>118</v>
      </c>
      <c r="H471" t="s">
        <v>49</v>
      </c>
      <c r="I471" t="s">
        <v>29</v>
      </c>
      <c r="J471" t="s">
        <v>70</v>
      </c>
      <c r="K471">
        <v>2</v>
      </c>
      <c r="L471">
        <v>22</v>
      </c>
      <c r="M471">
        <v>19500</v>
      </c>
      <c r="N471">
        <v>2000</v>
      </c>
      <c r="O471">
        <v>17500</v>
      </c>
      <c r="P471">
        <v>15200</v>
      </c>
      <c r="Q471">
        <v>2300</v>
      </c>
      <c r="R471">
        <v>13.14</v>
      </c>
      <c r="S471" t="s">
        <v>39</v>
      </c>
      <c r="T471">
        <v>1000</v>
      </c>
      <c r="U471">
        <v>4.7</v>
      </c>
      <c r="V471" t="s">
        <v>58</v>
      </c>
    </row>
    <row r="472" spans="1:22" x14ac:dyDescent="0.3">
      <c r="A472" t="s">
        <v>3955</v>
      </c>
      <c r="B472" t="s">
        <v>3956</v>
      </c>
      <c r="C472" t="s">
        <v>3957</v>
      </c>
      <c r="D472" s="2">
        <v>45884</v>
      </c>
      <c r="E472" t="s">
        <v>66</v>
      </c>
      <c r="F472" t="s">
        <v>66</v>
      </c>
      <c r="G472" t="s">
        <v>147</v>
      </c>
      <c r="H472" t="s">
        <v>268</v>
      </c>
      <c r="I472" t="s">
        <v>69</v>
      </c>
      <c r="J472" t="s">
        <v>257</v>
      </c>
      <c r="K472">
        <v>5</v>
      </c>
      <c r="L472">
        <v>56</v>
      </c>
      <c r="M472">
        <v>56700</v>
      </c>
      <c r="N472">
        <v>5700</v>
      </c>
      <c r="O472">
        <v>51000</v>
      </c>
      <c r="P472">
        <v>36900</v>
      </c>
      <c r="Q472">
        <v>14100</v>
      </c>
      <c r="R472">
        <v>27.65</v>
      </c>
      <c r="S472" t="s">
        <v>58</v>
      </c>
      <c r="T472">
        <v>3900</v>
      </c>
      <c r="U472">
        <v>3.7</v>
      </c>
      <c r="V472" t="s">
        <v>58</v>
      </c>
    </row>
    <row r="473" spans="1:22" x14ac:dyDescent="0.3">
      <c r="A473" t="s">
        <v>5250</v>
      </c>
      <c r="B473" t="s">
        <v>1269</v>
      </c>
      <c r="C473" t="s">
        <v>1270</v>
      </c>
      <c r="D473" s="2">
        <v>45885</v>
      </c>
      <c r="E473" t="s">
        <v>228</v>
      </c>
      <c r="F473" t="s">
        <v>228</v>
      </c>
      <c r="G473" t="s">
        <v>213</v>
      </c>
      <c r="H473" t="s">
        <v>88</v>
      </c>
      <c r="I473" t="s">
        <v>69</v>
      </c>
      <c r="J473" t="s">
        <v>30</v>
      </c>
      <c r="K473">
        <v>2</v>
      </c>
      <c r="L473">
        <v>30</v>
      </c>
      <c r="M473">
        <v>92500</v>
      </c>
      <c r="N473">
        <v>9200</v>
      </c>
      <c r="O473">
        <v>83300</v>
      </c>
      <c r="P473">
        <v>64800</v>
      </c>
      <c r="Q473">
        <v>18500</v>
      </c>
      <c r="R473">
        <v>22.21</v>
      </c>
      <c r="S473" t="s">
        <v>182</v>
      </c>
      <c r="T473">
        <v>5800</v>
      </c>
      <c r="U473">
        <v>2.9</v>
      </c>
      <c r="V473" t="s">
        <v>82</v>
      </c>
    </row>
    <row r="474" spans="1:22" x14ac:dyDescent="0.3">
      <c r="A474" t="s">
        <v>3099</v>
      </c>
      <c r="B474" t="s">
        <v>2856</v>
      </c>
      <c r="C474" t="s">
        <v>2857</v>
      </c>
      <c r="D474" s="2">
        <v>45885</v>
      </c>
      <c r="E474" t="s">
        <v>66</v>
      </c>
      <c r="F474" t="s">
        <v>66</v>
      </c>
      <c r="G474" t="s">
        <v>213</v>
      </c>
      <c r="H474" t="s">
        <v>214</v>
      </c>
      <c r="I474" t="s">
        <v>69</v>
      </c>
      <c r="J474" t="s">
        <v>70</v>
      </c>
      <c r="K474">
        <v>5</v>
      </c>
      <c r="L474">
        <v>39</v>
      </c>
      <c r="M474">
        <v>33500</v>
      </c>
      <c r="N474">
        <v>6700</v>
      </c>
      <c r="O474">
        <v>26800</v>
      </c>
      <c r="P474">
        <v>19900</v>
      </c>
      <c r="Q474">
        <v>6900</v>
      </c>
      <c r="R474">
        <v>25.75</v>
      </c>
      <c r="S474" t="s">
        <v>182</v>
      </c>
      <c r="T474">
        <v>4800</v>
      </c>
      <c r="U474">
        <v>4.5</v>
      </c>
      <c r="V474" t="s">
        <v>79</v>
      </c>
    </row>
    <row r="475" spans="1:22" x14ac:dyDescent="0.3">
      <c r="A475" t="s">
        <v>5224</v>
      </c>
      <c r="B475" t="s">
        <v>3015</v>
      </c>
      <c r="C475" t="s">
        <v>3016</v>
      </c>
      <c r="D475" s="2">
        <v>45886</v>
      </c>
      <c r="E475" t="s">
        <v>244</v>
      </c>
      <c r="F475" t="s">
        <v>244</v>
      </c>
      <c r="G475" t="s">
        <v>27</v>
      </c>
      <c r="H475" t="s">
        <v>214</v>
      </c>
      <c r="I475" t="s">
        <v>69</v>
      </c>
      <c r="J475" t="s">
        <v>30</v>
      </c>
      <c r="K475">
        <v>3</v>
      </c>
      <c r="L475">
        <v>17</v>
      </c>
      <c r="M475">
        <v>75500</v>
      </c>
      <c r="N475">
        <v>15100</v>
      </c>
      <c r="O475">
        <v>60400</v>
      </c>
      <c r="P475">
        <v>50100</v>
      </c>
      <c r="Q475">
        <v>10300</v>
      </c>
      <c r="R475">
        <v>17.05</v>
      </c>
      <c r="S475" t="s">
        <v>58</v>
      </c>
      <c r="T475">
        <v>4700</v>
      </c>
      <c r="U475">
        <v>4.4000000000000004</v>
      </c>
      <c r="V475" t="s">
        <v>79</v>
      </c>
    </row>
    <row r="476" spans="1:22" x14ac:dyDescent="0.3">
      <c r="A476" t="s">
        <v>2674</v>
      </c>
      <c r="B476" t="s">
        <v>2675</v>
      </c>
      <c r="C476" t="s">
        <v>2676</v>
      </c>
      <c r="D476" s="2">
        <v>45886</v>
      </c>
      <c r="E476" t="s">
        <v>188</v>
      </c>
      <c r="F476" t="s">
        <v>188</v>
      </c>
      <c r="G476" t="s">
        <v>48</v>
      </c>
      <c r="H476" t="s">
        <v>229</v>
      </c>
      <c r="I476" t="s">
        <v>69</v>
      </c>
      <c r="J476" t="s">
        <v>30</v>
      </c>
      <c r="K476">
        <v>6</v>
      </c>
      <c r="L476">
        <v>6</v>
      </c>
      <c r="M476">
        <v>67900</v>
      </c>
      <c r="N476">
        <v>0</v>
      </c>
      <c r="O476">
        <v>67900</v>
      </c>
      <c r="P476">
        <v>41600</v>
      </c>
      <c r="Q476">
        <v>26300</v>
      </c>
      <c r="R476">
        <v>38.729999999999997</v>
      </c>
      <c r="S476" t="s">
        <v>182</v>
      </c>
      <c r="T476">
        <v>8400</v>
      </c>
      <c r="U476">
        <v>3.2</v>
      </c>
      <c r="V476" t="s">
        <v>42</v>
      </c>
    </row>
    <row r="477" spans="1:22" x14ac:dyDescent="0.3">
      <c r="A477" t="s">
        <v>4501</v>
      </c>
      <c r="B477" t="s">
        <v>1921</v>
      </c>
      <c r="C477" t="s">
        <v>1922</v>
      </c>
      <c r="D477" s="2">
        <v>45886</v>
      </c>
      <c r="E477" t="s">
        <v>161</v>
      </c>
      <c r="F477" t="s">
        <v>161</v>
      </c>
      <c r="G477" t="s">
        <v>27</v>
      </c>
      <c r="H477" t="s">
        <v>229</v>
      </c>
      <c r="I477" t="s">
        <v>29</v>
      </c>
      <c r="J477" t="s">
        <v>162</v>
      </c>
      <c r="K477">
        <v>8</v>
      </c>
      <c r="L477">
        <v>16</v>
      </c>
      <c r="M477">
        <v>45200</v>
      </c>
      <c r="N477">
        <v>2300</v>
      </c>
      <c r="O477">
        <v>42900</v>
      </c>
      <c r="P477">
        <v>27300</v>
      </c>
      <c r="Q477">
        <v>15600</v>
      </c>
      <c r="R477">
        <v>36.36</v>
      </c>
      <c r="S477" t="s">
        <v>58</v>
      </c>
      <c r="T477">
        <v>4600</v>
      </c>
      <c r="U477">
        <v>3.3</v>
      </c>
      <c r="V477" t="s">
        <v>79</v>
      </c>
    </row>
    <row r="478" spans="1:22" x14ac:dyDescent="0.3">
      <c r="A478" t="s">
        <v>2532</v>
      </c>
      <c r="B478" t="s">
        <v>2533</v>
      </c>
      <c r="C478" t="s">
        <v>2534</v>
      </c>
      <c r="D478" s="2">
        <v>45886</v>
      </c>
      <c r="E478" t="s">
        <v>244</v>
      </c>
      <c r="F478" t="s">
        <v>244</v>
      </c>
      <c r="G478" t="s">
        <v>118</v>
      </c>
      <c r="H478" t="s">
        <v>214</v>
      </c>
      <c r="I478" t="s">
        <v>69</v>
      </c>
      <c r="J478" t="s">
        <v>30</v>
      </c>
      <c r="K478">
        <v>9</v>
      </c>
      <c r="L478">
        <v>5</v>
      </c>
      <c r="M478">
        <v>68100</v>
      </c>
      <c r="N478">
        <v>10200</v>
      </c>
      <c r="O478">
        <v>57900</v>
      </c>
      <c r="P478">
        <v>44800</v>
      </c>
      <c r="Q478">
        <v>13100</v>
      </c>
      <c r="R478">
        <v>22.63</v>
      </c>
      <c r="S478" t="s">
        <v>39</v>
      </c>
      <c r="T478">
        <v>6100</v>
      </c>
      <c r="U478">
        <v>2.5</v>
      </c>
      <c r="V478" t="s">
        <v>42</v>
      </c>
    </row>
    <row r="479" spans="1:22" x14ac:dyDescent="0.3">
      <c r="A479" t="s">
        <v>4608</v>
      </c>
      <c r="B479" t="s">
        <v>918</v>
      </c>
      <c r="C479" t="s">
        <v>919</v>
      </c>
      <c r="D479" s="2">
        <v>45887</v>
      </c>
      <c r="E479" t="s">
        <v>26</v>
      </c>
      <c r="F479" t="s">
        <v>26</v>
      </c>
      <c r="G479" t="s">
        <v>27</v>
      </c>
      <c r="H479" t="s">
        <v>229</v>
      </c>
      <c r="I479" t="s">
        <v>29</v>
      </c>
      <c r="J479" t="s">
        <v>70</v>
      </c>
      <c r="K479">
        <v>2</v>
      </c>
      <c r="L479">
        <v>50</v>
      </c>
      <c r="M479">
        <v>65800</v>
      </c>
      <c r="N479">
        <v>3300</v>
      </c>
      <c r="O479">
        <v>62500</v>
      </c>
      <c r="P479">
        <v>33600</v>
      </c>
      <c r="Q479">
        <v>28900</v>
      </c>
      <c r="R479">
        <v>46.24</v>
      </c>
      <c r="S479" t="s">
        <v>97</v>
      </c>
      <c r="T479">
        <v>7700</v>
      </c>
      <c r="U479">
        <v>4.0999999999999996</v>
      </c>
      <c r="V479" t="s">
        <v>79</v>
      </c>
    </row>
    <row r="480" spans="1:22" x14ac:dyDescent="0.3">
      <c r="A480" t="s">
        <v>5129</v>
      </c>
      <c r="B480" t="s">
        <v>3295</v>
      </c>
      <c r="C480" t="s">
        <v>3296</v>
      </c>
      <c r="D480" s="2">
        <v>45888</v>
      </c>
      <c r="E480" t="s">
        <v>26</v>
      </c>
      <c r="F480" t="s">
        <v>26</v>
      </c>
      <c r="G480" t="s">
        <v>67</v>
      </c>
      <c r="H480" t="s">
        <v>5470</v>
      </c>
      <c r="I480" t="s">
        <v>69</v>
      </c>
      <c r="J480" t="s">
        <v>30</v>
      </c>
      <c r="K480">
        <v>6</v>
      </c>
      <c r="L480">
        <v>36</v>
      </c>
      <c r="M480">
        <v>45100</v>
      </c>
      <c r="N480">
        <v>0</v>
      </c>
      <c r="O480">
        <v>45100</v>
      </c>
      <c r="P480">
        <v>20100</v>
      </c>
      <c r="Q480">
        <v>25000</v>
      </c>
      <c r="R480">
        <v>55.43</v>
      </c>
      <c r="S480" t="s">
        <v>97</v>
      </c>
      <c r="T480">
        <v>2700</v>
      </c>
      <c r="U480">
        <v>3.1</v>
      </c>
      <c r="V480" t="s">
        <v>114</v>
      </c>
    </row>
    <row r="481" spans="1:22" x14ac:dyDescent="0.3">
      <c r="A481" t="s">
        <v>4641</v>
      </c>
      <c r="B481" t="s">
        <v>1733</v>
      </c>
      <c r="C481" t="s">
        <v>1734</v>
      </c>
      <c r="D481" s="2">
        <v>45889</v>
      </c>
      <c r="E481" t="s">
        <v>26</v>
      </c>
      <c r="F481" t="s">
        <v>26</v>
      </c>
      <c r="G481" t="s">
        <v>103</v>
      </c>
      <c r="H481" t="s">
        <v>268</v>
      </c>
      <c r="I481" t="s">
        <v>29</v>
      </c>
      <c r="J481" t="s">
        <v>30</v>
      </c>
      <c r="K481">
        <v>8</v>
      </c>
      <c r="L481">
        <v>73</v>
      </c>
      <c r="M481">
        <v>22400</v>
      </c>
      <c r="N481">
        <v>0</v>
      </c>
      <c r="O481">
        <v>22400</v>
      </c>
      <c r="P481">
        <v>13900</v>
      </c>
      <c r="Q481">
        <v>8500</v>
      </c>
      <c r="R481">
        <v>37.950000000000003</v>
      </c>
      <c r="S481" t="s">
        <v>58</v>
      </c>
      <c r="T481">
        <v>3800</v>
      </c>
      <c r="U481">
        <v>4.4000000000000004</v>
      </c>
      <c r="V481" t="s">
        <v>114</v>
      </c>
    </row>
    <row r="482" spans="1:22" x14ac:dyDescent="0.3">
      <c r="A482" t="s">
        <v>4806</v>
      </c>
      <c r="B482" t="s">
        <v>1501</v>
      </c>
      <c r="C482" t="s">
        <v>1502</v>
      </c>
      <c r="D482" s="2">
        <v>45890</v>
      </c>
      <c r="E482" t="s">
        <v>282</v>
      </c>
      <c r="F482" t="s">
        <v>282</v>
      </c>
      <c r="G482" t="s">
        <v>147</v>
      </c>
      <c r="H482" t="s">
        <v>5471</v>
      </c>
      <c r="I482" t="s">
        <v>29</v>
      </c>
      <c r="J482" t="s">
        <v>30</v>
      </c>
      <c r="K482">
        <v>4</v>
      </c>
      <c r="L482">
        <v>17</v>
      </c>
      <c r="M482">
        <v>46500</v>
      </c>
      <c r="N482">
        <v>0</v>
      </c>
      <c r="O482">
        <v>46500</v>
      </c>
      <c r="P482">
        <v>19500</v>
      </c>
      <c r="Q482">
        <v>27000</v>
      </c>
      <c r="R482">
        <v>58.06</v>
      </c>
      <c r="S482" t="s">
        <v>39</v>
      </c>
      <c r="T482">
        <v>4100</v>
      </c>
      <c r="U482">
        <v>4.2</v>
      </c>
      <c r="V482" t="s">
        <v>42</v>
      </c>
    </row>
    <row r="483" spans="1:22" x14ac:dyDescent="0.3">
      <c r="A483" t="s">
        <v>5247</v>
      </c>
      <c r="B483" t="s">
        <v>3002</v>
      </c>
      <c r="C483" t="s">
        <v>3003</v>
      </c>
      <c r="D483" s="2">
        <v>45890</v>
      </c>
      <c r="E483" t="s">
        <v>228</v>
      </c>
      <c r="F483" t="s">
        <v>228</v>
      </c>
      <c r="G483" t="s">
        <v>67</v>
      </c>
      <c r="H483" t="s">
        <v>68</v>
      </c>
      <c r="I483" t="s">
        <v>29</v>
      </c>
      <c r="J483" t="s">
        <v>70</v>
      </c>
      <c r="K483">
        <v>9</v>
      </c>
      <c r="L483">
        <v>39</v>
      </c>
      <c r="M483">
        <v>44900</v>
      </c>
      <c r="N483">
        <v>9000</v>
      </c>
      <c r="O483">
        <v>35900</v>
      </c>
      <c r="P483">
        <v>33400</v>
      </c>
      <c r="Q483">
        <v>2500</v>
      </c>
      <c r="R483">
        <v>6.96</v>
      </c>
      <c r="S483" t="s">
        <v>126</v>
      </c>
      <c r="T483">
        <v>6400</v>
      </c>
      <c r="U483">
        <v>4.8</v>
      </c>
      <c r="V483" t="s">
        <v>82</v>
      </c>
    </row>
    <row r="484" spans="1:22" x14ac:dyDescent="0.3">
      <c r="A484" t="s">
        <v>4060</v>
      </c>
      <c r="B484" t="s">
        <v>1468</v>
      </c>
      <c r="C484" t="s">
        <v>1469</v>
      </c>
      <c r="D484" s="2">
        <v>45891</v>
      </c>
      <c r="E484" t="s">
        <v>228</v>
      </c>
      <c r="F484" t="s">
        <v>228</v>
      </c>
      <c r="G484" t="s">
        <v>580</v>
      </c>
      <c r="H484" t="s">
        <v>49</v>
      </c>
      <c r="I484" t="s">
        <v>69</v>
      </c>
      <c r="J484" t="s">
        <v>70</v>
      </c>
      <c r="K484">
        <v>5</v>
      </c>
      <c r="L484">
        <v>53</v>
      </c>
      <c r="M484">
        <v>22600</v>
      </c>
      <c r="N484">
        <v>3400</v>
      </c>
      <c r="O484">
        <v>19200</v>
      </c>
      <c r="P484">
        <v>18200</v>
      </c>
      <c r="Q484">
        <v>1000</v>
      </c>
      <c r="R484">
        <v>5.21</v>
      </c>
      <c r="S484" t="s">
        <v>182</v>
      </c>
      <c r="T484">
        <v>1000</v>
      </c>
      <c r="U484">
        <v>4.5</v>
      </c>
      <c r="V484" t="s">
        <v>58</v>
      </c>
    </row>
    <row r="485" spans="1:22" x14ac:dyDescent="0.3">
      <c r="A485" t="s">
        <v>5139</v>
      </c>
      <c r="B485" t="s">
        <v>3236</v>
      </c>
      <c r="C485" t="s">
        <v>3237</v>
      </c>
      <c r="D485" s="2">
        <v>45891</v>
      </c>
      <c r="E485" t="s">
        <v>244</v>
      </c>
      <c r="F485" t="s">
        <v>244</v>
      </c>
      <c r="G485" t="s">
        <v>580</v>
      </c>
      <c r="H485" t="s">
        <v>5470</v>
      </c>
      <c r="I485" t="s">
        <v>29</v>
      </c>
      <c r="J485" t="s">
        <v>30</v>
      </c>
      <c r="K485">
        <v>5</v>
      </c>
      <c r="L485">
        <v>45</v>
      </c>
      <c r="M485">
        <v>46700</v>
      </c>
      <c r="N485">
        <v>2300</v>
      </c>
      <c r="O485">
        <v>44400</v>
      </c>
      <c r="P485">
        <v>28400</v>
      </c>
      <c r="Q485">
        <v>16000</v>
      </c>
      <c r="R485">
        <v>36.04</v>
      </c>
      <c r="S485" t="s">
        <v>182</v>
      </c>
      <c r="T485">
        <v>4600</v>
      </c>
      <c r="U485">
        <v>4.4000000000000004</v>
      </c>
      <c r="V485" t="s">
        <v>42</v>
      </c>
    </row>
    <row r="486" spans="1:22" x14ac:dyDescent="0.3">
      <c r="A486" t="s">
        <v>2795</v>
      </c>
      <c r="B486" t="s">
        <v>2293</v>
      </c>
      <c r="C486" t="s">
        <v>2294</v>
      </c>
      <c r="D486" s="2">
        <v>45892</v>
      </c>
      <c r="E486" t="s">
        <v>66</v>
      </c>
      <c r="F486" t="s">
        <v>66</v>
      </c>
      <c r="G486" t="s">
        <v>118</v>
      </c>
      <c r="H486" t="s">
        <v>68</v>
      </c>
      <c r="I486" t="s">
        <v>29</v>
      </c>
      <c r="J486" t="s">
        <v>70</v>
      </c>
      <c r="K486">
        <v>5</v>
      </c>
      <c r="L486">
        <v>29</v>
      </c>
      <c r="M486">
        <v>44400</v>
      </c>
      <c r="N486">
        <v>0</v>
      </c>
      <c r="O486">
        <v>44400</v>
      </c>
      <c r="P486">
        <v>32600</v>
      </c>
      <c r="Q486">
        <v>11800</v>
      </c>
      <c r="R486">
        <v>26.58</v>
      </c>
      <c r="S486" t="s">
        <v>39</v>
      </c>
      <c r="T486">
        <v>1900</v>
      </c>
      <c r="U486">
        <v>2.2999999999999998</v>
      </c>
      <c r="V486" t="s">
        <v>42</v>
      </c>
    </row>
    <row r="487" spans="1:22" x14ac:dyDescent="0.3">
      <c r="A487" t="s">
        <v>4899</v>
      </c>
      <c r="B487" t="s">
        <v>586</v>
      </c>
      <c r="C487" t="s">
        <v>587</v>
      </c>
      <c r="D487" s="2">
        <v>45892</v>
      </c>
      <c r="E487" t="s">
        <v>161</v>
      </c>
      <c r="F487" t="s">
        <v>161</v>
      </c>
      <c r="G487" t="s">
        <v>118</v>
      </c>
      <c r="H487" t="s">
        <v>28</v>
      </c>
      <c r="I487" t="s">
        <v>69</v>
      </c>
      <c r="J487" t="s">
        <v>70</v>
      </c>
      <c r="K487">
        <v>6</v>
      </c>
      <c r="L487">
        <v>21</v>
      </c>
      <c r="M487">
        <v>80100</v>
      </c>
      <c r="N487">
        <v>0</v>
      </c>
      <c r="O487">
        <v>80100</v>
      </c>
      <c r="P487">
        <v>44700</v>
      </c>
      <c r="Q487">
        <v>35400</v>
      </c>
      <c r="R487">
        <v>44.19</v>
      </c>
      <c r="S487" t="s">
        <v>79</v>
      </c>
      <c r="T487">
        <v>13500</v>
      </c>
      <c r="U487">
        <v>2.8</v>
      </c>
      <c r="V487" t="s">
        <v>58</v>
      </c>
    </row>
    <row r="488" spans="1:22" x14ac:dyDescent="0.3">
      <c r="A488" t="s">
        <v>4554</v>
      </c>
      <c r="B488" t="s">
        <v>3342</v>
      </c>
      <c r="C488" t="s">
        <v>3343</v>
      </c>
      <c r="D488" s="2">
        <v>45894</v>
      </c>
      <c r="E488" t="s">
        <v>228</v>
      </c>
      <c r="F488" t="s">
        <v>228</v>
      </c>
      <c r="G488" t="s">
        <v>27</v>
      </c>
      <c r="H488" t="s">
        <v>28</v>
      </c>
      <c r="I488" t="s">
        <v>69</v>
      </c>
      <c r="J488" t="s">
        <v>70</v>
      </c>
      <c r="K488">
        <v>3</v>
      </c>
      <c r="L488">
        <v>5</v>
      </c>
      <c r="M488">
        <v>82400</v>
      </c>
      <c r="N488">
        <v>0</v>
      </c>
      <c r="O488">
        <v>82400</v>
      </c>
      <c r="P488">
        <v>47600</v>
      </c>
      <c r="Q488">
        <v>34800</v>
      </c>
      <c r="R488">
        <v>42.23</v>
      </c>
      <c r="S488" t="s">
        <v>97</v>
      </c>
      <c r="T488">
        <v>5000</v>
      </c>
      <c r="U488">
        <v>4.5</v>
      </c>
      <c r="V488" t="s">
        <v>82</v>
      </c>
    </row>
    <row r="489" spans="1:22" x14ac:dyDescent="0.3">
      <c r="A489" t="s">
        <v>115</v>
      </c>
      <c r="B489" t="s">
        <v>116</v>
      </c>
      <c r="C489" t="s">
        <v>117</v>
      </c>
      <c r="D489" s="2">
        <v>45896</v>
      </c>
      <c r="E489" t="s">
        <v>66</v>
      </c>
      <c r="F489" t="s">
        <v>66</v>
      </c>
      <c r="G489" t="s">
        <v>118</v>
      </c>
      <c r="H489" t="s">
        <v>68</v>
      </c>
      <c r="I489" t="s">
        <v>29</v>
      </c>
      <c r="J489" t="s">
        <v>30</v>
      </c>
      <c r="K489">
        <v>3</v>
      </c>
      <c r="L489">
        <v>58</v>
      </c>
      <c r="M489">
        <v>68100</v>
      </c>
      <c r="N489">
        <v>3400</v>
      </c>
      <c r="O489">
        <v>64700</v>
      </c>
      <c r="P489">
        <v>45200</v>
      </c>
      <c r="Q489">
        <v>19500</v>
      </c>
      <c r="R489">
        <v>30.14</v>
      </c>
      <c r="S489" t="s">
        <v>126</v>
      </c>
      <c r="T489">
        <v>10800</v>
      </c>
      <c r="U489">
        <v>3.4</v>
      </c>
      <c r="V489" t="s">
        <v>82</v>
      </c>
    </row>
    <row r="490" spans="1:22" x14ac:dyDescent="0.3">
      <c r="A490" t="s">
        <v>43</v>
      </c>
      <c r="B490" t="s">
        <v>44</v>
      </c>
      <c r="C490" t="s">
        <v>45</v>
      </c>
      <c r="D490" s="2">
        <v>45896</v>
      </c>
      <c r="E490" t="s">
        <v>26</v>
      </c>
      <c r="F490" t="s">
        <v>26</v>
      </c>
      <c r="G490" t="s">
        <v>48</v>
      </c>
      <c r="H490" t="s">
        <v>49</v>
      </c>
      <c r="I490" t="s">
        <v>29</v>
      </c>
      <c r="J490" t="s">
        <v>30</v>
      </c>
      <c r="K490">
        <v>10</v>
      </c>
      <c r="L490">
        <v>35</v>
      </c>
      <c r="M490">
        <v>15000</v>
      </c>
      <c r="N490">
        <v>800</v>
      </c>
      <c r="O490">
        <v>14200</v>
      </c>
      <c r="P490">
        <v>7200</v>
      </c>
      <c r="Q490">
        <v>7000</v>
      </c>
      <c r="R490">
        <v>49.3</v>
      </c>
      <c r="S490" t="s">
        <v>58</v>
      </c>
      <c r="T490">
        <v>1000</v>
      </c>
      <c r="U490">
        <v>3.8</v>
      </c>
      <c r="V490" t="s">
        <v>58</v>
      </c>
    </row>
    <row r="491" spans="1:22" x14ac:dyDescent="0.3">
      <c r="A491" t="s">
        <v>852</v>
      </c>
      <c r="B491" t="s">
        <v>853</v>
      </c>
      <c r="C491" t="s">
        <v>854</v>
      </c>
      <c r="D491" s="2">
        <v>45897</v>
      </c>
      <c r="E491" t="s">
        <v>26</v>
      </c>
      <c r="F491" t="s">
        <v>26</v>
      </c>
      <c r="G491" t="s">
        <v>48</v>
      </c>
      <c r="H491" t="s">
        <v>5470</v>
      </c>
      <c r="I491" t="s">
        <v>69</v>
      </c>
      <c r="J491" t="s">
        <v>70</v>
      </c>
      <c r="K491">
        <v>6</v>
      </c>
      <c r="L491">
        <v>36</v>
      </c>
      <c r="M491">
        <v>43000</v>
      </c>
      <c r="N491">
        <v>0</v>
      </c>
      <c r="O491">
        <v>43000</v>
      </c>
      <c r="P491">
        <v>32900</v>
      </c>
      <c r="Q491">
        <v>10100</v>
      </c>
      <c r="R491">
        <v>23.49</v>
      </c>
      <c r="S491" t="s">
        <v>182</v>
      </c>
      <c r="T491">
        <v>4900</v>
      </c>
      <c r="U491">
        <v>4.3</v>
      </c>
      <c r="V491" t="s">
        <v>114</v>
      </c>
    </row>
    <row r="492" spans="1:22" x14ac:dyDescent="0.3">
      <c r="A492" t="s">
        <v>386</v>
      </c>
      <c r="B492" t="s">
        <v>387</v>
      </c>
      <c r="C492" t="s">
        <v>388</v>
      </c>
      <c r="D492" s="2">
        <v>45898</v>
      </c>
      <c r="E492" t="s">
        <v>26</v>
      </c>
      <c r="F492" t="s">
        <v>26</v>
      </c>
      <c r="G492" t="s">
        <v>147</v>
      </c>
      <c r="H492" t="s">
        <v>5470</v>
      </c>
      <c r="I492" t="s">
        <v>69</v>
      </c>
      <c r="J492" t="s">
        <v>30</v>
      </c>
      <c r="K492">
        <v>8</v>
      </c>
      <c r="L492">
        <v>39</v>
      </c>
      <c r="M492">
        <v>24700</v>
      </c>
      <c r="N492">
        <v>0</v>
      </c>
      <c r="O492">
        <v>24700</v>
      </c>
      <c r="P492">
        <v>17200</v>
      </c>
      <c r="Q492">
        <v>7500</v>
      </c>
      <c r="R492">
        <v>30.36</v>
      </c>
      <c r="S492" t="s">
        <v>58</v>
      </c>
      <c r="T492">
        <v>3900</v>
      </c>
      <c r="U492">
        <v>4.4000000000000004</v>
      </c>
      <c r="V492" t="s">
        <v>58</v>
      </c>
    </row>
    <row r="493" spans="1:22" x14ac:dyDescent="0.3">
      <c r="A493" t="s">
        <v>3409</v>
      </c>
      <c r="B493" t="s">
        <v>1232</v>
      </c>
      <c r="C493" t="s">
        <v>1233</v>
      </c>
      <c r="D493" s="2">
        <v>45898</v>
      </c>
      <c r="E493" t="s">
        <v>26</v>
      </c>
      <c r="F493" t="s">
        <v>26</v>
      </c>
      <c r="G493" t="s">
        <v>48</v>
      </c>
      <c r="H493" t="s">
        <v>49</v>
      </c>
      <c r="I493" t="s">
        <v>29</v>
      </c>
      <c r="J493" t="s">
        <v>30</v>
      </c>
      <c r="K493">
        <v>9</v>
      </c>
      <c r="L493">
        <v>39</v>
      </c>
      <c r="M493">
        <v>101300</v>
      </c>
      <c r="N493">
        <v>20300</v>
      </c>
      <c r="O493">
        <v>81000</v>
      </c>
      <c r="P493">
        <v>51300</v>
      </c>
      <c r="Q493">
        <v>29700</v>
      </c>
      <c r="R493">
        <v>36.67</v>
      </c>
      <c r="S493" t="s">
        <v>97</v>
      </c>
      <c r="T493">
        <v>7400</v>
      </c>
      <c r="U493">
        <v>4.7</v>
      </c>
      <c r="V493" t="s">
        <v>82</v>
      </c>
    </row>
    <row r="494" spans="1:22" x14ac:dyDescent="0.3">
      <c r="A494" t="s">
        <v>3676</v>
      </c>
      <c r="B494" t="s">
        <v>577</v>
      </c>
      <c r="C494" t="s">
        <v>578</v>
      </c>
      <c r="D494" s="2">
        <v>45899</v>
      </c>
      <c r="E494" t="s">
        <v>161</v>
      </c>
      <c r="F494" t="s">
        <v>161</v>
      </c>
      <c r="G494" t="s">
        <v>213</v>
      </c>
      <c r="H494" t="s">
        <v>49</v>
      </c>
      <c r="I494" t="s">
        <v>69</v>
      </c>
      <c r="J494" t="s">
        <v>30</v>
      </c>
      <c r="K494">
        <v>8</v>
      </c>
      <c r="L494">
        <v>53</v>
      </c>
      <c r="M494">
        <v>22300</v>
      </c>
      <c r="N494">
        <v>0</v>
      </c>
      <c r="O494">
        <v>22300</v>
      </c>
      <c r="P494">
        <v>15000</v>
      </c>
      <c r="Q494">
        <v>7300</v>
      </c>
      <c r="R494">
        <v>32.74</v>
      </c>
      <c r="S494" t="s">
        <v>126</v>
      </c>
      <c r="T494">
        <v>1400</v>
      </c>
      <c r="U494">
        <v>3.4</v>
      </c>
      <c r="V494" t="s">
        <v>79</v>
      </c>
    </row>
    <row r="495" spans="1:22" x14ac:dyDescent="0.3">
      <c r="A495" t="s">
        <v>2004</v>
      </c>
      <c r="B495" t="s">
        <v>2005</v>
      </c>
      <c r="C495" t="s">
        <v>2006</v>
      </c>
      <c r="D495" s="2">
        <v>45900</v>
      </c>
      <c r="E495" t="s">
        <v>282</v>
      </c>
      <c r="F495" t="s">
        <v>282</v>
      </c>
      <c r="G495" t="s">
        <v>118</v>
      </c>
      <c r="H495" t="s">
        <v>28</v>
      </c>
      <c r="I495" t="s">
        <v>29</v>
      </c>
      <c r="J495" t="s">
        <v>70</v>
      </c>
      <c r="K495">
        <v>5</v>
      </c>
      <c r="L495">
        <v>48</v>
      </c>
      <c r="M495">
        <v>16800</v>
      </c>
      <c r="N495">
        <v>1700</v>
      </c>
      <c r="O495">
        <v>15100</v>
      </c>
      <c r="P495">
        <v>11700</v>
      </c>
      <c r="Q495">
        <v>3400</v>
      </c>
      <c r="R495">
        <v>22.52</v>
      </c>
      <c r="S495" t="s">
        <v>79</v>
      </c>
      <c r="T495">
        <v>1900</v>
      </c>
      <c r="U495">
        <v>3.7</v>
      </c>
      <c r="V495" t="s">
        <v>58</v>
      </c>
    </row>
    <row r="496" spans="1:22" x14ac:dyDescent="0.3">
      <c r="A496" t="s">
        <v>4792</v>
      </c>
      <c r="B496" t="s">
        <v>1131</v>
      </c>
      <c r="C496" t="s">
        <v>1132</v>
      </c>
      <c r="D496" s="2">
        <v>45901</v>
      </c>
      <c r="E496" t="s">
        <v>282</v>
      </c>
      <c r="F496" t="s">
        <v>282</v>
      </c>
      <c r="G496" t="s">
        <v>67</v>
      </c>
      <c r="H496" t="s">
        <v>5470</v>
      </c>
      <c r="I496" t="s">
        <v>69</v>
      </c>
      <c r="J496" t="s">
        <v>162</v>
      </c>
      <c r="K496">
        <v>4</v>
      </c>
      <c r="L496">
        <v>42</v>
      </c>
      <c r="M496">
        <v>85900</v>
      </c>
      <c r="N496">
        <v>0</v>
      </c>
      <c r="O496">
        <v>85900</v>
      </c>
      <c r="P496">
        <v>66900</v>
      </c>
      <c r="Q496">
        <v>19000</v>
      </c>
      <c r="R496">
        <v>22.12</v>
      </c>
      <c r="S496" t="s">
        <v>79</v>
      </c>
      <c r="T496">
        <v>6800</v>
      </c>
      <c r="U496">
        <v>4</v>
      </c>
      <c r="V496" t="s">
        <v>58</v>
      </c>
    </row>
    <row r="497" spans="1:22" x14ac:dyDescent="0.3">
      <c r="A497" t="s">
        <v>1124</v>
      </c>
      <c r="B497" t="s">
        <v>1125</v>
      </c>
      <c r="C497" t="s">
        <v>1126</v>
      </c>
      <c r="D497" s="2">
        <v>45901</v>
      </c>
      <c r="E497" t="s">
        <v>188</v>
      </c>
      <c r="F497" t="s">
        <v>188</v>
      </c>
      <c r="G497" t="s">
        <v>147</v>
      </c>
      <c r="H497" t="s">
        <v>68</v>
      </c>
      <c r="I497" t="s">
        <v>69</v>
      </c>
      <c r="J497" t="s">
        <v>30</v>
      </c>
      <c r="K497">
        <v>7</v>
      </c>
      <c r="L497">
        <v>22</v>
      </c>
      <c r="M497">
        <v>46100</v>
      </c>
      <c r="N497">
        <v>2300</v>
      </c>
      <c r="O497">
        <v>43800</v>
      </c>
      <c r="P497">
        <v>33400</v>
      </c>
      <c r="Q497">
        <v>10400</v>
      </c>
      <c r="R497">
        <v>23.74</v>
      </c>
      <c r="S497" t="s">
        <v>97</v>
      </c>
      <c r="T497">
        <v>6400</v>
      </c>
      <c r="U497">
        <v>3.8</v>
      </c>
      <c r="V497" t="s">
        <v>79</v>
      </c>
    </row>
    <row r="498" spans="1:22" x14ac:dyDescent="0.3">
      <c r="A498" t="s">
        <v>301</v>
      </c>
      <c r="B498" t="s">
        <v>302</v>
      </c>
      <c r="C498" t="s">
        <v>303</v>
      </c>
      <c r="D498" s="2">
        <v>45901</v>
      </c>
      <c r="E498" t="s">
        <v>26</v>
      </c>
      <c r="F498" t="s">
        <v>26</v>
      </c>
      <c r="G498" t="s">
        <v>213</v>
      </c>
      <c r="H498" t="s">
        <v>214</v>
      </c>
      <c r="I498" t="s">
        <v>69</v>
      </c>
      <c r="J498" t="s">
        <v>70</v>
      </c>
      <c r="K498">
        <v>6</v>
      </c>
      <c r="L498">
        <v>31</v>
      </c>
      <c r="M498">
        <v>89400</v>
      </c>
      <c r="N498">
        <v>17900</v>
      </c>
      <c r="O498">
        <v>71500</v>
      </c>
      <c r="P498">
        <v>68300</v>
      </c>
      <c r="Q498">
        <v>3200</v>
      </c>
      <c r="R498">
        <v>4.4800000000000004</v>
      </c>
      <c r="S498" t="s">
        <v>79</v>
      </c>
      <c r="T498">
        <v>8000</v>
      </c>
      <c r="U498">
        <v>3.9</v>
      </c>
      <c r="V498" t="s">
        <v>79</v>
      </c>
    </row>
    <row r="499" spans="1:22" x14ac:dyDescent="0.3">
      <c r="A499" t="s">
        <v>3393</v>
      </c>
      <c r="B499" t="s">
        <v>2504</v>
      </c>
      <c r="C499" t="s">
        <v>2505</v>
      </c>
      <c r="D499" s="2">
        <v>45902</v>
      </c>
      <c r="E499" t="s">
        <v>282</v>
      </c>
      <c r="F499" t="s">
        <v>282</v>
      </c>
      <c r="G499" t="s">
        <v>213</v>
      </c>
      <c r="H499" t="s">
        <v>214</v>
      </c>
      <c r="I499" t="s">
        <v>69</v>
      </c>
      <c r="J499" t="s">
        <v>30</v>
      </c>
      <c r="K499">
        <v>4</v>
      </c>
      <c r="L499">
        <v>36</v>
      </c>
      <c r="M499">
        <v>53400</v>
      </c>
      <c r="N499">
        <v>2700</v>
      </c>
      <c r="O499">
        <v>50700</v>
      </c>
      <c r="P499">
        <v>23800</v>
      </c>
      <c r="Q499">
        <v>26900</v>
      </c>
      <c r="R499">
        <v>53.06</v>
      </c>
      <c r="S499" t="s">
        <v>182</v>
      </c>
      <c r="T499">
        <v>2600</v>
      </c>
      <c r="U499">
        <v>3.5</v>
      </c>
      <c r="V499" t="s">
        <v>42</v>
      </c>
    </row>
    <row r="500" spans="1:22" x14ac:dyDescent="0.3">
      <c r="A500" t="s">
        <v>1348</v>
      </c>
      <c r="B500" t="s">
        <v>1349</v>
      </c>
      <c r="C500" t="s">
        <v>1350</v>
      </c>
      <c r="D500" s="2">
        <v>45902</v>
      </c>
      <c r="E500" t="s">
        <v>134</v>
      </c>
      <c r="F500" t="s">
        <v>134</v>
      </c>
      <c r="G500" t="s">
        <v>103</v>
      </c>
      <c r="H500" t="s">
        <v>229</v>
      </c>
      <c r="I500" t="s">
        <v>69</v>
      </c>
      <c r="J500" t="s">
        <v>257</v>
      </c>
      <c r="K500">
        <v>6</v>
      </c>
      <c r="L500">
        <v>48</v>
      </c>
      <c r="M500">
        <v>80400</v>
      </c>
      <c r="N500">
        <v>16100</v>
      </c>
      <c r="O500">
        <v>64300</v>
      </c>
      <c r="P500">
        <v>56000</v>
      </c>
      <c r="Q500">
        <v>8300</v>
      </c>
      <c r="R500">
        <v>12.91</v>
      </c>
      <c r="S500" t="s">
        <v>97</v>
      </c>
      <c r="T500">
        <v>11400</v>
      </c>
      <c r="U500">
        <v>4.3</v>
      </c>
      <c r="V500" t="s">
        <v>58</v>
      </c>
    </row>
    <row r="501" spans="1:22" x14ac:dyDescent="0.3">
      <c r="A501" t="s">
        <v>3978</v>
      </c>
      <c r="B501" t="s">
        <v>787</v>
      </c>
      <c r="C501" t="s">
        <v>788</v>
      </c>
      <c r="D501" s="2">
        <v>45902</v>
      </c>
      <c r="E501" t="s">
        <v>26</v>
      </c>
      <c r="F501" t="s">
        <v>26</v>
      </c>
      <c r="G501" t="s">
        <v>103</v>
      </c>
      <c r="H501" t="s">
        <v>5470</v>
      </c>
      <c r="I501" t="s">
        <v>69</v>
      </c>
      <c r="J501" t="s">
        <v>70</v>
      </c>
      <c r="K501">
        <v>7</v>
      </c>
      <c r="L501">
        <v>53</v>
      </c>
      <c r="M501">
        <v>29100</v>
      </c>
      <c r="N501">
        <v>2900</v>
      </c>
      <c r="O501">
        <v>26200</v>
      </c>
      <c r="P501">
        <v>21000</v>
      </c>
      <c r="Q501">
        <v>5200</v>
      </c>
      <c r="R501">
        <v>19.850000000000001</v>
      </c>
      <c r="S501" t="s">
        <v>182</v>
      </c>
      <c r="T501">
        <v>1200</v>
      </c>
      <c r="U501">
        <v>4.8</v>
      </c>
      <c r="V501" t="s">
        <v>58</v>
      </c>
    </row>
    <row r="502" spans="1:22" x14ac:dyDescent="0.3">
      <c r="A502" t="s">
        <v>1780</v>
      </c>
      <c r="B502" t="s">
        <v>1468</v>
      </c>
      <c r="C502" t="s">
        <v>1469</v>
      </c>
      <c r="D502" s="2">
        <v>45903</v>
      </c>
      <c r="E502" t="s">
        <v>134</v>
      </c>
      <c r="F502" t="s">
        <v>134</v>
      </c>
      <c r="G502" t="s">
        <v>48</v>
      </c>
      <c r="H502" t="s">
        <v>214</v>
      </c>
      <c r="I502" t="s">
        <v>69</v>
      </c>
      <c r="J502" t="s">
        <v>30</v>
      </c>
      <c r="K502">
        <v>10</v>
      </c>
      <c r="L502">
        <v>45</v>
      </c>
      <c r="M502">
        <v>24800</v>
      </c>
      <c r="N502">
        <v>0</v>
      </c>
      <c r="O502">
        <v>24800</v>
      </c>
      <c r="P502">
        <v>14000</v>
      </c>
      <c r="Q502">
        <v>10800</v>
      </c>
      <c r="R502">
        <v>43.55</v>
      </c>
      <c r="S502" t="s">
        <v>182</v>
      </c>
      <c r="T502">
        <v>4100</v>
      </c>
      <c r="U502">
        <v>4.4000000000000004</v>
      </c>
      <c r="V502" t="s">
        <v>82</v>
      </c>
    </row>
    <row r="503" spans="1:22" x14ac:dyDescent="0.3">
      <c r="A503" t="s">
        <v>4685</v>
      </c>
      <c r="B503" t="s">
        <v>2330</v>
      </c>
      <c r="C503" t="s">
        <v>2331</v>
      </c>
      <c r="D503" s="2">
        <v>45906</v>
      </c>
      <c r="E503" t="s">
        <v>66</v>
      </c>
      <c r="F503" t="s">
        <v>66</v>
      </c>
      <c r="G503" t="s">
        <v>67</v>
      </c>
      <c r="H503" t="s">
        <v>88</v>
      </c>
      <c r="I503" t="s">
        <v>69</v>
      </c>
      <c r="J503" t="s">
        <v>30</v>
      </c>
      <c r="K503">
        <v>10</v>
      </c>
      <c r="L503">
        <v>45</v>
      </c>
      <c r="M503">
        <v>90600</v>
      </c>
      <c r="N503">
        <v>0</v>
      </c>
      <c r="O503">
        <v>90600</v>
      </c>
      <c r="P503">
        <v>64700</v>
      </c>
      <c r="Q503">
        <v>25900</v>
      </c>
      <c r="R503">
        <v>28.59</v>
      </c>
      <c r="S503" t="s">
        <v>58</v>
      </c>
      <c r="T503">
        <v>12000</v>
      </c>
      <c r="U503">
        <v>5</v>
      </c>
      <c r="V503" t="s">
        <v>114</v>
      </c>
    </row>
    <row r="504" spans="1:22" x14ac:dyDescent="0.3">
      <c r="A504" t="s">
        <v>755</v>
      </c>
      <c r="B504" t="s">
        <v>756</v>
      </c>
      <c r="C504" t="s">
        <v>757</v>
      </c>
      <c r="D504" s="2">
        <v>45907</v>
      </c>
      <c r="E504" t="s">
        <v>66</v>
      </c>
      <c r="F504" t="s">
        <v>66</v>
      </c>
      <c r="G504" t="s">
        <v>48</v>
      </c>
      <c r="H504" t="s">
        <v>229</v>
      </c>
      <c r="I504" t="s">
        <v>69</v>
      </c>
      <c r="J504" t="s">
        <v>30</v>
      </c>
      <c r="K504">
        <v>9</v>
      </c>
      <c r="L504">
        <v>39</v>
      </c>
      <c r="M504">
        <v>46400</v>
      </c>
      <c r="N504">
        <v>9300</v>
      </c>
      <c r="O504">
        <v>37100</v>
      </c>
      <c r="P504">
        <v>35100</v>
      </c>
      <c r="Q504">
        <v>2000</v>
      </c>
      <c r="R504">
        <v>5.39</v>
      </c>
      <c r="S504" t="s">
        <v>39</v>
      </c>
      <c r="T504">
        <v>5100</v>
      </c>
      <c r="U504">
        <v>3.8</v>
      </c>
      <c r="V504" t="s">
        <v>79</v>
      </c>
    </row>
    <row r="505" spans="1:22" x14ac:dyDescent="0.3">
      <c r="A505" t="s">
        <v>1944</v>
      </c>
      <c r="B505" t="s">
        <v>1945</v>
      </c>
      <c r="C505" t="s">
        <v>1946</v>
      </c>
      <c r="D505" s="2">
        <v>45907</v>
      </c>
      <c r="E505" t="s">
        <v>228</v>
      </c>
      <c r="F505" t="s">
        <v>228</v>
      </c>
      <c r="G505" t="s">
        <v>118</v>
      </c>
      <c r="H505" t="s">
        <v>28</v>
      </c>
      <c r="I505" t="s">
        <v>69</v>
      </c>
      <c r="J505" t="s">
        <v>30</v>
      </c>
      <c r="K505">
        <v>10</v>
      </c>
      <c r="L505">
        <v>41</v>
      </c>
      <c r="M505">
        <v>23000</v>
      </c>
      <c r="N505">
        <v>0</v>
      </c>
      <c r="O505">
        <v>23000</v>
      </c>
      <c r="P505">
        <v>16400</v>
      </c>
      <c r="Q505">
        <v>6600</v>
      </c>
      <c r="R505">
        <v>28.7</v>
      </c>
      <c r="S505" t="s">
        <v>58</v>
      </c>
      <c r="T505">
        <v>2300</v>
      </c>
      <c r="U505">
        <v>4.0999999999999996</v>
      </c>
      <c r="V505" t="s">
        <v>114</v>
      </c>
    </row>
    <row r="506" spans="1:22" x14ac:dyDescent="0.3">
      <c r="A506" t="s">
        <v>4498</v>
      </c>
      <c r="B506" t="s">
        <v>1945</v>
      </c>
      <c r="C506" t="s">
        <v>1946</v>
      </c>
      <c r="D506" s="2">
        <v>45908</v>
      </c>
      <c r="E506" t="s">
        <v>244</v>
      </c>
      <c r="F506" t="s">
        <v>244</v>
      </c>
      <c r="G506" t="s">
        <v>67</v>
      </c>
      <c r="H506" t="s">
        <v>28</v>
      </c>
      <c r="I506" t="s">
        <v>69</v>
      </c>
      <c r="J506" t="s">
        <v>30</v>
      </c>
      <c r="K506">
        <v>10</v>
      </c>
      <c r="L506">
        <v>53</v>
      </c>
      <c r="M506">
        <v>29000</v>
      </c>
      <c r="N506">
        <v>2900</v>
      </c>
      <c r="O506">
        <v>26100</v>
      </c>
      <c r="P506">
        <v>14600</v>
      </c>
      <c r="Q506">
        <v>11500</v>
      </c>
      <c r="R506">
        <v>44.06</v>
      </c>
      <c r="S506" t="s">
        <v>79</v>
      </c>
      <c r="T506">
        <v>2700</v>
      </c>
      <c r="U506">
        <v>3.7</v>
      </c>
      <c r="V506" t="s">
        <v>58</v>
      </c>
    </row>
    <row r="507" spans="1:22" x14ac:dyDescent="0.3">
      <c r="A507" t="s">
        <v>4021</v>
      </c>
      <c r="B507" t="s">
        <v>2146</v>
      </c>
      <c r="C507" t="s">
        <v>2147</v>
      </c>
      <c r="D507" s="2">
        <v>45909</v>
      </c>
      <c r="E507" t="s">
        <v>188</v>
      </c>
      <c r="F507" t="s">
        <v>188</v>
      </c>
      <c r="G507" t="s">
        <v>67</v>
      </c>
      <c r="H507" t="s">
        <v>5470</v>
      </c>
      <c r="I507" t="s">
        <v>69</v>
      </c>
      <c r="J507" t="s">
        <v>30</v>
      </c>
      <c r="K507">
        <v>4</v>
      </c>
      <c r="L507">
        <v>47</v>
      </c>
      <c r="M507">
        <v>43500</v>
      </c>
      <c r="N507">
        <v>0</v>
      </c>
      <c r="O507">
        <v>43500</v>
      </c>
      <c r="P507">
        <v>34200</v>
      </c>
      <c r="Q507">
        <v>9300</v>
      </c>
      <c r="R507">
        <v>21.38</v>
      </c>
      <c r="S507" t="s">
        <v>39</v>
      </c>
      <c r="T507">
        <v>1800</v>
      </c>
      <c r="U507">
        <v>3.1</v>
      </c>
      <c r="V507" t="s">
        <v>114</v>
      </c>
    </row>
    <row r="508" spans="1:22" x14ac:dyDescent="0.3">
      <c r="A508" t="s">
        <v>3681</v>
      </c>
      <c r="B508" t="s">
        <v>1912</v>
      </c>
      <c r="C508" t="s">
        <v>1913</v>
      </c>
      <c r="D508" s="2">
        <v>45910</v>
      </c>
      <c r="E508" t="s">
        <v>282</v>
      </c>
      <c r="F508" t="s">
        <v>282</v>
      </c>
      <c r="G508" t="s">
        <v>5471</v>
      </c>
      <c r="H508" t="s">
        <v>214</v>
      </c>
      <c r="I508" t="s">
        <v>69</v>
      </c>
      <c r="J508" t="s">
        <v>162</v>
      </c>
      <c r="K508">
        <v>6</v>
      </c>
      <c r="L508">
        <v>41</v>
      </c>
      <c r="M508">
        <v>66000</v>
      </c>
      <c r="N508">
        <v>13200</v>
      </c>
      <c r="O508">
        <v>52800</v>
      </c>
      <c r="P508">
        <v>43200</v>
      </c>
      <c r="Q508">
        <v>9600</v>
      </c>
      <c r="R508">
        <v>18.18</v>
      </c>
      <c r="S508" t="s">
        <v>97</v>
      </c>
      <c r="T508">
        <v>8200</v>
      </c>
      <c r="U508">
        <v>4.2</v>
      </c>
      <c r="V508" t="s">
        <v>82</v>
      </c>
    </row>
    <row r="509" spans="1:22" x14ac:dyDescent="0.3">
      <c r="A509" t="s">
        <v>4175</v>
      </c>
      <c r="B509" t="s">
        <v>2000</v>
      </c>
      <c r="C509" t="s">
        <v>2001</v>
      </c>
      <c r="D509" s="2">
        <v>45910</v>
      </c>
      <c r="E509" t="s">
        <v>161</v>
      </c>
      <c r="F509" t="s">
        <v>161</v>
      </c>
      <c r="G509" t="s">
        <v>147</v>
      </c>
      <c r="H509" t="s">
        <v>68</v>
      </c>
      <c r="I509" t="s">
        <v>69</v>
      </c>
      <c r="J509" t="s">
        <v>30</v>
      </c>
      <c r="K509">
        <v>5</v>
      </c>
      <c r="L509">
        <v>35</v>
      </c>
      <c r="M509">
        <v>144700</v>
      </c>
      <c r="N509">
        <v>0</v>
      </c>
      <c r="O509">
        <v>144700</v>
      </c>
      <c r="P509">
        <v>81400</v>
      </c>
      <c r="Q509">
        <v>63300</v>
      </c>
      <c r="R509">
        <v>43.75</v>
      </c>
      <c r="S509" t="s">
        <v>126</v>
      </c>
      <c r="T509">
        <v>19400</v>
      </c>
      <c r="U509">
        <v>5</v>
      </c>
      <c r="V509" t="s">
        <v>58</v>
      </c>
    </row>
    <row r="510" spans="1:22" x14ac:dyDescent="0.3">
      <c r="A510" t="s">
        <v>3102</v>
      </c>
      <c r="B510" t="s">
        <v>3103</v>
      </c>
      <c r="C510" t="s">
        <v>3104</v>
      </c>
      <c r="D510" s="2">
        <v>45910</v>
      </c>
      <c r="E510" t="s">
        <v>188</v>
      </c>
      <c r="F510" t="s">
        <v>188</v>
      </c>
      <c r="G510" t="s">
        <v>48</v>
      </c>
      <c r="H510" t="s">
        <v>229</v>
      </c>
      <c r="I510" t="s">
        <v>69</v>
      </c>
      <c r="J510" t="s">
        <v>30</v>
      </c>
      <c r="K510">
        <v>8</v>
      </c>
      <c r="L510">
        <v>51</v>
      </c>
      <c r="M510">
        <v>31100</v>
      </c>
      <c r="N510">
        <v>4700</v>
      </c>
      <c r="O510">
        <v>26400</v>
      </c>
      <c r="P510">
        <v>18900</v>
      </c>
      <c r="Q510">
        <v>7500</v>
      </c>
      <c r="R510">
        <v>28.41</v>
      </c>
      <c r="S510" t="s">
        <v>58</v>
      </c>
      <c r="T510">
        <v>1500</v>
      </c>
      <c r="U510">
        <v>3.4</v>
      </c>
      <c r="V510" t="s">
        <v>58</v>
      </c>
    </row>
    <row r="511" spans="1:22" x14ac:dyDescent="0.3">
      <c r="A511" t="s">
        <v>5375</v>
      </c>
      <c r="B511" t="s">
        <v>240</v>
      </c>
      <c r="C511" t="s">
        <v>241</v>
      </c>
      <c r="D511" s="2">
        <v>45910</v>
      </c>
      <c r="E511" t="s">
        <v>228</v>
      </c>
      <c r="F511" t="s">
        <v>228</v>
      </c>
      <c r="G511" t="s">
        <v>67</v>
      </c>
      <c r="H511" t="s">
        <v>49</v>
      </c>
      <c r="I511" t="s">
        <v>69</v>
      </c>
      <c r="J511" t="s">
        <v>162</v>
      </c>
      <c r="K511">
        <v>6</v>
      </c>
      <c r="L511">
        <v>34</v>
      </c>
      <c r="M511">
        <v>109200</v>
      </c>
      <c r="N511">
        <v>21800</v>
      </c>
      <c r="O511">
        <v>87400</v>
      </c>
      <c r="P511">
        <v>50000</v>
      </c>
      <c r="Q511">
        <v>37400</v>
      </c>
      <c r="R511">
        <v>42.79</v>
      </c>
      <c r="S511" t="s">
        <v>97</v>
      </c>
      <c r="T511">
        <v>7000</v>
      </c>
      <c r="U511">
        <v>4.5</v>
      </c>
      <c r="V511" t="s">
        <v>82</v>
      </c>
    </row>
    <row r="512" spans="1:22" x14ac:dyDescent="0.3">
      <c r="A512" t="s">
        <v>4349</v>
      </c>
      <c r="B512" t="s">
        <v>869</v>
      </c>
      <c r="C512" t="s">
        <v>870</v>
      </c>
      <c r="D512" s="2">
        <v>45911</v>
      </c>
      <c r="E512" t="s">
        <v>66</v>
      </c>
      <c r="F512" t="s">
        <v>66</v>
      </c>
      <c r="G512" t="s">
        <v>27</v>
      </c>
      <c r="H512" t="s">
        <v>68</v>
      </c>
      <c r="I512" t="s">
        <v>69</v>
      </c>
      <c r="J512" t="s">
        <v>30</v>
      </c>
      <c r="K512">
        <v>8</v>
      </c>
      <c r="L512">
        <v>44</v>
      </c>
      <c r="M512">
        <v>38100</v>
      </c>
      <c r="N512">
        <v>1900</v>
      </c>
      <c r="O512">
        <v>36200</v>
      </c>
      <c r="P512">
        <v>16500</v>
      </c>
      <c r="Q512">
        <v>19700</v>
      </c>
      <c r="R512">
        <v>54.42</v>
      </c>
      <c r="S512" t="s">
        <v>79</v>
      </c>
      <c r="T512">
        <v>4000</v>
      </c>
      <c r="U512">
        <v>4.5</v>
      </c>
      <c r="V512" t="s">
        <v>58</v>
      </c>
    </row>
    <row r="513" spans="1:22" x14ac:dyDescent="0.3">
      <c r="A513" t="s">
        <v>1297</v>
      </c>
      <c r="B513" t="s">
        <v>1298</v>
      </c>
      <c r="C513" t="s">
        <v>1299</v>
      </c>
      <c r="D513" s="2">
        <v>45911</v>
      </c>
      <c r="E513" t="s">
        <v>228</v>
      </c>
      <c r="F513" t="s">
        <v>228</v>
      </c>
      <c r="G513" t="s">
        <v>118</v>
      </c>
      <c r="H513" t="s">
        <v>229</v>
      </c>
      <c r="I513" t="s">
        <v>29</v>
      </c>
      <c r="J513" t="s">
        <v>257</v>
      </c>
      <c r="K513">
        <v>9</v>
      </c>
      <c r="L513">
        <v>5</v>
      </c>
      <c r="M513">
        <v>21900</v>
      </c>
      <c r="N513">
        <v>0</v>
      </c>
      <c r="O513">
        <v>21900</v>
      </c>
      <c r="P513">
        <v>13700</v>
      </c>
      <c r="Q513">
        <v>8200</v>
      </c>
      <c r="R513">
        <v>37.44</v>
      </c>
      <c r="S513" t="s">
        <v>126</v>
      </c>
      <c r="T513">
        <v>1400</v>
      </c>
      <c r="U513">
        <v>3.9</v>
      </c>
      <c r="V513" t="s">
        <v>79</v>
      </c>
    </row>
    <row r="514" spans="1:22" x14ac:dyDescent="0.3">
      <c r="A514" t="s">
        <v>4298</v>
      </c>
      <c r="B514" t="s">
        <v>1292</v>
      </c>
      <c r="C514" t="s">
        <v>1293</v>
      </c>
      <c r="D514" s="2">
        <v>45911</v>
      </c>
      <c r="E514" t="s">
        <v>244</v>
      </c>
      <c r="F514" t="s">
        <v>244</v>
      </c>
      <c r="G514" t="s">
        <v>48</v>
      </c>
      <c r="H514" t="s">
        <v>5470</v>
      </c>
      <c r="I514" t="s">
        <v>69</v>
      </c>
      <c r="J514" t="s">
        <v>30</v>
      </c>
      <c r="K514">
        <v>3</v>
      </c>
      <c r="L514">
        <v>45</v>
      </c>
      <c r="M514">
        <v>43000</v>
      </c>
      <c r="N514">
        <v>6400</v>
      </c>
      <c r="O514">
        <v>36600</v>
      </c>
      <c r="P514">
        <v>22200</v>
      </c>
      <c r="Q514">
        <v>14400</v>
      </c>
      <c r="R514">
        <v>39.340000000000003</v>
      </c>
      <c r="S514" t="s">
        <v>126</v>
      </c>
      <c r="T514">
        <v>4700</v>
      </c>
      <c r="U514">
        <v>3.6</v>
      </c>
      <c r="V514" t="s">
        <v>42</v>
      </c>
    </row>
    <row r="515" spans="1:22" x14ac:dyDescent="0.3">
      <c r="A515" t="s">
        <v>2912</v>
      </c>
      <c r="B515" t="s">
        <v>210</v>
      </c>
      <c r="C515" t="s">
        <v>211</v>
      </c>
      <c r="D515" s="2">
        <v>45912</v>
      </c>
      <c r="E515" t="s">
        <v>26</v>
      </c>
      <c r="F515" t="s">
        <v>26</v>
      </c>
      <c r="G515" t="s">
        <v>103</v>
      </c>
      <c r="H515" t="s">
        <v>88</v>
      </c>
      <c r="I515" t="s">
        <v>69</v>
      </c>
      <c r="J515" t="s">
        <v>70</v>
      </c>
      <c r="K515">
        <v>8</v>
      </c>
      <c r="L515">
        <v>35</v>
      </c>
      <c r="M515">
        <v>20900</v>
      </c>
      <c r="N515">
        <v>0</v>
      </c>
      <c r="O515">
        <v>20900</v>
      </c>
      <c r="P515">
        <v>9400</v>
      </c>
      <c r="Q515">
        <v>11500</v>
      </c>
      <c r="R515">
        <v>55.02</v>
      </c>
      <c r="S515" t="s">
        <v>79</v>
      </c>
      <c r="T515">
        <v>1200</v>
      </c>
      <c r="U515">
        <v>4.0999999999999996</v>
      </c>
      <c r="V515" t="s">
        <v>79</v>
      </c>
    </row>
    <row r="516" spans="1:22" x14ac:dyDescent="0.3">
      <c r="A516" t="s">
        <v>1926</v>
      </c>
      <c r="B516" t="s">
        <v>520</v>
      </c>
      <c r="C516" t="s">
        <v>521</v>
      </c>
      <c r="D516" s="2">
        <v>45912</v>
      </c>
      <c r="E516" t="s">
        <v>26</v>
      </c>
      <c r="F516" t="s">
        <v>26</v>
      </c>
      <c r="G516" t="s">
        <v>48</v>
      </c>
      <c r="H516" t="s">
        <v>5471</v>
      </c>
      <c r="I516" t="s">
        <v>29</v>
      </c>
      <c r="J516" t="s">
        <v>30</v>
      </c>
      <c r="K516">
        <v>7</v>
      </c>
      <c r="L516">
        <v>37</v>
      </c>
      <c r="M516">
        <v>61000</v>
      </c>
      <c r="N516">
        <v>6100</v>
      </c>
      <c r="O516">
        <v>54900</v>
      </c>
      <c r="P516">
        <v>28300</v>
      </c>
      <c r="Q516">
        <v>26600</v>
      </c>
      <c r="R516">
        <v>48.45</v>
      </c>
      <c r="S516" t="s">
        <v>58</v>
      </c>
      <c r="T516">
        <v>7200</v>
      </c>
      <c r="U516">
        <v>3</v>
      </c>
      <c r="V516" t="s">
        <v>42</v>
      </c>
    </row>
    <row r="517" spans="1:22" x14ac:dyDescent="0.3">
      <c r="A517" t="s">
        <v>4216</v>
      </c>
      <c r="B517" t="s">
        <v>869</v>
      </c>
      <c r="C517" t="s">
        <v>870</v>
      </c>
      <c r="D517" s="2">
        <v>45912</v>
      </c>
      <c r="E517" t="s">
        <v>66</v>
      </c>
      <c r="F517" t="s">
        <v>66</v>
      </c>
      <c r="G517" t="s">
        <v>580</v>
      </c>
      <c r="H517" t="s">
        <v>28</v>
      </c>
      <c r="I517" t="s">
        <v>69</v>
      </c>
      <c r="J517" t="s">
        <v>30</v>
      </c>
      <c r="K517">
        <v>7</v>
      </c>
      <c r="L517">
        <v>49</v>
      </c>
      <c r="M517">
        <v>28800</v>
      </c>
      <c r="N517">
        <v>5800</v>
      </c>
      <c r="O517">
        <v>23000</v>
      </c>
      <c r="P517">
        <v>23600</v>
      </c>
      <c r="Q517">
        <v>-600</v>
      </c>
      <c r="R517">
        <v>-2.61</v>
      </c>
      <c r="S517" t="s">
        <v>97</v>
      </c>
      <c r="T517">
        <v>2500</v>
      </c>
      <c r="U517">
        <v>4.5</v>
      </c>
      <c r="V517" t="s">
        <v>114</v>
      </c>
    </row>
    <row r="518" spans="1:22" x14ac:dyDescent="0.3">
      <c r="A518" t="s">
        <v>830</v>
      </c>
      <c r="B518" t="s">
        <v>254</v>
      </c>
      <c r="C518" t="s">
        <v>255</v>
      </c>
      <c r="D518" s="2">
        <v>45912</v>
      </c>
      <c r="E518" t="s">
        <v>66</v>
      </c>
      <c r="F518" t="s">
        <v>66</v>
      </c>
      <c r="G518" t="s">
        <v>103</v>
      </c>
      <c r="H518" t="s">
        <v>28</v>
      </c>
      <c r="I518" t="s">
        <v>29</v>
      </c>
      <c r="J518" t="s">
        <v>30</v>
      </c>
      <c r="K518">
        <v>3</v>
      </c>
      <c r="L518">
        <v>5</v>
      </c>
      <c r="M518">
        <v>54100</v>
      </c>
      <c r="N518">
        <v>5400</v>
      </c>
      <c r="O518">
        <v>48700</v>
      </c>
      <c r="P518">
        <v>40300</v>
      </c>
      <c r="Q518">
        <v>8400</v>
      </c>
      <c r="R518">
        <v>17.25</v>
      </c>
      <c r="S518" t="s">
        <v>58</v>
      </c>
      <c r="T518">
        <v>3800</v>
      </c>
      <c r="U518">
        <v>4</v>
      </c>
      <c r="V518" t="s">
        <v>79</v>
      </c>
    </row>
    <row r="519" spans="1:22" x14ac:dyDescent="0.3">
      <c r="A519" t="s">
        <v>2894</v>
      </c>
      <c r="B519" t="s">
        <v>1251</v>
      </c>
      <c r="C519" t="s">
        <v>1252</v>
      </c>
      <c r="D519" s="2">
        <v>45913</v>
      </c>
      <c r="E519" t="s">
        <v>161</v>
      </c>
      <c r="F519" t="s">
        <v>161</v>
      </c>
      <c r="G519" t="s">
        <v>48</v>
      </c>
      <c r="H519" t="s">
        <v>28</v>
      </c>
      <c r="I519" t="s">
        <v>69</v>
      </c>
      <c r="J519" t="s">
        <v>70</v>
      </c>
      <c r="K519">
        <v>4</v>
      </c>
      <c r="L519">
        <v>57</v>
      </c>
      <c r="M519">
        <v>35500</v>
      </c>
      <c r="N519">
        <v>0</v>
      </c>
      <c r="O519">
        <v>35500</v>
      </c>
      <c r="P519">
        <v>26900</v>
      </c>
      <c r="Q519">
        <v>8600</v>
      </c>
      <c r="R519">
        <v>24.23</v>
      </c>
      <c r="S519" t="s">
        <v>79</v>
      </c>
      <c r="T519">
        <v>1400</v>
      </c>
      <c r="U519">
        <v>4.5</v>
      </c>
      <c r="V519" t="s">
        <v>82</v>
      </c>
    </row>
    <row r="520" spans="1:22" x14ac:dyDescent="0.3">
      <c r="A520" t="s">
        <v>2363</v>
      </c>
      <c r="B520" t="s">
        <v>2364</v>
      </c>
      <c r="C520" t="s">
        <v>2365</v>
      </c>
      <c r="D520" s="2">
        <v>45913</v>
      </c>
      <c r="E520" t="s">
        <v>134</v>
      </c>
      <c r="F520" t="s">
        <v>134</v>
      </c>
      <c r="G520" t="s">
        <v>103</v>
      </c>
      <c r="H520" t="s">
        <v>268</v>
      </c>
      <c r="I520" t="s">
        <v>29</v>
      </c>
      <c r="J520" t="s">
        <v>30</v>
      </c>
      <c r="K520">
        <v>2</v>
      </c>
      <c r="L520">
        <v>23</v>
      </c>
      <c r="M520">
        <v>56000</v>
      </c>
      <c r="N520">
        <v>2800</v>
      </c>
      <c r="O520">
        <v>53200</v>
      </c>
      <c r="P520">
        <v>34400</v>
      </c>
      <c r="Q520">
        <v>18800</v>
      </c>
      <c r="R520">
        <v>35.340000000000003</v>
      </c>
      <c r="S520" t="s">
        <v>126</v>
      </c>
      <c r="T520">
        <v>6100</v>
      </c>
      <c r="U520">
        <v>3</v>
      </c>
      <c r="V520" t="s">
        <v>79</v>
      </c>
    </row>
    <row r="521" spans="1:22" x14ac:dyDescent="0.3">
      <c r="A521" t="s">
        <v>1310</v>
      </c>
      <c r="B521" t="s">
        <v>1311</v>
      </c>
      <c r="C521" t="s">
        <v>1312</v>
      </c>
      <c r="D521" s="2">
        <v>45916</v>
      </c>
      <c r="E521" t="s">
        <v>161</v>
      </c>
      <c r="F521" t="s">
        <v>161</v>
      </c>
      <c r="G521" t="s">
        <v>213</v>
      </c>
      <c r="H521" t="s">
        <v>229</v>
      </c>
      <c r="I521" t="s">
        <v>29</v>
      </c>
      <c r="J521" t="s">
        <v>30</v>
      </c>
      <c r="K521">
        <v>4</v>
      </c>
      <c r="L521">
        <v>20</v>
      </c>
      <c r="M521">
        <v>79200</v>
      </c>
      <c r="N521">
        <v>0</v>
      </c>
      <c r="O521">
        <v>79200</v>
      </c>
      <c r="P521">
        <v>51200</v>
      </c>
      <c r="Q521">
        <v>28000</v>
      </c>
      <c r="R521">
        <v>35.35</v>
      </c>
      <c r="S521" t="s">
        <v>126</v>
      </c>
      <c r="T521">
        <v>7600</v>
      </c>
      <c r="U521">
        <v>3</v>
      </c>
      <c r="V521" t="s">
        <v>79</v>
      </c>
    </row>
    <row r="522" spans="1:22" x14ac:dyDescent="0.3">
      <c r="A522" t="s">
        <v>5004</v>
      </c>
      <c r="B522" t="s">
        <v>1638</v>
      </c>
      <c r="C522" t="s">
        <v>1639</v>
      </c>
      <c r="D522" s="2">
        <v>45916</v>
      </c>
      <c r="E522" t="s">
        <v>282</v>
      </c>
      <c r="F522" t="s">
        <v>282</v>
      </c>
      <c r="G522" t="s">
        <v>48</v>
      </c>
      <c r="H522" t="s">
        <v>268</v>
      </c>
      <c r="I522" t="s">
        <v>29</v>
      </c>
      <c r="J522" t="s">
        <v>30</v>
      </c>
      <c r="K522">
        <v>7</v>
      </c>
      <c r="L522">
        <v>44</v>
      </c>
      <c r="M522">
        <v>80300</v>
      </c>
      <c r="N522">
        <v>0</v>
      </c>
      <c r="O522">
        <v>80300</v>
      </c>
      <c r="P522">
        <v>54400</v>
      </c>
      <c r="Q522">
        <v>25900</v>
      </c>
      <c r="R522">
        <v>32.25</v>
      </c>
      <c r="S522" t="s">
        <v>39</v>
      </c>
      <c r="T522">
        <v>5500</v>
      </c>
      <c r="U522">
        <v>4.0999999999999996</v>
      </c>
      <c r="V522" t="s">
        <v>114</v>
      </c>
    </row>
    <row r="523" spans="1:22" x14ac:dyDescent="0.3">
      <c r="A523" t="s">
        <v>4589</v>
      </c>
      <c r="B523" t="s">
        <v>570</v>
      </c>
      <c r="C523" t="s">
        <v>571</v>
      </c>
      <c r="D523" s="2">
        <v>45917</v>
      </c>
      <c r="E523" t="s">
        <v>244</v>
      </c>
      <c r="F523" t="s">
        <v>244</v>
      </c>
      <c r="G523" t="s">
        <v>48</v>
      </c>
      <c r="H523" t="s">
        <v>88</v>
      </c>
      <c r="I523" t="s">
        <v>69</v>
      </c>
      <c r="J523" t="s">
        <v>30</v>
      </c>
      <c r="K523">
        <v>8</v>
      </c>
      <c r="L523">
        <v>25</v>
      </c>
      <c r="M523">
        <v>47200</v>
      </c>
      <c r="N523">
        <v>9400</v>
      </c>
      <c r="O523">
        <v>37800</v>
      </c>
      <c r="P523">
        <v>29800</v>
      </c>
      <c r="Q523">
        <v>8000</v>
      </c>
      <c r="R523">
        <v>21.16</v>
      </c>
      <c r="S523" t="s">
        <v>39</v>
      </c>
      <c r="T523">
        <v>5400</v>
      </c>
      <c r="U523">
        <v>4.7</v>
      </c>
      <c r="V523" t="s">
        <v>114</v>
      </c>
    </row>
    <row r="524" spans="1:22" x14ac:dyDescent="0.3">
      <c r="A524" t="s">
        <v>3691</v>
      </c>
      <c r="B524" t="s">
        <v>669</v>
      </c>
      <c r="C524" t="s">
        <v>670</v>
      </c>
      <c r="D524" s="2">
        <v>45919</v>
      </c>
      <c r="E524" t="s">
        <v>244</v>
      </c>
      <c r="F524" t="s">
        <v>244</v>
      </c>
      <c r="G524" t="s">
        <v>67</v>
      </c>
      <c r="H524" t="s">
        <v>49</v>
      </c>
      <c r="I524" t="s">
        <v>69</v>
      </c>
      <c r="J524" t="s">
        <v>30</v>
      </c>
      <c r="K524">
        <v>6</v>
      </c>
      <c r="L524">
        <v>40</v>
      </c>
      <c r="M524">
        <v>32300</v>
      </c>
      <c r="N524">
        <v>6500</v>
      </c>
      <c r="O524">
        <v>25800</v>
      </c>
      <c r="P524">
        <v>16700</v>
      </c>
      <c r="Q524">
        <v>9100</v>
      </c>
      <c r="R524">
        <v>35.270000000000003</v>
      </c>
      <c r="S524" t="s">
        <v>79</v>
      </c>
      <c r="T524">
        <v>1800</v>
      </c>
      <c r="V524" t="s">
        <v>79</v>
      </c>
    </row>
    <row r="525" spans="1:22" x14ac:dyDescent="0.3">
      <c r="A525" t="s">
        <v>5135</v>
      </c>
      <c r="B525" t="s">
        <v>1530</v>
      </c>
      <c r="C525" t="s">
        <v>1531</v>
      </c>
      <c r="D525" s="2">
        <v>45920</v>
      </c>
      <c r="E525" t="s">
        <v>134</v>
      </c>
      <c r="F525" t="s">
        <v>134</v>
      </c>
      <c r="G525" t="s">
        <v>103</v>
      </c>
      <c r="H525" t="s">
        <v>214</v>
      </c>
      <c r="I525" t="s">
        <v>29</v>
      </c>
      <c r="J525" t="s">
        <v>70</v>
      </c>
      <c r="K525">
        <v>4</v>
      </c>
      <c r="M525">
        <v>17200</v>
      </c>
      <c r="N525">
        <v>2600</v>
      </c>
      <c r="O525">
        <v>14600</v>
      </c>
      <c r="P525">
        <v>7800</v>
      </c>
      <c r="Q525">
        <v>6800</v>
      </c>
      <c r="R525">
        <v>46.58</v>
      </c>
      <c r="S525" t="s">
        <v>79</v>
      </c>
      <c r="T525">
        <v>1800</v>
      </c>
      <c r="U525">
        <v>4.5999999999999996</v>
      </c>
      <c r="V525" t="s">
        <v>42</v>
      </c>
    </row>
    <row r="526" spans="1:22" x14ac:dyDescent="0.3">
      <c r="A526" t="s">
        <v>5056</v>
      </c>
      <c r="B526" t="s">
        <v>1804</v>
      </c>
      <c r="C526" t="s">
        <v>1805</v>
      </c>
      <c r="D526" s="2">
        <v>45921</v>
      </c>
      <c r="E526" t="s">
        <v>244</v>
      </c>
      <c r="F526" t="s">
        <v>244</v>
      </c>
      <c r="G526" t="s">
        <v>27</v>
      </c>
      <c r="H526" t="s">
        <v>49</v>
      </c>
      <c r="I526" t="s">
        <v>29</v>
      </c>
      <c r="J526" t="s">
        <v>70</v>
      </c>
      <c r="K526">
        <v>3</v>
      </c>
      <c r="L526">
        <v>21</v>
      </c>
      <c r="M526">
        <v>81500</v>
      </c>
      <c r="N526">
        <v>0</v>
      </c>
      <c r="O526">
        <v>81500</v>
      </c>
      <c r="P526">
        <v>38100</v>
      </c>
      <c r="Q526">
        <v>43400</v>
      </c>
      <c r="R526">
        <v>53.25</v>
      </c>
      <c r="S526" t="s">
        <v>182</v>
      </c>
      <c r="T526">
        <v>10900</v>
      </c>
      <c r="U526">
        <v>4.2</v>
      </c>
      <c r="V526" t="s">
        <v>82</v>
      </c>
    </row>
    <row r="527" spans="1:22" x14ac:dyDescent="0.3">
      <c r="A527" t="s">
        <v>3222</v>
      </c>
      <c r="B527" t="s">
        <v>746</v>
      </c>
      <c r="C527" t="s">
        <v>747</v>
      </c>
      <c r="D527" s="2">
        <v>45922</v>
      </c>
      <c r="E527" t="s">
        <v>228</v>
      </c>
      <c r="F527" t="s">
        <v>228</v>
      </c>
      <c r="G527" t="s">
        <v>118</v>
      </c>
      <c r="H527" t="s">
        <v>214</v>
      </c>
      <c r="I527" t="s">
        <v>69</v>
      </c>
      <c r="J527" t="s">
        <v>30</v>
      </c>
      <c r="K527">
        <v>7</v>
      </c>
      <c r="L527">
        <v>40</v>
      </c>
      <c r="M527">
        <v>88400</v>
      </c>
      <c r="N527">
        <v>17700</v>
      </c>
      <c r="O527">
        <v>70700</v>
      </c>
      <c r="P527">
        <v>67000</v>
      </c>
      <c r="Q527">
        <v>3700</v>
      </c>
      <c r="R527">
        <v>5.23</v>
      </c>
      <c r="S527" t="s">
        <v>58</v>
      </c>
      <c r="T527">
        <v>3900</v>
      </c>
      <c r="U527">
        <v>4.0999999999999996</v>
      </c>
      <c r="V527" t="s">
        <v>42</v>
      </c>
    </row>
    <row r="528" spans="1:22" x14ac:dyDescent="0.3">
      <c r="A528" t="s">
        <v>2397</v>
      </c>
      <c r="B528" t="s">
        <v>1945</v>
      </c>
      <c r="C528" t="s">
        <v>1946</v>
      </c>
      <c r="D528" s="2">
        <v>45922</v>
      </c>
      <c r="E528" t="s">
        <v>228</v>
      </c>
      <c r="F528" t="s">
        <v>228</v>
      </c>
      <c r="G528" t="s">
        <v>118</v>
      </c>
      <c r="H528" t="s">
        <v>5470</v>
      </c>
      <c r="I528" t="s">
        <v>69</v>
      </c>
      <c r="J528" t="s">
        <v>70</v>
      </c>
      <c r="K528">
        <v>10</v>
      </c>
      <c r="L528">
        <v>60</v>
      </c>
      <c r="M528">
        <v>27000</v>
      </c>
      <c r="N528">
        <v>1400</v>
      </c>
      <c r="O528">
        <v>25600</v>
      </c>
      <c r="P528">
        <v>19600</v>
      </c>
      <c r="Q528">
        <v>6000</v>
      </c>
      <c r="R528">
        <v>23.44</v>
      </c>
      <c r="S528" t="s">
        <v>79</v>
      </c>
      <c r="T528">
        <v>2900</v>
      </c>
      <c r="U528">
        <v>3.7</v>
      </c>
      <c r="V528" t="s">
        <v>82</v>
      </c>
    </row>
    <row r="529" spans="1:22" x14ac:dyDescent="0.3">
      <c r="A529" t="s">
        <v>1929</v>
      </c>
      <c r="B529" t="s">
        <v>1093</v>
      </c>
      <c r="C529" t="s">
        <v>1094</v>
      </c>
      <c r="D529" s="2">
        <v>45922</v>
      </c>
      <c r="E529" t="s">
        <v>244</v>
      </c>
      <c r="F529" t="s">
        <v>244</v>
      </c>
      <c r="G529" t="s">
        <v>580</v>
      </c>
      <c r="H529" t="s">
        <v>229</v>
      </c>
      <c r="I529" t="s">
        <v>29</v>
      </c>
      <c r="J529" t="s">
        <v>30</v>
      </c>
      <c r="K529">
        <v>5</v>
      </c>
      <c r="L529">
        <v>37</v>
      </c>
      <c r="M529">
        <v>35800</v>
      </c>
      <c r="N529">
        <v>1800</v>
      </c>
      <c r="O529">
        <v>34000</v>
      </c>
      <c r="P529">
        <v>24400</v>
      </c>
      <c r="Q529">
        <v>9600</v>
      </c>
      <c r="R529">
        <v>28.24</v>
      </c>
      <c r="S529" t="s">
        <v>58</v>
      </c>
      <c r="T529">
        <v>3100</v>
      </c>
      <c r="U529">
        <v>4.5</v>
      </c>
      <c r="V529" t="s">
        <v>79</v>
      </c>
    </row>
    <row r="530" spans="1:22" x14ac:dyDescent="0.3">
      <c r="A530" t="s">
        <v>4987</v>
      </c>
      <c r="B530" t="s">
        <v>1793</v>
      </c>
      <c r="C530" t="s">
        <v>1794</v>
      </c>
      <c r="D530" s="2">
        <v>45923</v>
      </c>
      <c r="E530" t="s">
        <v>228</v>
      </c>
      <c r="F530" t="s">
        <v>228</v>
      </c>
      <c r="G530" t="s">
        <v>118</v>
      </c>
      <c r="H530" t="s">
        <v>229</v>
      </c>
      <c r="I530" t="s">
        <v>29</v>
      </c>
      <c r="J530" t="s">
        <v>30</v>
      </c>
      <c r="K530">
        <v>9</v>
      </c>
      <c r="L530">
        <v>68</v>
      </c>
      <c r="M530">
        <v>24700</v>
      </c>
      <c r="N530">
        <v>1200</v>
      </c>
      <c r="O530">
        <v>23500</v>
      </c>
      <c r="P530">
        <v>17000</v>
      </c>
      <c r="Q530">
        <v>6500</v>
      </c>
      <c r="R530">
        <v>27.66</v>
      </c>
      <c r="S530" t="s">
        <v>126</v>
      </c>
      <c r="T530">
        <v>3900</v>
      </c>
      <c r="U530">
        <v>5</v>
      </c>
      <c r="V530" t="s">
        <v>58</v>
      </c>
    </row>
    <row r="531" spans="1:22" x14ac:dyDescent="0.3">
      <c r="A531" t="s">
        <v>5113</v>
      </c>
      <c r="B531" t="s">
        <v>2317</v>
      </c>
      <c r="C531" t="s">
        <v>2318</v>
      </c>
      <c r="D531" s="2">
        <v>45924</v>
      </c>
      <c r="E531" t="s">
        <v>134</v>
      </c>
      <c r="F531" t="s">
        <v>134</v>
      </c>
      <c r="G531" t="s">
        <v>118</v>
      </c>
      <c r="H531" t="s">
        <v>214</v>
      </c>
      <c r="I531" t="s">
        <v>69</v>
      </c>
      <c r="J531" t="s">
        <v>30</v>
      </c>
      <c r="K531">
        <v>7</v>
      </c>
      <c r="L531">
        <v>13</v>
      </c>
      <c r="M531">
        <v>19200</v>
      </c>
      <c r="N531">
        <v>1000</v>
      </c>
      <c r="O531">
        <v>18200</v>
      </c>
      <c r="P531">
        <v>14700</v>
      </c>
      <c r="Q531">
        <v>3500</v>
      </c>
      <c r="R531">
        <v>19.23</v>
      </c>
      <c r="S531" t="s">
        <v>97</v>
      </c>
      <c r="T531">
        <v>1900</v>
      </c>
      <c r="U531">
        <v>4.5999999999999996</v>
      </c>
      <c r="V531" t="s">
        <v>82</v>
      </c>
    </row>
    <row r="532" spans="1:22" x14ac:dyDescent="0.3">
      <c r="A532" t="s">
        <v>1674</v>
      </c>
      <c r="B532" t="s">
        <v>1675</v>
      </c>
      <c r="C532" t="s">
        <v>1676</v>
      </c>
      <c r="D532" s="2">
        <v>45925</v>
      </c>
      <c r="E532" t="s">
        <v>134</v>
      </c>
      <c r="F532" t="s">
        <v>134</v>
      </c>
      <c r="G532" t="s">
        <v>118</v>
      </c>
      <c r="H532" t="s">
        <v>268</v>
      </c>
      <c r="I532" t="s">
        <v>29</v>
      </c>
      <c r="J532" t="s">
        <v>30</v>
      </c>
      <c r="K532">
        <v>8</v>
      </c>
      <c r="L532">
        <v>36</v>
      </c>
      <c r="M532">
        <v>46300</v>
      </c>
      <c r="N532">
        <v>0</v>
      </c>
      <c r="O532">
        <v>46300</v>
      </c>
      <c r="P532">
        <v>20200</v>
      </c>
      <c r="Q532">
        <v>26100</v>
      </c>
      <c r="R532">
        <v>56.37</v>
      </c>
      <c r="S532" t="s">
        <v>182</v>
      </c>
      <c r="T532">
        <v>4400</v>
      </c>
      <c r="U532">
        <v>2.8</v>
      </c>
      <c r="V532" t="s">
        <v>58</v>
      </c>
    </row>
    <row r="533" spans="1:22" x14ac:dyDescent="0.3">
      <c r="A533" t="s">
        <v>2863</v>
      </c>
      <c r="B533" t="s">
        <v>2621</v>
      </c>
      <c r="C533" t="s">
        <v>2622</v>
      </c>
      <c r="D533" s="2">
        <v>45926</v>
      </c>
      <c r="E533" t="s">
        <v>26</v>
      </c>
      <c r="F533" t="s">
        <v>26</v>
      </c>
      <c r="G533" t="s">
        <v>67</v>
      </c>
      <c r="H533" t="s">
        <v>49</v>
      </c>
      <c r="I533" t="s">
        <v>29</v>
      </c>
      <c r="J533" t="s">
        <v>30</v>
      </c>
      <c r="K533">
        <v>4</v>
      </c>
      <c r="L533">
        <v>53</v>
      </c>
      <c r="M533">
        <v>87900</v>
      </c>
      <c r="N533">
        <v>0</v>
      </c>
      <c r="O533">
        <v>87900</v>
      </c>
      <c r="P533">
        <v>65800</v>
      </c>
      <c r="Q533">
        <v>22100</v>
      </c>
      <c r="R533">
        <v>25.14</v>
      </c>
      <c r="S533" t="s">
        <v>79</v>
      </c>
      <c r="T533">
        <v>9500</v>
      </c>
      <c r="U533">
        <v>4.2</v>
      </c>
      <c r="V533" t="s">
        <v>82</v>
      </c>
    </row>
    <row r="534" spans="1:22" x14ac:dyDescent="0.3">
      <c r="A534" t="s">
        <v>5110</v>
      </c>
      <c r="B534" t="s">
        <v>3825</v>
      </c>
      <c r="C534" t="s">
        <v>3826</v>
      </c>
      <c r="D534" s="2">
        <v>45928</v>
      </c>
      <c r="E534" t="s">
        <v>282</v>
      </c>
      <c r="F534" t="s">
        <v>282</v>
      </c>
      <c r="G534" t="s">
        <v>27</v>
      </c>
      <c r="H534" t="s">
        <v>214</v>
      </c>
      <c r="I534" t="s">
        <v>29</v>
      </c>
      <c r="J534" t="s">
        <v>30</v>
      </c>
      <c r="K534">
        <v>3</v>
      </c>
      <c r="L534">
        <v>53</v>
      </c>
      <c r="M534">
        <v>48300</v>
      </c>
      <c r="N534">
        <v>9700</v>
      </c>
      <c r="O534">
        <v>38600</v>
      </c>
      <c r="P534">
        <v>27900</v>
      </c>
      <c r="Q534">
        <v>10700</v>
      </c>
      <c r="R534">
        <v>27.72</v>
      </c>
      <c r="S534" t="s">
        <v>97</v>
      </c>
      <c r="T534">
        <v>6700</v>
      </c>
      <c r="U534">
        <v>4.0999999999999996</v>
      </c>
      <c r="V534" t="s">
        <v>79</v>
      </c>
    </row>
    <row r="535" spans="1:22" x14ac:dyDescent="0.3">
      <c r="A535" t="s">
        <v>3330</v>
      </c>
      <c r="B535" t="s">
        <v>1417</v>
      </c>
      <c r="C535" t="s">
        <v>1418</v>
      </c>
      <c r="D535" s="2">
        <v>45929</v>
      </c>
      <c r="E535" t="s">
        <v>66</v>
      </c>
      <c r="F535" t="s">
        <v>66</v>
      </c>
      <c r="G535" t="s">
        <v>103</v>
      </c>
      <c r="H535" t="s">
        <v>28</v>
      </c>
      <c r="I535" t="s">
        <v>69</v>
      </c>
      <c r="J535" t="s">
        <v>30</v>
      </c>
      <c r="K535">
        <v>4</v>
      </c>
      <c r="L535">
        <v>48</v>
      </c>
      <c r="M535">
        <v>52300</v>
      </c>
      <c r="N535">
        <v>0</v>
      </c>
      <c r="O535">
        <v>52300</v>
      </c>
      <c r="P535">
        <v>38500</v>
      </c>
      <c r="Q535">
        <v>13800</v>
      </c>
      <c r="R535">
        <v>26.39</v>
      </c>
      <c r="S535" t="s">
        <v>79</v>
      </c>
      <c r="T535">
        <v>8200</v>
      </c>
      <c r="U535">
        <v>4.9000000000000004</v>
      </c>
      <c r="V535" t="s">
        <v>79</v>
      </c>
    </row>
    <row r="536" spans="1:22" x14ac:dyDescent="0.3">
      <c r="A536" t="s">
        <v>3646</v>
      </c>
      <c r="B536" t="s">
        <v>1186</v>
      </c>
      <c r="C536" t="s">
        <v>1187</v>
      </c>
      <c r="D536" s="2">
        <v>45929</v>
      </c>
      <c r="E536" t="s">
        <v>134</v>
      </c>
      <c r="F536" t="s">
        <v>134</v>
      </c>
      <c r="G536" t="s">
        <v>103</v>
      </c>
      <c r="H536" t="s">
        <v>5470</v>
      </c>
      <c r="I536" t="s">
        <v>29</v>
      </c>
      <c r="J536" t="s">
        <v>30</v>
      </c>
      <c r="K536">
        <v>2</v>
      </c>
      <c r="L536">
        <v>38</v>
      </c>
      <c r="M536">
        <v>25900</v>
      </c>
      <c r="N536">
        <v>2600</v>
      </c>
      <c r="O536">
        <v>23300</v>
      </c>
      <c r="P536">
        <v>11000</v>
      </c>
      <c r="Q536">
        <v>12300</v>
      </c>
      <c r="R536">
        <v>52.79</v>
      </c>
      <c r="S536" t="s">
        <v>97</v>
      </c>
      <c r="T536">
        <v>4000</v>
      </c>
      <c r="U536">
        <v>4.9000000000000004</v>
      </c>
      <c r="V536" t="s">
        <v>58</v>
      </c>
    </row>
    <row r="537" spans="1:22" x14ac:dyDescent="0.3">
      <c r="A537" t="s">
        <v>4052</v>
      </c>
      <c r="B537" t="s">
        <v>956</v>
      </c>
      <c r="C537" t="s">
        <v>957</v>
      </c>
      <c r="D537" s="2">
        <v>45929</v>
      </c>
      <c r="E537" t="s">
        <v>282</v>
      </c>
      <c r="F537" t="s">
        <v>282</v>
      </c>
      <c r="G537" t="s">
        <v>67</v>
      </c>
      <c r="H537" t="s">
        <v>5470</v>
      </c>
      <c r="I537" t="s">
        <v>29</v>
      </c>
      <c r="J537" t="s">
        <v>30</v>
      </c>
      <c r="K537">
        <v>3</v>
      </c>
      <c r="L537">
        <v>36</v>
      </c>
      <c r="M537">
        <v>43000</v>
      </c>
      <c r="N537">
        <v>0</v>
      </c>
      <c r="O537">
        <v>43000</v>
      </c>
      <c r="P537">
        <v>22700</v>
      </c>
      <c r="Q537">
        <v>20300</v>
      </c>
      <c r="R537">
        <v>47.21</v>
      </c>
      <c r="S537" t="s">
        <v>126</v>
      </c>
      <c r="T537">
        <v>1700</v>
      </c>
      <c r="U537">
        <v>3.8</v>
      </c>
      <c r="V537" t="s">
        <v>114</v>
      </c>
    </row>
    <row r="538" spans="1:22" x14ac:dyDescent="0.3">
      <c r="A538" t="s">
        <v>3790</v>
      </c>
      <c r="B538" t="s">
        <v>1153</v>
      </c>
      <c r="C538" t="s">
        <v>1154</v>
      </c>
      <c r="D538" s="2">
        <v>45929</v>
      </c>
      <c r="E538" t="s">
        <v>282</v>
      </c>
      <c r="F538" t="s">
        <v>282</v>
      </c>
      <c r="G538" t="s">
        <v>103</v>
      </c>
      <c r="H538" t="s">
        <v>68</v>
      </c>
      <c r="I538" t="s">
        <v>69</v>
      </c>
      <c r="J538" t="s">
        <v>257</v>
      </c>
      <c r="K538">
        <v>7</v>
      </c>
      <c r="L538">
        <v>24</v>
      </c>
      <c r="M538">
        <v>144600</v>
      </c>
      <c r="N538">
        <v>7200</v>
      </c>
      <c r="O538">
        <v>137400</v>
      </c>
      <c r="P538">
        <v>88600</v>
      </c>
      <c r="Q538">
        <v>48800</v>
      </c>
      <c r="R538">
        <v>35.520000000000003</v>
      </c>
      <c r="S538" t="s">
        <v>39</v>
      </c>
      <c r="T538">
        <v>10900</v>
      </c>
      <c r="U538">
        <v>4.4000000000000004</v>
      </c>
      <c r="V538" t="s">
        <v>58</v>
      </c>
    </row>
    <row r="539" spans="1:22" x14ac:dyDescent="0.3">
      <c r="A539" t="s">
        <v>4344</v>
      </c>
      <c r="B539" t="s">
        <v>2047</v>
      </c>
      <c r="C539" t="s">
        <v>2048</v>
      </c>
      <c r="D539" s="2">
        <v>45930</v>
      </c>
      <c r="E539" t="s">
        <v>282</v>
      </c>
      <c r="F539" t="s">
        <v>282</v>
      </c>
      <c r="G539" t="s">
        <v>580</v>
      </c>
      <c r="H539" t="s">
        <v>68</v>
      </c>
      <c r="I539" t="s">
        <v>69</v>
      </c>
      <c r="J539" t="s">
        <v>30</v>
      </c>
      <c r="K539">
        <v>3</v>
      </c>
      <c r="L539">
        <v>32</v>
      </c>
      <c r="M539">
        <v>32800</v>
      </c>
      <c r="N539">
        <v>1600</v>
      </c>
      <c r="O539">
        <v>31200</v>
      </c>
      <c r="P539">
        <v>20200</v>
      </c>
      <c r="Q539">
        <v>11000</v>
      </c>
      <c r="R539">
        <v>35.26</v>
      </c>
      <c r="S539" t="s">
        <v>126</v>
      </c>
      <c r="T539">
        <v>3100</v>
      </c>
      <c r="U539">
        <v>4.5999999999999996</v>
      </c>
      <c r="V539" t="s">
        <v>79</v>
      </c>
    </row>
    <row r="540" spans="1:22" x14ac:dyDescent="0.3">
      <c r="A540" t="s">
        <v>3722</v>
      </c>
      <c r="B540" t="s">
        <v>1417</v>
      </c>
      <c r="C540" t="s">
        <v>1418</v>
      </c>
      <c r="D540" s="2">
        <v>45930</v>
      </c>
      <c r="E540" t="s">
        <v>134</v>
      </c>
      <c r="F540" t="s">
        <v>134</v>
      </c>
      <c r="G540" t="s">
        <v>213</v>
      </c>
      <c r="H540" t="s">
        <v>28</v>
      </c>
      <c r="I540" t="s">
        <v>69</v>
      </c>
      <c r="J540" t="s">
        <v>70</v>
      </c>
      <c r="K540">
        <v>6</v>
      </c>
      <c r="L540">
        <v>35</v>
      </c>
      <c r="M540">
        <v>32400</v>
      </c>
      <c r="N540">
        <v>0</v>
      </c>
      <c r="O540">
        <v>32400</v>
      </c>
      <c r="P540">
        <v>22300</v>
      </c>
      <c r="Q540">
        <v>10100</v>
      </c>
      <c r="R540">
        <v>31.17</v>
      </c>
      <c r="S540" t="s">
        <v>79</v>
      </c>
      <c r="T540">
        <v>3900</v>
      </c>
      <c r="U540">
        <v>5</v>
      </c>
      <c r="V540" t="s">
        <v>58</v>
      </c>
    </row>
    <row r="541" spans="1:22" x14ac:dyDescent="0.3">
      <c r="A541" t="s">
        <v>2014</v>
      </c>
      <c r="B541" t="s">
        <v>1697</v>
      </c>
      <c r="C541" t="s">
        <v>1698</v>
      </c>
      <c r="D541" s="2">
        <v>45931</v>
      </c>
      <c r="E541" t="s">
        <v>66</v>
      </c>
      <c r="F541" t="s">
        <v>66</v>
      </c>
      <c r="G541" t="s">
        <v>27</v>
      </c>
      <c r="H541" t="s">
        <v>68</v>
      </c>
      <c r="I541" t="s">
        <v>69</v>
      </c>
      <c r="J541" t="s">
        <v>257</v>
      </c>
      <c r="K541">
        <v>10</v>
      </c>
      <c r="L541">
        <v>22</v>
      </c>
      <c r="M541">
        <v>31500</v>
      </c>
      <c r="N541">
        <v>0</v>
      </c>
      <c r="O541">
        <v>31500</v>
      </c>
      <c r="P541">
        <v>24300</v>
      </c>
      <c r="Q541">
        <v>7200</v>
      </c>
      <c r="R541">
        <v>22.86</v>
      </c>
      <c r="S541" t="s">
        <v>58</v>
      </c>
      <c r="T541">
        <v>2200</v>
      </c>
      <c r="U541">
        <v>5</v>
      </c>
      <c r="V541" t="s">
        <v>42</v>
      </c>
    </row>
    <row r="542" spans="1:22" x14ac:dyDescent="0.3">
      <c r="A542" t="s">
        <v>129</v>
      </c>
      <c r="B542" t="s">
        <v>130</v>
      </c>
      <c r="C542" t="s">
        <v>131</v>
      </c>
      <c r="D542" s="2">
        <v>45931</v>
      </c>
      <c r="E542" t="s">
        <v>134</v>
      </c>
      <c r="F542" t="s">
        <v>134</v>
      </c>
      <c r="G542" t="s">
        <v>103</v>
      </c>
      <c r="H542" t="s">
        <v>68</v>
      </c>
      <c r="I542" t="s">
        <v>69</v>
      </c>
      <c r="J542" t="s">
        <v>30</v>
      </c>
      <c r="K542">
        <v>3</v>
      </c>
      <c r="L542">
        <v>52</v>
      </c>
      <c r="M542">
        <v>22700</v>
      </c>
      <c r="N542">
        <v>4500</v>
      </c>
      <c r="O542">
        <v>18200</v>
      </c>
      <c r="P542">
        <v>12400</v>
      </c>
      <c r="Q542">
        <v>5800</v>
      </c>
      <c r="R542">
        <v>31.87</v>
      </c>
      <c r="S542" t="s">
        <v>58</v>
      </c>
      <c r="T542">
        <v>1300</v>
      </c>
      <c r="U542">
        <v>3.8</v>
      </c>
      <c r="V542" t="s">
        <v>79</v>
      </c>
    </row>
    <row r="543" spans="1:22" x14ac:dyDescent="0.3">
      <c r="A543" t="s">
        <v>4973</v>
      </c>
      <c r="B543" t="s">
        <v>3078</v>
      </c>
      <c r="C543" t="s">
        <v>3079</v>
      </c>
      <c r="D543" s="2">
        <v>45931</v>
      </c>
      <c r="E543" t="s">
        <v>228</v>
      </c>
      <c r="F543" t="s">
        <v>228</v>
      </c>
      <c r="G543" t="s">
        <v>67</v>
      </c>
      <c r="H543" t="s">
        <v>49</v>
      </c>
      <c r="I543" t="s">
        <v>69</v>
      </c>
      <c r="J543" t="s">
        <v>30</v>
      </c>
      <c r="K543">
        <v>3</v>
      </c>
      <c r="L543">
        <v>31</v>
      </c>
      <c r="M543">
        <v>37100</v>
      </c>
      <c r="N543">
        <v>5600</v>
      </c>
      <c r="O543">
        <v>31500</v>
      </c>
      <c r="P543">
        <v>26900</v>
      </c>
      <c r="Q543">
        <v>4600</v>
      </c>
      <c r="R543">
        <v>14.6</v>
      </c>
      <c r="S543" t="s">
        <v>97</v>
      </c>
      <c r="T543">
        <v>5200</v>
      </c>
      <c r="U543">
        <v>3.9</v>
      </c>
      <c r="V543" t="s">
        <v>58</v>
      </c>
    </row>
    <row r="544" spans="1:22" x14ac:dyDescent="0.3">
      <c r="A544" t="s">
        <v>2311</v>
      </c>
      <c r="B544" t="s">
        <v>2312</v>
      </c>
      <c r="C544" t="s">
        <v>2313</v>
      </c>
      <c r="D544" s="2">
        <v>45933</v>
      </c>
      <c r="E544" t="s">
        <v>66</v>
      </c>
      <c r="F544" t="s">
        <v>66</v>
      </c>
      <c r="G544" t="s">
        <v>27</v>
      </c>
      <c r="H544" t="s">
        <v>5470</v>
      </c>
      <c r="I544" t="s">
        <v>29</v>
      </c>
      <c r="J544" t="s">
        <v>30</v>
      </c>
      <c r="K544">
        <v>2</v>
      </c>
      <c r="L544">
        <v>25</v>
      </c>
      <c r="M544">
        <v>53600</v>
      </c>
      <c r="N544">
        <v>5400</v>
      </c>
      <c r="O544">
        <v>48200</v>
      </c>
      <c r="P544">
        <v>30700</v>
      </c>
      <c r="Q544">
        <v>17500</v>
      </c>
      <c r="R544">
        <v>36.31</v>
      </c>
      <c r="S544" t="s">
        <v>97</v>
      </c>
      <c r="T544">
        <v>4400</v>
      </c>
      <c r="U544">
        <v>4</v>
      </c>
      <c r="V544" t="s">
        <v>82</v>
      </c>
    </row>
    <row r="545" spans="1:22" x14ac:dyDescent="0.3">
      <c r="A545" t="s">
        <v>5317</v>
      </c>
      <c r="B545" t="s">
        <v>706</v>
      </c>
      <c r="C545" t="s">
        <v>707</v>
      </c>
      <c r="D545" s="2">
        <v>45933</v>
      </c>
      <c r="E545" t="s">
        <v>134</v>
      </c>
      <c r="F545" t="s">
        <v>134</v>
      </c>
      <c r="G545" t="s">
        <v>580</v>
      </c>
      <c r="H545" t="s">
        <v>28</v>
      </c>
      <c r="I545" t="s">
        <v>69</v>
      </c>
      <c r="J545" t="s">
        <v>30</v>
      </c>
      <c r="K545">
        <v>2</v>
      </c>
      <c r="L545">
        <v>24</v>
      </c>
      <c r="M545">
        <v>66000</v>
      </c>
      <c r="N545">
        <v>3300</v>
      </c>
      <c r="O545">
        <v>62700</v>
      </c>
      <c r="P545">
        <v>29200</v>
      </c>
      <c r="Q545">
        <v>33500</v>
      </c>
      <c r="R545">
        <v>53.43</v>
      </c>
      <c r="S545" t="s">
        <v>39</v>
      </c>
      <c r="T545">
        <v>3900</v>
      </c>
      <c r="U545">
        <v>3.1</v>
      </c>
      <c r="V545" t="s">
        <v>114</v>
      </c>
    </row>
    <row r="546" spans="1:22" x14ac:dyDescent="0.3">
      <c r="A546" t="s">
        <v>4386</v>
      </c>
      <c r="B546" t="s">
        <v>1662</v>
      </c>
      <c r="C546" t="s">
        <v>1663</v>
      </c>
      <c r="D546" s="2">
        <v>45934</v>
      </c>
      <c r="E546" t="s">
        <v>66</v>
      </c>
      <c r="F546" t="s">
        <v>66</v>
      </c>
      <c r="G546" t="s">
        <v>103</v>
      </c>
      <c r="H546" t="s">
        <v>5470</v>
      </c>
      <c r="I546" t="s">
        <v>29</v>
      </c>
      <c r="J546" t="s">
        <v>70</v>
      </c>
      <c r="K546">
        <v>2</v>
      </c>
      <c r="L546">
        <v>34</v>
      </c>
      <c r="M546">
        <v>55300</v>
      </c>
      <c r="N546">
        <v>0</v>
      </c>
      <c r="O546">
        <v>55300</v>
      </c>
      <c r="P546">
        <v>42500</v>
      </c>
      <c r="Q546">
        <v>12800</v>
      </c>
      <c r="R546">
        <v>23.15</v>
      </c>
      <c r="S546" t="s">
        <v>39</v>
      </c>
      <c r="T546">
        <v>6900</v>
      </c>
      <c r="U546">
        <v>4.2</v>
      </c>
      <c r="V546" t="s">
        <v>82</v>
      </c>
    </row>
    <row r="547" spans="1:22" x14ac:dyDescent="0.3">
      <c r="A547" t="s">
        <v>4304</v>
      </c>
      <c r="B547" t="s">
        <v>2585</v>
      </c>
      <c r="C547" t="s">
        <v>2586</v>
      </c>
      <c r="D547" s="2">
        <v>45935</v>
      </c>
      <c r="E547" t="s">
        <v>66</v>
      </c>
      <c r="F547" t="s">
        <v>66</v>
      </c>
      <c r="G547" t="s">
        <v>118</v>
      </c>
      <c r="H547" t="s">
        <v>28</v>
      </c>
      <c r="I547" t="s">
        <v>69</v>
      </c>
      <c r="J547" t="s">
        <v>162</v>
      </c>
      <c r="K547">
        <v>3</v>
      </c>
      <c r="L547">
        <v>47</v>
      </c>
      <c r="M547">
        <v>26800</v>
      </c>
      <c r="N547">
        <v>5400</v>
      </c>
      <c r="O547">
        <v>21400</v>
      </c>
      <c r="P547">
        <v>18200</v>
      </c>
      <c r="Q547">
        <v>3200</v>
      </c>
      <c r="R547">
        <v>14.95</v>
      </c>
      <c r="S547" t="s">
        <v>79</v>
      </c>
      <c r="T547">
        <v>2400</v>
      </c>
      <c r="U547">
        <v>3.9</v>
      </c>
      <c r="V547" t="s">
        <v>82</v>
      </c>
    </row>
    <row r="548" spans="1:22" x14ac:dyDescent="0.3">
      <c r="A548" t="s">
        <v>4458</v>
      </c>
      <c r="B548" t="s">
        <v>1205</v>
      </c>
      <c r="C548" t="s">
        <v>1206</v>
      </c>
      <c r="D548" s="2">
        <v>45936</v>
      </c>
      <c r="E548" t="s">
        <v>161</v>
      </c>
      <c r="F548" t="s">
        <v>161</v>
      </c>
      <c r="G548" t="s">
        <v>103</v>
      </c>
      <c r="H548" t="s">
        <v>28</v>
      </c>
      <c r="I548" t="s">
        <v>29</v>
      </c>
      <c r="J548" t="s">
        <v>30</v>
      </c>
      <c r="K548">
        <v>3</v>
      </c>
      <c r="L548">
        <v>5</v>
      </c>
      <c r="M548">
        <v>45200</v>
      </c>
      <c r="N548">
        <v>0</v>
      </c>
      <c r="O548">
        <v>45200</v>
      </c>
      <c r="P548">
        <v>32200</v>
      </c>
      <c r="Q548">
        <v>13000</v>
      </c>
      <c r="R548">
        <v>28.76</v>
      </c>
      <c r="S548" t="s">
        <v>182</v>
      </c>
      <c r="T548">
        <v>6700</v>
      </c>
      <c r="U548">
        <v>2.8</v>
      </c>
      <c r="V548" t="s">
        <v>42</v>
      </c>
    </row>
    <row r="549" spans="1:22" x14ac:dyDescent="0.3">
      <c r="A549" t="s">
        <v>4300</v>
      </c>
      <c r="B549" t="s">
        <v>3345</v>
      </c>
      <c r="C549" t="s">
        <v>3346</v>
      </c>
      <c r="D549" s="2">
        <v>45937</v>
      </c>
      <c r="E549" t="s">
        <v>188</v>
      </c>
      <c r="F549" t="s">
        <v>188</v>
      </c>
      <c r="G549" t="s">
        <v>67</v>
      </c>
      <c r="H549" t="s">
        <v>88</v>
      </c>
      <c r="I549" t="s">
        <v>69</v>
      </c>
      <c r="J549" t="s">
        <v>162</v>
      </c>
      <c r="K549">
        <v>4</v>
      </c>
      <c r="L549">
        <v>52</v>
      </c>
      <c r="M549">
        <v>31200</v>
      </c>
      <c r="N549">
        <v>0</v>
      </c>
      <c r="O549">
        <v>31200</v>
      </c>
      <c r="P549">
        <v>21000</v>
      </c>
      <c r="Q549">
        <v>10200</v>
      </c>
      <c r="R549">
        <v>32.69</v>
      </c>
      <c r="S549" t="s">
        <v>39</v>
      </c>
      <c r="T549">
        <v>4900</v>
      </c>
      <c r="U549">
        <v>3.3</v>
      </c>
      <c r="V549" t="s">
        <v>79</v>
      </c>
    </row>
    <row r="550" spans="1:22" x14ac:dyDescent="0.3">
      <c r="A550" t="s">
        <v>4634</v>
      </c>
      <c r="B550" t="s">
        <v>4635</v>
      </c>
      <c r="C550" t="s">
        <v>4636</v>
      </c>
      <c r="D550" s="2">
        <v>45937</v>
      </c>
      <c r="E550" t="s">
        <v>244</v>
      </c>
      <c r="F550" t="s">
        <v>244</v>
      </c>
      <c r="G550" t="s">
        <v>48</v>
      </c>
      <c r="H550" t="s">
        <v>49</v>
      </c>
      <c r="I550" t="s">
        <v>69</v>
      </c>
      <c r="J550" t="s">
        <v>30</v>
      </c>
      <c r="K550">
        <v>7</v>
      </c>
      <c r="L550">
        <v>26</v>
      </c>
      <c r="M550">
        <v>80400</v>
      </c>
      <c r="N550">
        <v>16100</v>
      </c>
      <c r="O550">
        <v>64300</v>
      </c>
      <c r="P550">
        <v>60000</v>
      </c>
      <c r="Q550">
        <v>4300</v>
      </c>
      <c r="R550">
        <v>6.69</v>
      </c>
      <c r="S550" t="s">
        <v>126</v>
      </c>
      <c r="T550">
        <v>2600</v>
      </c>
      <c r="U550">
        <v>3.8</v>
      </c>
      <c r="V550" t="s">
        <v>114</v>
      </c>
    </row>
    <row r="551" spans="1:22" x14ac:dyDescent="0.3">
      <c r="A551" t="s">
        <v>1194</v>
      </c>
      <c r="B551" t="s">
        <v>1195</v>
      </c>
      <c r="C551" t="s">
        <v>1196</v>
      </c>
      <c r="D551" s="2">
        <v>45937</v>
      </c>
      <c r="E551" t="s">
        <v>244</v>
      </c>
      <c r="F551" t="s">
        <v>244</v>
      </c>
      <c r="G551" t="s">
        <v>147</v>
      </c>
      <c r="H551" t="s">
        <v>68</v>
      </c>
      <c r="I551" t="s">
        <v>29</v>
      </c>
      <c r="J551" t="s">
        <v>162</v>
      </c>
      <c r="K551">
        <v>6</v>
      </c>
      <c r="L551">
        <v>5</v>
      </c>
      <c r="M551">
        <v>43100</v>
      </c>
      <c r="N551">
        <v>0</v>
      </c>
      <c r="O551">
        <v>43100</v>
      </c>
      <c r="P551">
        <v>33900</v>
      </c>
      <c r="Q551">
        <v>9200</v>
      </c>
      <c r="R551">
        <v>21.35</v>
      </c>
      <c r="S551" t="s">
        <v>79</v>
      </c>
      <c r="T551">
        <v>6400</v>
      </c>
      <c r="U551">
        <v>3.5</v>
      </c>
      <c r="V551" t="s">
        <v>58</v>
      </c>
    </row>
    <row r="552" spans="1:22" x14ac:dyDescent="0.3">
      <c r="A552" t="s">
        <v>3524</v>
      </c>
      <c r="B552" t="s">
        <v>144</v>
      </c>
      <c r="C552" t="s">
        <v>145</v>
      </c>
      <c r="D552" s="2">
        <v>45937</v>
      </c>
      <c r="E552" t="s">
        <v>161</v>
      </c>
      <c r="F552" t="s">
        <v>161</v>
      </c>
      <c r="G552" t="s">
        <v>213</v>
      </c>
      <c r="H552" t="s">
        <v>49</v>
      </c>
      <c r="I552" t="s">
        <v>69</v>
      </c>
      <c r="J552" t="s">
        <v>30</v>
      </c>
      <c r="K552">
        <v>8</v>
      </c>
      <c r="L552">
        <v>37</v>
      </c>
      <c r="M552">
        <v>63100</v>
      </c>
      <c r="N552">
        <v>3200</v>
      </c>
      <c r="O552">
        <v>59900</v>
      </c>
      <c r="P552">
        <v>30900</v>
      </c>
      <c r="Q552">
        <v>29000</v>
      </c>
      <c r="R552">
        <v>48.41</v>
      </c>
      <c r="S552" t="s">
        <v>79</v>
      </c>
      <c r="T552">
        <v>2900</v>
      </c>
      <c r="U552">
        <v>4.2</v>
      </c>
      <c r="V552" t="s">
        <v>79</v>
      </c>
    </row>
    <row r="553" spans="1:22" x14ac:dyDescent="0.3">
      <c r="A553" t="s">
        <v>5160</v>
      </c>
      <c r="B553" t="s">
        <v>1333</v>
      </c>
      <c r="C553" t="s">
        <v>1334</v>
      </c>
      <c r="D553" s="2">
        <v>45938</v>
      </c>
      <c r="E553" t="s">
        <v>282</v>
      </c>
      <c r="F553" t="s">
        <v>282</v>
      </c>
      <c r="G553" t="s">
        <v>103</v>
      </c>
      <c r="H553" t="s">
        <v>268</v>
      </c>
      <c r="I553" t="s">
        <v>69</v>
      </c>
      <c r="J553" t="s">
        <v>70</v>
      </c>
      <c r="K553">
        <v>2</v>
      </c>
      <c r="L553">
        <v>39</v>
      </c>
      <c r="M553">
        <v>43500</v>
      </c>
      <c r="N553">
        <v>8700</v>
      </c>
      <c r="O553">
        <v>34800</v>
      </c>
      <c r="P553">
        <v>18900</v>
      </c>
      <c r="Q553">
        <v>15900</v>
      </c>
      <c r="R553">
        <v>45.69</v>
      </c>
      <c r="S553" t="s">
        <v>126</v>
      </c>
      <c r="T553">
        <v>2000</v>
      </c>
      <c r="U553">
        <v>4.9000000000000004</v>
      </c>
      <c r="V553" t="s">
        <v>82</v>
      </c>
    </row>
    <row r="554" spans="1:22" x14ac:dyDescent="0.3">
      <c r="A554" t="s">
        <v>4579</v>
      </c>
      <c r="B554" t="s">
        <v>157</v>
      </c>
      <c r="C554" t="s">
        <v>158</v>
      </c>
      <c r="D554" s="2">
        <v>45938</v>
      </c>
      <c r="E554" t="s">
        <v>228</v>
      </c>
      <c r="F554" t="s">
        <v>228</v>
      </c>
      <c r="G554" t="s">
        <v>118</v>
      </c>
      <c r="H554" t="s">
        <v>268</v>
      </c>
      <c r="I554" t="s">
        <v>29</v>
      </c>
      <c r="J554" t="s">
        <v>30</v>
      </c>
      <c r="K554">
        <v>9</v>
      </c>
      <c r="L554">
        <v>5</v>
      </c>
      <c r="M554">
        <v>53900</v>
      </c>
      <c r="N554">
        <v>5400</v>
      </c>
      <c r="O554">
        <v>48500</v>
      </c>
      <c r="P554">
        <v>43500</v>
      </c>
      <c r="Q554">
        <v>5000</v>
      </c>
      <c r="R554">
        <v>10.31</v>
      </c>
      <c r="S554" t="s">
        <v>58</v>
      </c>
      <c r="T554">
        <v>6800</v>
      </c>
      <c r="U554">
        <v>5</v>
      </c>
      <c r="V554" t="s">
        <v>79</v>
      </c>
    </row>
    <row r="555" spans="1:22" x14ac:dyDescent="0.3">
      <c r="A555" t="s">
        <v>22</v>
      </c>
      <c r="B555" t="s">
        <v>23</v>
      </c>
      <c r="C555" t="s">
        <v>24</v>
      </c>
      <c r="D555" s="2">
        <v>45939</v>
      </c>
      <c r="E555" t="s">
        <v>26</v>
      </c>
      <c r="F555" t="s">
        <v>26</v>
      </c>
      <c r="G555" t="s">
        <v>27</v>
      </c>
      <c r="H555" t="s">
        <v>28</v>
      </c>
      <c r="I555" t="s">
        <v>29</v>
      </c>
      <c r="J555" t="s">
        <v>30</v>
      </c>
      <c r="K555">
        <v>5</v>
      </c>
      <c r="L555">
        <v>46</v>
      </c>
      <c r="M555">
        <v>41100</v>
      </c>
      <c r="N555">
        <v>6200</v>
      </c>
      <c r="O555">
        <v>34900</v>
      </c>
      <c r="P555">
        <v>29300</v>
      </c>
      <c r="Q555">
        <v>5600</v>
      </c>
      <c r="R555">
        <v>16.05</v>
      </c>
      <c r="S555" t="s">
        <v>39</v>
      </c>
      <c r="T555">
        <v>4300</v>
      </c>
      <c r="U555">
        <v>3.5</v>
      </c>
      <c r="V555" t="s">
        <v>42</v>
      </c>
    </row>
    <row r="556" spans="1:22" x14ac:dyDescent="0.3">
      <c r="A556" t="s">
        <v>4961</v>
      </c>
      <c r="B556" t="s">
        <v>3351</v>
      </c>
      <c r="C556" t="s">
        <v>3352</v>
      </c>
      <c r="D556" s="2">
        <v>45939</v>
      </c>
      <c r="E556" t="s">
        <v>244</v>
      </c>
      <c r="F556" t="s">
        <v>244</v>
      </c>
      <c r="G556" t="s">
        <v>67</v>
      </c>
      <c r="H556" t="s">
        <v>88</v>
      </c>
      <c r="I556" t="s">
        <v>69</v>
      </c>
      <c r="J556" t="s">
        <v>30</v>
      </c>
      <c r="K556">
        <v>9</v>
      </c>
      <c r="L556">
        <v>52</v>
      </c>
      <c r="M556">
        <v>27100</v>
      </c>
      <c r="N556">
        <v>0</v>
      </c>
      <c r="O556">
        <v>27100</v>
      </c>
      <c r="P556">
        <v>11800</v>
      </c>
      <c r="Q556">
        <v>15300</v>
      </c>
      <c r="R556">
        <v>56.46</v>
      </c>
      <c r="S556" t="s">
        <v>182</v>
      </c>
      <c r="T556">
        <v>4400</v>
      </c>
      <c r="U556">
        <v>3.7</v>
      </c>
      <c r="V556" t="s">
        <v>42</v>
      </c>
    </row>
    <row r="557" spans="1:22" x14ac:dyDescent="0.3">
      <c r="A557" t="s">
        <v>2802</v>
      </c>
      <c r="B557" t="s">
        <v>2803</v>
      </c>
      <c r="C557" t="s">
        <v>2804</v>
      </c>
      <c r="D557" s="2">
        <v>45939</v>
      </c>
      <c r="E557" t="s">
        <v>282</v>
      </c>
      <c r="F557" t="s">
        <v>282</v>
      </c>
      <c r="G557" t="s">
        <v>67</v>
      </c>
      <c r="H557" t="s">
        <v>28</v>
      </c>
      <c r="I557" t="s">
        <v>69</v>
      </c>
      <c r="J557" t="s">
        <v>30</v>
      </c>
      <c r="K557">
        <v>9</v>
      </c>
      <c r="L557">
        <v>21</v>
      </c>
      <c r="M557">
        <v>66500</v>
      </c>
      <c r="N557">
        <v>10000</v>
      </c>
      <c r="O557">
        <v>56500</v>
      </c>
      <c r="P557">
        <v>30900</v>
      </c>
      <c r="Q557">
        <v>25600</v>
      </c>
      <c r="R557">
        <v>45.31</v>
      </c>
      <c r="S557" t="s">
        <v>79</v>
      </c>
      <c r="T557">
        <v>2800</v>
      </c>
      <c r="U557">
        <v>4</v>
      </c>
      <c r="V557" t="s">
        <v>58</v>
      </c>
    </row>
    <row r="558" spans="1:22" x14ac:dyDescent="0.3">
      <c r="A558" t="s">
        <v>5321</v>
      </c>
      <c r="B558" t="s">
        <v>2135</v>
      </c>
      <c r="C558" t="s">
        <v>2136</v>
      </c>
      <c r="D558" s="2">
        <v>45940</v>
      </c>
      <c r="E558" t="s">
        <v>26</v>
      </c>
      <c r="F558" t="s">
        <v>26</v>
      </c>
      <c r="G558" t="s">
        <v>580</v>
      </c>
      <c r="H558" t="s">
        <v>28</v>
      </c>
      <c r="I558" t="s">
        <v>69</v>
      </c>
      <c r="J558" t="s">
        <v>162</v>
      </c>
      <c r="K558">
        <v>6</v>
      </c>
      <c r="L558">
        <v>36</v>
      </c>
      <c r="M558">
        <v>125600</v>
      </c>
      <c r="N558">
        <v>12600</v>
      </c>
      <c r="O558">
        <v>113000</v>
      </c>
      <c r="P558">
        <v>98700</v>
      </c>
      <c r="Q558">
        <v>14300</v>
      </c>
      <c r="R558">
        <v>12.65</v>
      </c>
      <c r="S558" t="s">
        <v>97</v>
      </c>
      <c r="T558">
        <v>7500</v>
      </c>
      <c r="U558">
        <v>4.3</v>
      </c>
      <c r="V558" t="s">
        <v>114</v>
      </c>
    </row>
    <row r="559" spans="1:22" x14ac:dyDescent="0.3">
      <c r="A559" t="s">
        <v>614</v>
      </c>
      <c r="B559" t="s">
        <v>615</v>
      </c>
      <c r="C559" t="s">
        <v>616</v>
      </c>
      <c r="D559" s="2">
        <v>45941</v>
      </c>
      <c r="E559" t="s">
        <v>134</v>
      </c>
      <c r="F559" t="s">
        <v>134</v>
      </c>
      <c r="G559" t="s">
        <v>67</v>
      </c>
      <c r="H559" t="s">
        <v>214</v>
      </c>
      <c r="I559" t="s">
        <v>69</v>
      </c>
      <c r="J559" t="s">
        <v>30</v>
      </c>
      <c r="K559">
        <v>10</v>
      </c>
      <c r="L559">
        <v>33</v>
      </c>
      <c r="M559">
        <v>38000</v>
      </c>
      <c r="N559">
        <v>5700</v>
      </c>
      <c r="O559">
        <v>32300</v>
      </c>
      <c r="P559">
        <v>30800</v>
      </c>
      <c r="Q559">
        <v>1500</v>
      </c>
      <c r="R559">
        <v>4.6399999999999997</v>
      </c>
      <c r="S559" t="s">
        <v>39</v>
      </c>
      <c r="T559">
        <v>3400</v>
      </c>
      <c r="U559">
        <v>3.7</v>
      </c>
      <c r="V559" t="s">
        <v>82</v>
      </c>
    </row>
    <row r="560" spans="1:22" x14ac:dyDescent="0.3">
      <c r="A560" t="s">
        <v>2026</v>
      </c>
      <c r="B560" t="s">
        <v>302</v>
      </c>
      <c r="C560" t="s">
        <v>303</v>
      </c>
      <c r="D560" s="2">
        <v>45942</v>
      </c>
      <c r="E560" t="s">
        <v>161</v>
      </c>
      <c r="F560" t="s">
        <v>161</v>
      </c>
      <c r="G560" t="s">
        <v>118</v>
      </c>
      <c r="H560" t="s">
        <v>88</v>
      </c>
      <c r="I560" t="s">
        <v>69</v>
      </c>
      <c r="J560" t="s">
        <v>30</v>
      </c>
      <c r="K560">
        <v>7</v>
      </c>
      <c r="L560">
        <v>18</v>
      </c>
      <c r="M560">
        <v>34600</v>
      </c>
      <c r="N560">
        <v>5200</v>
      </c>
      <c r="O560">
        <v>29400</v>
      </c>
      <c r="P560">
        <v>26700</v>
      </c>
      <c r="Q560">
        <v>2700</v>
      </c>
      <c r="R560">
        <v>9.18</v>
      </c>
      <c r="S560" t="s">
        <v>97</v>
      </c>
      <c r="T560">
        <v>1700</v>
      </c>
      <c r="U560">
        <v>3.6</v>
      </c>
      <c r="V560" t="s">
        <v>42</v>
      </c>
    </row>
    <row r="561" spans="1:22" x14ac:dyDescent="0.3">
      <c r="A561" t="s">
        <v>3286</v>
      </c>
      <c r="B561" t="s">
        <v>2010</v>
      </c>
      <c r="C561" t="s">
        <v>2011</v>
      </c>
      <c r="D561" s="2">
        <v>45942</v>
      </c>
      <c r="E561" t="s">
        <v>26</v>
      </c>
      <c r="F561" t="s">
        <v>26</v>
      </c>
      <c r="G561" t="s">
        <v>67</v>
      </c>
      <c r="H561" t="s">
        <v>268</v>
      </c>
      <c r="I561" t="s">
        <v>69</v>
      </c>
      <c r="J561" t="s">
        <v>30</v>
      </c>
      <c r="K561">
        <v>6</v>
      </c>
      <c r="L561">
        <v>5</v>
      </c>
      <c r="M561">
        <v>87800</v>
      </c>
      <c r="N561">
        <v>4400</v>
      </c>
      <c r="O561">
        <v>83400</v>
      </c>
      <c r="P561">
        <v>54700</v>
      </c>
      <c r="Q561">
        <v>28700</v>
      </c>
      <c r="R561">
        <v>34.409999999999997</v>
      </c>
      <c r="S561" t="s">
        <v>39</v>
      </c>
      <c r="T561">
        <v>14800</v>
      </c>
      <c r="U561">
        <v>3.6</v>
      </c>
      <c r="V561" t="s">
        <v>42</v>
      </c>
    </row>
    <row r="562" spans="1:22" x14ac:dyDescent="0.3">
      <c r="A562" t="s">
        <v>5137</v>
      </c>
      <c r="B562" t="s">
        <v>2585</v>
      </c>
      <c r="C562" t="s">
        <v>2586</v>
      </c>
      <c r="D562" s="2">
        <v>45942</v>
      </c>
      <c r="E562" t="s">
        <v>66</v>
      </c>
      <c r="F562" t="s">
        <v>66</v>
      </c>
      <c r="G562" t="s">
        <v>27</v>
      </c>
      <c r="H562" t="s">
        <v>68</v>
      </c>
      <c r="I562" t="s">
        <v>69</v>
      </c>
      <c r="J562" t="s">
        <v>70</v>
      </c>
      <c r="K562">
        <v>3</v>
      </c>
      <c r="L562">
        <v>30</v>
      </c>
      <c r="M562">
        <v>44900</v>
      </c>
      <c r="N562">
        <v>0</v>
      </c>
      <c r="O562">
        <v>44900</v>
      </c>
      <c r="P562">
        <v>33100</v>
      </c>
      <c r="Q562">
        <v>11800</v>
      </c>
      <c r="R562">
        <v>26.28</v>
      </c>
      <c r="S562" t="s">
        <v>182</v>
      </c>
      <c r="T562">
        <v>1900</v>
      </c>
      <c r="U562">
        <v>5</v>
      </c>
      <c r="V562" t="s">
        <v>82</v>
      </c>
    </row>
    <row r="563" spans="1:22" x14ac:dyDescent="0.3">
      <c r="A563" t="s">
        <v>4953</v>
      </c>
      <c r="B563" t="s">
        <v>2782</v>
      </c>
      <c r="C563" t="s">
        <v>2783</v>
      </c>
      <c r="D563" s="2">
        <v>45942</v>
      </c>
      <c r="E563" t="s">
        <v>228</v>
      </c>
      <c r="F563" t="s">
        <v>228</v>
      </c>
      <c r="G563" t="s">
        <v>580</v>
      </c>
      <c r="H563" t="s">
        <v>268</v>
      </c>
      <c r="I563" t="s">
        <v>69</v>
      </c>
      <c r="J563" t="s">
        <v>70</v>
      </c>
      <c r="K563">
        <v>4</v>
      </c>
      <c r="L563">
        <v>28</v>
      </c>
      <c r="M563">
        <v>58700</v>
      </c>
      <c r="N563">
        <v>5900</v>
      </c>
      <c r="O563">
        <v>52800</v>
      </c>
      <c r="P563">
        <v>41400</v>
      </c>
      <c r="Q563">
        <v>11400</v>
      </c>
      <c r="R563">
        <v>21.59</v>
      </c>
      <c r="S563" t="s">
        <v>97</v>
      </c>
      <c r="T563">
        <v>3000</v>
      </c>
      <c r="U563">
        <v>4.5999999999999996</v>
      </c>
      <c r="V563" t="s">
        <v>42</v>
      </c>
    </row>
    <row r="564" spans="1:22" x14ac:dyDescent="0.3">
      <c r="A564" t="s">
        <v>3971</v>
      </c>
      <c r="B564" t="s">
        <v>3972</v>
      </c>
      <c r="C564" t="s">
        <v>3973</v>
      </c>
      <c r="D564" s="2">
        <v>45942</v>
      </c>
      <c r="E564" t="s">
        <v>134</v>
      </c>
      <c r="F564" t="s">
        <v>134</v>
      </c>
      <c r="G564" t="s">
        <v>147</v>
      </c>
      <c r="H564" t="s">
        <v>28</v>
      </c>
      <c r="I564" t="s">
        <v>29</v>
      </c>
      <c r="J564" t="s">
        <v>30</v>
      </c>
      <c r="K564">
        <v>8</v>
      </c>
      <c r="L564">
        <v>5</v>
      </c>
      <c r="M564">
        <v>65800</v>
      </c>
      <c r="N564">
        <v>0</v>
      </c>
      <c r="O564">
        <v>65800</v>
      </c>
      <c r="P564">
        <v>50200</v>
      </c>
      <c r="Q564">
        <v>15600</v>
      </c>
      <c r="R564">
        <v>23.71</v>
      </c>
      <c r="S564" t="s">
        <v>79</v>
      </c>
      <c r="T564">
        <v>5800</v>
      </c>
      <c r="U564">
        <v>4.2</v>
      </c>
      <c r="V564" t="s">
        <v>82</v>
      </c>
    </row>
    <row r="565" spans="1:22" x14ac:dyDescent="0.3">
      <c r="A565" t="s">
        <v>5254</v>
      </c>
      <c r="B565" t="s">
        <v>4091</v>
      </c>
      <c r="C565" t="s">
        <v>4092</v>
      </c>
      <c r="D565" s="2">
        <v>45943</v>
      </c>
      <c r="E565" t="s">
        <v>161</v>
      </c>
      <c r="F565" t="s">
        <v>161</v>
      </c>
      <c r="G565" t="s">
        <v>67</v>
      </c>
      <c r="H565" t="s">
        <v>28</v>
      </c>
      <c r="I565" t="s">
        <v>29</v>
      </c>
      <c r="J565" t="s">
        <v>257</v>
      </c>
      <c r="K565">
        <v>2</v>
      </c>
      <c r="L565">
        <v>75</v>
      </c>
      <c r="M565">
        <v>15000</v>
      </c>
      <c r="N565">
        <v>0</v>
      </c>
      <c r="O565">
        <v>15000</v>
      </c>
      <c r="P565">
        <v>12300</v>
      </c>
      <c r="Q565">
        <v>2700</v>
      </c>
      <c r="R565">
        <v>18</v>
      </c>
      <c r="S565" t="s">
        <v>182</v>
      </c>
      <c r="T565">
        <v>1200</v>
      </c>
      <c r="U565">
        <v>4.5999999999999996</v>
      </c>
      <c r="V565" t="s">
        <v>79</v>
      </c>
    </row>
    <row r="566" spans="1:22" x14ac:dyDescent="0.3">
      <c r="A566" t="s">
        <v>4427</v>
      </c>
      <c r="B566" t="s">
        <v>1136</v>
      </c>
      <c r="C566" t="s">
        <v>1137</v>
      </c>
      <c r="D566" s="2">
        <v>45943</v>
      </c>
      <c r="E566" t="s">
        <v>161</v>
      </c>
      <c r="F566" t="s">
        <v>161</v>
      </c>
      <c r="G566" t="s">
        <v>213</v>
      </c>
      <c r="H566" t="s">
        <v>28</v>
      </c>
      <c r="I566" t="s">
        <v>69</v>
      </c>
      <c r="J566" t="s">
        <v>30</v>
      </c>
      <c r="K566">
        <v>4</v>
      </c>
      <c r="L566">
        <v>52</v>
      </c>
      <c r="M566">
        <v>28800</v>
      </c>
      <c r="N566">
        <v>0</v>
      </c>
      <c r="O566">
        <v>28800</v>
      </c>
      <c r="P566">
        <v>16000</v>
      </c>
      <c r="Q566">
        <v>12800</v>
      </c>
      <c r="R566">
        <v>44.44</v>
      </c>
      <c r="S566" t="s">
        <v>126</v>
      </c>
      <c r="T566">
        <v>2100</v>
      </c>
      <c r="U566">
        <v>3.6</v>
      </c>
      <c r="V566" t="s">
        <v>82</v>
      </c>
    </row>
    <row r="567" spans="1:22" x14ac:dyDescent="0.3">
      <c r="A567" t="s">
        <v>4986</v>
      </c>
      <c r="B567" t="s">
        <v>484</v>
      </c>
      <c r="C567" t="s">
        <v>485</v>
      </c>
      <c r="D567" s="2">
        <v>45943</v>
      </c>
      <c r="E567" t="s">
        <v>66</v>
      </c>
      <c r="F567" t="s">
        <v>66</v>
      </c>
      <c r="G567" t="s">
        <v>103</v>
      </c>
      <c r="H567" t="s">
        <v>49</v>
      </c>
      <c r="I567" t="s">
        <v>29</v>
      </c>
      <c r="J567" t="s">
        <v>30</v>
      </c>
      <c r="K567">
        <v>4</v>
      </c>
      <c r="L567">
        <v>19</v>
      </c>
      <c r="M567">
        <v>54700</v>
      </c>
      <c r="N567">
        <v>0</v>
      </c>
      <c r="O567">
        <v>54700</v>
      </c>
      <c r="P567">
        <v>38500</v>
      </c>
      <c r="Q567">
        <v>16200</v>
      </c>
      <c r="R567">
        <v>29.62</v>
      </c>
      <c r="S567" t="s">
        <v>126</v>
      </c>
      <c r="T567">
        <v>7200</v>
      </c>
      <c r="U567">
        <v>3.9</v>
      </c>
      <c r="V567" t="s">
        <v>114</v>
      </c>
    </row>
    <row r="568" spans="1:22" x14ac:dyDescent="0.3">
      <c r="A568" t="s">
        <v>5240</v>
      </c>
      <c r="B568" t="s">
        <v>1131</v>
      </c>
      <c r="C568" t="s">
        <v>1132</v>
      </c>
      <c r="D568" s="2">
        <v>45944</v>
      </c>
      <c r="E568" t="s">
        <v>26</v>
      </c>
      <c r="F568" t="s">
        <v>26</v>
      </c>
      <c r="G568" t="s">
        <v>213</v>
      </c>
      <c r="H568" t="s">
        <v>268</v>
      </c>
      <c r="I568" t="s">
        <v>69</v>
      </c>
      <c r="J568" t="s">
        <v>162</v>
      </c>
      <c r="K568">
        <v>10</v>
      </c>
      <c r="L568">
        <v>52</v>
      </c>
      <c r="M568">
        <v>136100</v>
      </c>
      <c r="N568">
        <v>27200</v>
      </c>
      <c r="O568">
        <v>108900</v>
      </c>
      <c r="P568">
        <v>106900</v>
      </c>
      <c r="Q568">
        <v>2000</v>
      </c>
      <c r="R568">
        <v>1.84</v>
      </c>
      <c r="S568" t="s">
        <v>126</v>
      </c>
      <c r="T568">
        <v>5500</v>
      </c>
      <c r="U568">
        <v>3.8</v>
      </c>
      <c r="V568" t="s">
        <v>79</v>
      </c>
    </row>
    <row r="569" spans="1:22" x14ac:dyDescent="0.3">
      <c r="A569" t="s">
        <v>2826</v>
      </c>
      <c r="B569" t="s">
        <v>351</v>
      </c>
      <c r="C569" t="s">
        <v>352</v>
      </c>
      <c r="D569" s="2">
        <v>45944</v>
      </c>
      <c r="E569" t="s">
        <v>188</v>
      </c>
      <c r="F569" t="s">
        <v>188</v>
      </c>
      <c r="G569" t="s">
        <v>103</v>
      </c>
      <c r="H569" t="s">
        <v>5470</v>
      </c>
      <c r="I569" t="s">
        <v>69</v>
      </c>
      <c r="J569" t="s">
        <v>30</v>
      </c>
      <c r="K569">
        <v>9</v>
      </c>
      <c r="L569">
        <v>64</v>
      </c>
      <c r="M569">
        <v>47000</v>
      </c>
      <c r="N569">
        <v>4700</v>
      </c>
      <c r="O569">
        <v>42300</v>
      </c>
      <c r="P569">
        <v>36400</v>
      </c>
      <c r="Q569">
        <v>5900</v>
      </c>
      <c r="R569">
        <v>13.95</v>
      </c>
      <c r="S569" t="s">
        <v>97</v>
      </c>
      <c r="T569">
        <v>6800</v>
      </c>
      <c r="U569">
        <v>3.8</v>
      </c>
      <c r="V569" t="s">
        <v>82</v>
      </c>
    </row>
    <row r="570" spans="1:22" x14ac:dyDescent="0.3">
      <c r="A570" t="s">
        <v>4416</v>
      </c>
      <c r="B570" t="s">
        <v>818</v>
      </c>
      <c r="C570" t="s">
        <v>819</v>
      </c>
      <c r="D570" s="2">
        <v>45946</v>
      </c>
      <c r="E570" t="s">
        <v>134</v>
      </c>
      <c r="F570" t="s">
        <v>134</v>
      </c>
      <c r="G570" t="s">
        <v>27</v>
      </c>
      <c r="H570" t="s">
        <v>229</v>
      </c>
      <c r="I570" t="s">
        <v>29</v>
      </c>
      <c r="J570" t="s">
        <v>30</v>
      </c>
      <c r="K570">
        <v>7</v>
      </c>
      <c r="L570">
        <v>67</v>
      </c>
      <c r="M570">
        <v>18400</v>
      </c>
      <c r="N570">
        <v>900</v>
      </c>
      <c r="O570">
        <v>17500</v>
      </c>
      <c r="P570">
        <v>12700</v>
      </c>
      <c r="Q570">
        <v>4800</v>
      </c>
      <c r="R570">
        <v>27.43</v>
      </c>
      <c r="S570" t="s">
        <v>39</v>
      </c>
      <c r="T570">
        <v>1000</v>
      </c>
      <c r="U570">
        <v>3.6</v>
      </c>
      <c r="V570" t="s">
        <v>42</v>
      </c>
    </row>
    <row r="571" spans="1:22" x14ac:dyDescent="0.3">
      <c r="A571" t="s">
        <v>1355</v>
      </c>
      <c r="B571" t="s">
        <v>924</v>
      </c>
      <c r="C571" t="s">
        <v>925</v>
      </c>
      <c r="D571" s="2">
        <v>45946</v>
      </c>
      <c r="E571" t="s">
        <v>282</v>
      </c>
      <c r="F571" t="s">
        <v>282</v>
      </c>
      <c r="G571" t="s">
        <v>213</v>
      </c>
      <c r="H571" t="s">
        <v>49</v>
      </c>
      <c r="I571" t="s">
        <v>69</v>
      </c>
      <c r="J571" t="s">
        <v>30</v>
      </c>
      <c r="K571">
        <v>8</v>
      </c>
      <c r="L571">
        <v>51</v>
      </c>
      <c r="M571">
        <v>38000</v>
      </c>
      <c r="N571">
        <v>0</v>
      </c>
      <c r="O571">
        <v>38000</v>
      </c>
      <c r="P571">
        <v>26100</v>
      </c>
      <c r="Q571">
        <v>11900</v>
      </c>
      <c r="R571">
        <v>31.32</v>
      </c>
      <c r="S571" t="s">
        <v>182</v>
      </c>
      <c r="T571">
        <v>4600</v>
      </c>
      <c r="U571">
        <v>4.2</v>
      </c>
      <c r="V571" t="s">
        <v>114</v>
      </c>
    </row>
    <row r="572" spans="1:22" x14ac:dyDescent="0.3">
      <c r="A572" t="s">
        <v>3713</v>
      </c>
      <c r="B572" t="s">
        <v>1960</v>
      </c>
      <c r="C572" t="s">
        <v>1961</v>
      </c>
      <c r="D572" s="2">
        <v>45946</v>
      </c>
      <c r="E572" t="s">
        <v>188</v>
      </c>
      <c r="F572" t="s">
        <v>188</v>
      </c>
      <c r="G572" t="s">
        <v>213</v>
      </c>
      <c r="H572" t="s">
        <v>28</v>
      </c>
      <c r="I572" t="s">
        <v>69</v>
      </c>
      <c r="J572" t="s">
        <v>30</v>
      </c>
      <c r="K572">
        <v>5</v>
      </c>
      <c r="L572">
        <v>51</v>
      </c>
      <c r="M572">
        <v>28100</v>
      </c>
      <c r="N572">
        <v>0</v>
      </c>
      <c r="O572">
        <v>28100</v>
      </c>
      <c r="P572">
        <v>22100</v>
      </c>
      <c r="Q572">
        <v>6000</v>
      </c>
      <c r="R572">
        <v>21.35</v>
      </c>
      <c r="S572" t="s">
        <v>58</v>
      </c>
      <c r="T572">
        <v>3800</v>
      </c>
      <c r="U572">
        <v>4.5999999999999996</v>
      </c>
      <c r="V572" t="s">
        <v>58</v>
      </c>
    </row>
    <row r="573" spans="1:22" x14ac:dyDescent="0.3">
      <c r="A573" t="s">
        <v>3252</v>
      </c>
      <c r="B573" t="s">
        <v>1386</v>
      </c>
      <c r="C573" t="s">
        <v>1387</v>
      </c>
      <c r="D573" s="2">
        <v>45946</v>
      </c>
      <c r="E573" t="s">
        <v>188</v>
      </c>
      <c r="F573" t="s">
        <v>188</v>
      </c>
      <c r="G573" t="s">
        <v>118</v>
      </c>
      <c r="H573" t="s">
        <v>28</v>
      </c>
      <c r="I573" t="s">
        <v>29</v>
      </c>
      <c r="J573" t="s">
        <v>30</v>
      </c>
      <c r="K573">
        <v>2</v>
      </c>
      <c r="L573">
        <v>39</v>
      </c>
      <c r="M573">
        <v>33300</v>
      </c>
      <c r="N573">
        <v>5000</v>
      </c>
      <c r="O573">
        <v>28300</v>
      </c>
      <c r="P573">
        <v>19200</v>
      </c>
      <c r="Q573">
        <v>9100</v>
      </c>
      <c r="R573">
        <v>32.159999999999997</v>
      </c>
      <c r="S573" t="s">
        <v>58</v>
      </c>
      <c r="T573">
        <v>4000</v>
      </c>
      <c r="U573">
        <v>3.4</v>
      </c>
      <c r="V573" t="s">
        <v>79</v>
      </c>
    </row>
    <row r="574" spans="1:22" x14ac:dyDescent="0.3">
      <c r="A574" t="s">
        <v>942</v>
      </c>
      <c r="B574" t="s">
        <v>943</v>
      </c>
      <c r="C574" t="s">
        <v>944</v>
      </c>
      <c r="D574" s="2">
        <v>45947</v>
      </c>
      <c r="E574" t="s">
        <v>66</v>
      </c>
      <c r="F574" t="s">
        <v>66</v>
      </c>
      <c r="G574" t="s">
        <v>580</v>
      </c>
      <c r="H574" t="s">
        <v>68</v>
      </c>
      <c r="I574" t="s">
        <v>29</v>
      </c>
      <c r="J574" t="s">
        <v>70</v>
      </c>
      <c r="K574">
        <v>6</v>
      </c>
      <c r="L574">
        <v>28</v>
      </c>
      <c r="M574">
        <v>78800</v>
      </c>
      <c r="N574">
        <v>15800</v>
      </c>
      <c r="O574">
        <v>63000</v>
      </c>
      <c r="P574">
        <v>44100</v>
      </c>
      <c r="Q574">
        <v>18900</v>
      </c>
      <c r="R574">
        <v>30</v>
      </c>
      <c r="S574" t="s">
        <v>58</v>
      </c>
      <c r="T574">
        <v>3300</v>
      </c>
      <c r="U574">
        <v>4</v>
      </c>
      <c r="V574" t="s">
        <v>58</v>
      </c>
    </row>
    <row r="575" spans="1:22" x14ac:dyDescent="0.3">
      <c r="A575" t="s">
        <v>2949</v>
      </c>
      <c r="B575" t="s">
        <v>2822</v>
      </c>
      <c r="C575" t="s">
        <v>2823</v>
      </c>
      <c r="D575" s="2">
        <v>45947</v>
      </c>
      <c r="E575" t="s">
        <v>228</v>
      </c>
      <c r="F575" t="s">
        <v>228</v>
      </c>
      <c r="G575" t="s">
        <v>27</v>
      </c>
      <c r="H575" t="s">
        <v>5470</v>
      </c>
      <c r="I575" t="s">
        <v>69</v>
      </c>
      <c r="J575" t="s">
        <v>30</v>
      </c>
      <c r="K575">
        <v>7</v>
      </c>
      <c r="L575">
        <v>62</v>
      </c>
      <c r="M575">
        <v>62700</v>
      </c>
      <c r="N575">
        <v>3100</v>
      </c>
      <c r="O575">
        <v>59600</v>
      </c>
      <c r="P575">
        <v>27300</v>
      </c>
      <c r="Q575">
        <v>32300</v>
      </c>
      <c r="R575">
        <v>54.19</v>
      </c>
      <c r="S575" t="s">
        <v>182</v>
      </c>
      <c r="T575">
        <v>2400</v>
      </c>
      <c r="U575">
        <v>4</v>
      </c>
      <c r="V575" t="s">
        <v>42</v>
      </c>
    </row>
    <row r="576" spans="1:22" x14ac:dyDescent="0.3">
      <c r="A576" t="s">
        <v>4710</v>
      </c>
      <c r="B576" t="s">
        <v>918</v>
      </c>
      <c r="C576" t="s">
        <v>919</v>
      </c>
      <c r="D576" s="2">
        <v>45948</v>
      </c>
      <c r="E576" t="s">
        <v>228</v>
      </c>
      <c r="F576" t="s">
        <v>228</v>
      </c>
      <c r="G576" t="s">
        <v>147</v>
      </c>
      <c r="H576" t="s">
        <v>268</v>
      </c>
      <c r="I576" t="s">
        <v>29</v>
      </c>
      <c r="J576" t="s">
        <v>30</v>
      </c>
      <c r="K576">
        <v>9</v>
      </c>
      <c r="L576">
        <v>5</v>
      </c>
      <c r="M576">
        <v>111200</v>
      </c>
      <c r="N576">
        <v>16700</v>
      </c>
      <c r="O576">
        <v>94500</v>
      </c>
      <c r="P576">
        <v>65400</v>
      </c>
      <c r="Q576">
        <v>29100</v>
      </c>
      <c r="R576">
        <v>30.79</v>
      </c>
      <c r="S576" t="s">
        <v>39</v>
      </c>
      <c r="T576">
        <v>16500</v>
      </c>
      <c r="U576">
        <v>3.5</v>
      </c>
      <c r="V576" t="s">
        <v>58</v>
      </c>
    </row>
    <row r="577" spans="1:22" x14ac:dyDescent="0.3">
      <c r="A577" t="s">
        <v>4597</v>
      </c>
      <c r="B577" t="s">
        <v>1572</v>
      </c>
      <c r="C577" t="s">
        <v>1573</v>
      </c>
      <c r="D577" s="2">
        <v>45948</v>
      </c>
      <c r="E577" t="s">
        <v>26</v>
      </c>
      <c r="F577" t="s">
        <v>26</v>
      </c>
      <c r="G577" t="s">
        <v>67</v>
      </c>
      <c r="H577" t="s">
        <v>5470</v>
      </c>
      <c r="I577" t="s">
        <v>69</v>
      </c>
      <c r="J577" t="s">
        <v>30</v>
      </c>
      <c r="K577">
        <v>5</v>
      </c>
      <c r="L577">
        <v>33</v>
      </c>
      <c r="M577">
        <v>33900</v>
      </c>
      <c r="N577">
        <v>3400</v>
      </c>
      <c r="O577">
        <v>30500</v>
      </c>
      <c r="P577">
        <v>23100</v>
      </c>
      <c r="Q577">
        <v>7400</v>
      </c>
      <c r="R577">
        <v>24.26</v>
      </c>
      <c r="S577" t="s">
        <v>182</v>
      </c>
      <c r="T577">
        <v>5300</v>
      </c>
      <c r="U577">
        <v>3.9</v>
      </c>
      <c r="V577" t="s">
        <v>79</v>
      </c>
    </row>
    <row r="578" spans="1:22" x14ac:dyDescent="0.3">
      <c r="A578" t="s">
        <v>4165</v>
      </c>
      <c r="B578" t="s">
        <v>1101</v>
      </c>
      <c r="C578" t="s">
        <v>1102</v>
      </c>
      <c r="D578" s="2">
        <v>45948</v>
      </c>
      <c r="E578" t="s">
        <v>66</v>
      </c>
      <c r="F578" t="s">
        <v>66</v>
      </c>
      <c r="G578" t="s">
        <v>27</v>
      </c>
      <c r="H578" t="s">
        <v>229</v>
      </c>
      <c r="I578" t="s">
        <v>69</v>
      </c>
      <c r="J578" t="s">
        <v>30</v>
      </c>
      <c r="K578">
        <v>8</v>
      </c>
      <c r="L578">
        <v>38</v>
      </c>
      <c r="M578">
        <v>15000</v>
      </c>
      <c r="N578">
        <v>2200</v>
      </c>
      <c r="O578">
        <v>12800</v>
      </c>
      <c r="P578">
        <v>11400</v>
      </c>
      <c r="Q578">
        <v>1400</v>
      </c>
      <c r="R578">
        <v>10.94</v>
      </c>
      <c r="S578" t="s">
        <v>79</v>
      </c>
      <c r="T578">
        <v>2000</v>
      </c>
      <c r="U578">
        <v>4.5999999999999996</v>
      </c>
      <c r="V578" t="s">
        <v>79</v>
      </c>
    </row>
    <row r="579" spans="1:22" x14ac:dyDescent="0.3">
      <c r="A579" t="s">
        <v>413</v>
      </c>
      <c r="B579" t="s">
        <v>414</v>
      </c>
      <c r="C579" t="s">
        <v>415</v>
      </c>
      <c r="D579" s="2">
        <v>45949</v>
      </c>
      <c r="E579" t="s">
        <v>134</v>
      </c>
      <c r="F579" t="s">
        <v>134</v>
      </c>
      <c r="G579" t="s">
        <v>147</v>
      </c>
      <c r="H579" t="s">
        <v>268</v>
      </c>
      <c r="I579" t="s">
        <v>69</v>
      </c>
      <c r="J579" t="s">
        <v>30</v>
      </c>
      <c r="K579">
        <v>4</v>
      </c>
      <c r="L579">
        <v>12</v>
      </c>
      <c r="M579">
        <v>85400</v>
      </c>
      <c r="N579">
        <v>4300</v>
      </c>
      <c r="O579">
        <v>81100</v>
      </c>
      <c r="P579">
        <v>47800</v>
      </c>
      <c r="Q579">
        <v>33300</v>
      </c>
      <c r="R579">
        <v>41.06</v>
      </c>
      <c r="S579" t="s">
        <v>97</v>
      </c>
      <c r="T579">
        <v>13000</v>
      </c>
      <c r="U579">
        <v>4.7</v>
      </c>
      <c r="V579" t="s">
        <v>42</v>
      </c>
    </row>
    <row r="580" spans="1:22" x14ac:dyDescent="0.3">
      <c r="A580" t="s">
        <v>5032</v>
      </c>
      <c r="B580" t="s">
        <v>3089</v>
      </c>
      <c r="C580" t="s">
        <v>3090</v>
      </c>
      <c r="D580" s="2">
        <v>45949</v>
      </c>
      <c r="E580" t="s">
        <v>161</v>
      </c>
      <c r="F580" t="s">
        <v>161</v>
      </c>
      <c r="G580" t="s">
        <v>147</v>
      </c>
      <c r="H580" t="s">
        <v>268</v>
      </c>
      <c r="I580" t="s">
        <v>29</v>
      </c>
      <c r="J580" t="s">
        <v>30</v>
      </c>
      <c r="K580">
        <v>6</v>
      </c>
      <c r="L580">
        <v>24</v>
      </c>
      <c r="M580">
        <v>72800</v>
      </c>
      <c r="N580">
        <v>0</v>
      </c>
      <c r="O580">
        <v>72800</v>
      </c>
      <c r="P580">
        <v>46200</v>
      </c>
      <c r="Q580">
        <v>26600</v>
      </c>
      <c r="R580">
        <v>36.54</v>
      </c>
      <c r="S580" t="s">
        <v>58</v>
      </c>
      <c r="T580">
        <v>6900</v>
      </c>
      <c r="U580">
        <v>5</v>
      </c>
      <c r="V580" t="s">
        <v>114</v>
      </c>
    </row>
    <row r="581" spans="1:22" x14ac:dyDescent="0.3">
      <c r="A581" t="s">
        <v>4939</v>
      </c>
      <c r="B581" t="s">
        <v>1452</v>
      </c>
      <c r="C581" t="s">
        <v>1453</v>
      </c>
      <c r="D581" s="2">
        <v>45949</v>
      </c>
      <c r="E581" t="s">
        <v>134</v>
      </c>
      <c r="F581" t="s">
        <v>134</v>
      </c>
      <c r="G581" t="s">
        <v>118</v>
      </c>
      <c r="H581" t="s">
        <v>28</v>
      </c>
      <c r="I581" t="s">
        <v>29</v>
      </c>
      <c r="J581" t="s">
        <v>30</v>
      </c>
      <c r="K581">
        <v>8</v>
      </c>
      <c r="L581">
        <v>53</v>
      </c>
      <c r="M581">
        <v>20200</v>
      </c>
      <c r="N581">
        <v>0</v>
      </c>
      <c r="O581">
        <v>20200</v>
      </c>
      <c r="P581">
        <v>9400</v>
      </c>
      <c r="Q581">
        <v>10800</v>
      </c>
      <c r="R581">
        <v>53.47</v>
      </c>
      <c r="S581" t="s">
        <v>126</v>
      </c>
      <c r="T581">
        <v>1000</v>
      </c>
      <c r="U581">
        <v>3.6</v>
      </c>
      <c r="V581" t="s">
        <v>58</v>
      </c>
    </row>
    <row r="582" spans="1:22" x14ac:dyDescent="0.3">
      <c r="A582" t="s">
        <v>4911</v>
      </c>
      <c r="B582" t="s">
        <v>4912</v>
      </c>
      <c r="C582" t="s">
        <v>4913</v>
      </c>
      <c r="D582" s="2">
        <v>45949</v>
      </c>
      <c r="E582" t="s">
        <v>66</v>
      </c>
      <c r="F582" t="s">
        <v>66</v>
      </c>
      <c r="G582" t="s">
        <v>147</v>
      </c>
      <c r="H582" t="s">
        <v>214</v>
      </c>
      <c r="I582" t="s">
        <v>69</v>
      </c>
      <c r="J582" t="s">
        <v>30</v>
      </c>
      <c r="K582">
        <v>10</v>
      </c>
      <c r="L582">
        <v>54</v>
      </c>
      <c r="M582">
        <v>35000</v>
      </c>
      <c r="N582">
        <v>1800</v>
      </c>
      <c r="O582">
        <v>33200</v>
      </c>
      <c r="P582">
        <v>16100</v>
      </c>
      <c r="Q582">
        <v>17100</v>
      </c>
      <c r="R582">
        <v>51.51</v>
      </c>
      <c r="S582" t="s">
        <v>97</v>
      </c>
      <c r="T582">
        <v>3500</v>
      </c>
      <c r="U582">
        <v>5</v>
      </c>
      <c r="V582" t="s">
        <v>79</v>
      </c>
    </row>
    <row r="583" spans="1:22" x14ac:dyDescent="0.3">
      <c r="A583" t="s">
        <v>4603</v>
      </c>
      <c r="B583" t="s">
        <v>924</v>
      </c>
      <c r="C583" t="s">
        <v>925</v>
      </c>
      <c r="D583" s="2">
        <v>45949</v>
      </c>
      <c r="E583" t="s">
        <v>244</v>
      </c>
      <c r="F583" t="s">
        <v>244</v>
      </c>
      <c r="G583" t="s">
        <v>147</v>
      </c>
      <c r="H583" t="s">
        <v>88</v>
      </c>
      <c r="I583" t="s">
        <v>69</v>
      </c>
      <c r="J583" t="s">
        <v>162</v>
      </c>
      <c r="K583">
        <v>4</v>
      </c>
      <c r="L583">
        <v>39</v>
      </c>
      <c r="M583">
        <v>41300</v>
      </c>
      <c r="N583">
        <v>6200</v>
      </c>
      <c r="O583">
        <v>35100</v>
      </c>
      <c r="P583">
        <v>21700</v>
      </c>
      <c r="Q583">
        <v>13400</v>
      </c>
      <c r="R583">
        <v>38.18</v>
      </c>
      <c r="S583" t="s">
        <v>126</v>
      </c>
      <c r="T583">
        <v>3800</v>
      </c>
      <c r="U583">
        <v>4.8</v>
      </c>
      <c r="V583" t="s">
        <v>42</v>
      </c>
    </row>
    <row r="584" spans="1:22" x14ac:dyDescent="0.3">
      <c r="A584" t="s">
        <v>5063</v>
      </c>
      <c r="B584" t="s">
        <v>510</v>
      </c>
      <c r="C584" t="s">
        <v>511</v>
      </c>
      <c r="D584" s="2">
        <v>45949</v>
      </c>
      <c r="E584" t="s">
        <v>228</v>
      </c>
      <c r="F584" t="s">
        <v>228</v>
      </c>
      <c r="G584" t="s">
        <v>147</v>
      </c>
      <c r="H584" t="s">
        <v>28</v>
      </c>
      <c r="I584" t="s">
        <v>69</v>
      </c>
      <c r="J584" t="s">
        <v>30</v>
      </c>
      <c r="K584">
        <v>6</v>
      </c>
      <c r="L584">
        <v>52</v>
      </c>
      <c r="M584">
        <v>31400</v>
      </c>
      <c r="N584">
        <v>6300</v>
      </c>
      <c r="O584">
        <v>25100</v>
      </c>
      <c r="P584">
        <v>25700</v>
      </c>
      <c r="Q584">
        <v>-600</v>
      </c>
      <c r="R584">
        <v>-2.39</v>
      </c>
      <c r="S584" t="s">
        <v>97</v>
      </c>
      <c r="T584">
        <v>1400</v>
      </c>
      <c r="U584">
        <v>4.7</v>
      </c>
      <c r="V584" t="s">
        <v>114</v>
      </c>
    </row>
    <row r="585" spans="1:22" x14ac:dyDescent="0.3">
      <c r="A585" t="s">
        <v>4358</v>
      </c>
      <c r="B585" t="s">
        <v>2645</v>
      </c>
      <c r="C585" t="s">
        <v>2646</v>
      </c>
      <c r="D585" s="2">
        <v>45950</v>
      </c>
      <c r="E585" t="s">
        <v>188</v>
      </c>
      <c r="F585" t="s">
        <v>188</v>
      </c>
      <c r="G585" t="s">
        <v>48</v>
      </c>
      <c r="H585" t="s">
        <v>68</v>
      </c>
      <c r="I585" t="s">
        <v>29</v>
      </c>
      <c r="J585" t="s">
        <v>30</v>
      </c>
      <c r="K585">
        <v>9</v>
      </c>
      <c r="L585">
        <v>6</v>
      </c>
      <c r="M585">
        <v>47400</v>
      </c>
      <c r="N585">
        <v>0</v>
      </c>
      <c r="O585">
        <v>47400</v>
      </c>
      <c r="P585">
        <v>29400</v>
      </c>
      <c r="Q585">
        <v>18000</v>
      </c>
      <c r="R585">
        <v>37.97</v>
      </c>
      <c r="S585" t="s">
        <v>126</v>
      </c>
      <c r="T585">
        <v>6800</v>
      </c>
      <c r="U585">
        <v>3.6</v>
      </c>
      <c r="V585" t="s">
        <v>79</v>
      </c>
    </row>
    <row r="586" spans="1:22" x14ac:dyDescent="0.3">
      <c r="A586" t="s">
        <v>4316</v>
      </c>
      <c r="B586" t="s">
        <v>254</v>
      </c>
      <c r="C586" t="s">
        <v>255</v>
      </c>
      <c r="D586" s="2">
        <v>45950</v>
      </c>
      <c r="E586" t="s">
        <v>244</v>
      </c>
      <c r="F586" t="s">
        <v>244</v>
      </c>
      <c r="G586" t="s">
        <v>5471</v>
      </c>
      <c r="H586" t="s">
        <v>68</v>
      </c>
      <c r="I586" t="s">
        <v>29</v>
      </c>
      <c r="J586" t="s">
        <v>162</v>
      </c>
      <c r="K586">
        <v>10</v>
      </c>
      <c r="L586">
        <v>30</v>
      </c>
      <c r="M586">
        <v>22100</v>
      </c>
      <c r="N586">
        <v>2200</v>
      </c>
      <c r="O586">
        <v>19900</v>
      </c>
      <c r="P586">
        <v>13000</v>
      </c>
      <c r="Q586">
        <v>6900</v>
      </c>
      <c r="R586">
        <v>34.67</v>
      </c>
      <c r="S586" t="s">
        <v>58</v>
      </c>
      <c r="T586">
        <v>3000</v>
      </c>
      <c r="U586">
        <v>3.8</v>
      </c>
      <c r="V586" t="s">
        <v>79</v>
      </c>
    </row>
    <row r="587" spans="1:22" x14ac:dyDescent="0.3">
      <c r="A587" t="s">
        <v>3659</v>
      </c>
      <c r="B587" t="s">
        <v>860</v>
      </c>
      <c r="C587" t="s">
        <v>861</v>
      </c>
      <c r="D587" s="2">
        <v>45951</v>
      </c>
      <c r="E587" t="s">
        <v>161</v>
      </c>
      <c r="F587" t="s">
        <v>161</v>
      </c>
      <c r="G587" t="s">
        <v>103</v>
      </c>
      <c r="H587" t="s">
        <v>28</v>
      </c>
      <c r="I587" t="s">
        <v>29</v>
      </c>
      <c r="J587" t="s">
        <v>30</v>
      </c>
      <c r="K587">
        <v>4</v>
      </c>
      <c r="L587">
        <v>32</v>
      </c>
      <c r="M587">
        <v>40500</v>
      </c>
      <c r="N587">
        <v>0</v>
      </c>
      <c r="O587">
        <v>40500</v>
      </c>
      <c r="P587">
        <v>21600</v>
      </c>
      <c r="Q587">
        <v>18900</v>
      </c>
      <c r="R587">
        <v>46.67</v>
      </c>
      <c r="S587" t="s">
        <v>79</v>
      </c>
      <c r="T587">
        <v>3800</v>
      </c>
      <c r="U587">
        <v>4.2</v>
      </c>
      <c r="V587" t="s">
        <v>42</v>
      </c>
    </row>
    <row r="588" spans="1:22" x14ac:dyDescent="0.3">
      <c r="A588" t="s">
        <v>1815</v>
      </c>
      <c r="B588" t="s">
        <v>1816</v>
      </c>
      <c r="C588" t="s">
        <v>1817</v>
      </c>
      <c r="D588" s="2">
        <v>45951</v>
      </c>
      <c r="E588" t="s">
        <v>66</v>
      </c>
      <c r="F588" t="s">
        <v>66</v>
      </c>
      <c r="G588" t="s">
        <v>48</v>
      </c>
      <c r="H588" t="s">
        <v>68</v>
      </c>
      <c r="I588" t="s">
        <v>69</v>
      </c>
      <c r="J588" t="s">
        <v>30</v>
      </c>
      <c r="K588">
        <v>2</v>
      </c>
      <c r="L588">
        <v>34</v>
      </c>
      <c r="M588">
        <v>33300</v>
      </c>
      <c r="N588">
        <v>6700</v>
      </c>
      <c r="O588">
        <v>26600</v>
      </c>
      <c r="P588">
        <v>22500</v>
      </c>
      <c r="Q588">
        <v>4100</v>
      </c>
      <c r="R588">
        <v>15.41</v>
      </c>
      <c r="S588" t="s">
        <v>39</v>
      </c>
      <c r="T588">
        <v>3300</v>
      </c>
      <c r="U588">
        <v>4.2</v>
      </c>
      <c r="V588" t="s">
        <v>42</v>
      </c>
    </row>
    <row r="589" spans="1:22" x14ac:dyDescent="0.3">
      <c r="A589" t="s">
        <v>5384</v>
      </c>
      <c r="B589" t="s">
        <v>1816</v>
      </c>
      <c r="C589" t="s">
        <v>1817</v>
      </c>
      <c r="D589" s="2">
        <v>45951</v>
      </c>
      <c r="E589" t="s">
        <v>66</v>
      </c>
      <c r="F589" t="s">
        <v>66</v>
      </c>
      <c r="G589" t="s">
        <v>27</v>
      </c>
      <c r="H589" t="s">
        <v>5470</v>
      </c>
      <c r="I589" t="s">
        <v>69</v>
      </c>
      <c r="J589" t="s">
        <v>162</v>
      </c>
      <c r="K589">
        <v>6</v>
      </c>
      <c r="L589">
        <v>43</v>
      </c>
      <c r="M589">
        <v>29000</v>
      </c>
      <c r="N589">
        <v>5800</v>
      </c>
      <c r="O589">
        <v>23200</v>
      </c>
      <c r="P589">
        <v>19100</v>
      </c>
      <c r="Q589">
        <v>4100</v>
      </c>
      <c r="R589">
        <v>17.670000000000002</v>
      </c>
      <c r="S589" t="s">
        <v>58</v>
      </c>
      <c r="T589">
        <v>2600</v>
      </c>
      <c r="U589">
        <v>4.0999999999999996</v>
      </c>
      <c r="V589" t="s">
        <v>114</v>
      </c>
    </row>
    <row r="590" spans="1:22" x14ac:dyDescent="0.3">
      <c r="A590" t="s">
        <v>4857</v>
      </c>
      <c r="B590" t="s">
        <v>2005</v>
      </c>
      <c r="C590" t="s">
        <v>2006</v>
      </c>
      <c r="D590" s="2">
        <v>45952</v>
      </c>
      <c r="E590" t="s">
        <v>228</v>
      </c>
      <c r="F590" t="s">
        <v>228</v>
      </c>
      <c r="G590" t="s">
        <v>213</v>
      </c>
      <c r="H590" t="s">
        <v>268</v>
      </c>
      <c r="I590" t="s">
        <v>29</v>
      </c>
      <c r="J590" t="s">
        <v>30</v>
      </c>
      <c r="K590">
        <v>6</v>
      </c>
      <c r="L590">
        <v>18</v>
      </c>
      <c r="M590">
        <v>156500</v>
      </c>
      <c r="N590">
        <v>15600</v>
      </c>
      <c r="O590">
        <v>140900</v>
      </c>
      <c r="P590">
        <v>106700</v>
      </c>
      <c r="Q590">
        <v>34200</v>
      </c>
      <c r="R590">
        <v>24.27</v>
      </c>
      <c r="S590" t="s">
        <v>126</v>
      </c>
      <c r="T590">
        <v>10100</v>
      </c>
      <c r="U590">
        <v>5</v>
      </c>
      <c r="V590" t="s">
        <v>58</v>
      </c>
    </row>
    <row r="591" spans="1:22" x14ac:dyDescent="0.3">
      <c r="A591" t="s">
        <v>1385</v>
      </c>
      <c r="B591" t="s">
        <v>1386</v>
      </c>
      <c r="C591" t="s">
        <v>1387</v>
      </c>
      <c r="D591" s="2">
        <v>45953</v>
      </c>
      <c r="E591" t="s">
        <v>161</v>
      </c>
      <c r="F591" t="s">
        <v>161</v>
      </c>
      <c r="G591" t="s">
        <v>103</v>
      </c>
      <c r="H591" t="s">
        <v>28</v>
      </c>
      <c r="I591" t="s">
        <v>29</v>
      </c>
      <c r="J591" t="s">
        <v>30</v>
      </c>
      <c r="K591">
        <v>5</v>
      </c>
      <c r="L591">
        <v>5</v>
      </c>
      <c r="M591">
        <v>34900</v>
      </c>
      <c r="N591">
        <v>1700</v>
      </c>
      <c r="O591">
        <v>33200</v>
      </c>
      <c r="P591">
        <v>27700</v>
      </c>
      <c r="Q591">
        <v>5500</v>
      </c>
      <c r="R591">
        <v>16.57</v>
      </c>
      <c r="S591" t="s">
        <v>97</v>
      </c>
      <c r="T591">
        <v>6000</v>
      </c>
      <c r="U591">
        <v>3.3</v>
      </c>
      <c r="V591" t="s">
        <v>58</v>
      </c>
    </row>
    <row r="592" spans="1:22" x14ac:dyDescent="0.3">
      <c r="A592" t="s">
        <v>3159</v>
      </c>
      <c r="B592" t="s">
        <v>3160</v>
      </c>
      <c r="C592" t="s">
        <v>3161</v>
      </c>
      <c r="D592" s="2">
        <v>45955</v>
      </c>
      <c r="E592" t="s">
        <v>134</v>
      </c>
      <c r="F592" t="s">
        <v>134</v>
      </c>
      <c r="G592" t="s">
        <v>580</v>
      </c>
      <c r="H592" t="s">
        <v>5470</v>
      </c>
      <c r="I592" t="s">
        <v>69</v>
      </c>
      <c r="J592" t="s">
        <v>30</v>
      </c>
      <c r="K592">
        <v>5</v>
      </c>
      <c r="L592">
        <v>41</v>
      </c>
      <c r="M592">
        <v>95400</v>
      </c>
      <c r="N592">
        <v>4800</v>
      </c>
      <c r="O592">
        <v>90600</v>
      </c>
      <c r="P592">
        <v>76000</v>
      </c>
      <c r="Q592">
        <v>14600</v>
      </c>
      <c r="R592">
        <v>16.11</v>
      </c>
      <c r="S592" t="s">
        <v>97</v>
      </c>
      <c r="T592">
        <v>13800</v>
      </c>
      <c r="U592">
        <v>2.8</v>
      </c>
      <c r="V592" t="s">
        <v>114</v>
      </c>
    </row>
    <row r="593" spans="1:22" x14ac:dyDescent="0.3">
      <c r="A593" t="s">
        <v>4929</v>
      </c>
      <c r="B593" t="s">
        <v>2021</v>
      </c>
      <c r="C593" t="s">
        <v>2022</v>
      </c>
      <c r="D593" s="2">
        <v>45955</v>
      </c>
      <c r="E593" t="s">
        <v>228</v>
      </c>
      <c r="F593" t="s">
        <v>228</v>
      </c>
      <c r="G593" t="s">
        <v>67</v>
      </c>
      <c r="H593" t="s">
        <v>214</v>
      </c>
      <c r="I593" t="s">
        <v>29</v>
      </c>
      <c r="J593" t="s">
        <v>70</v>
      </c>
      <c r="K593">
        <v>10</v>
      </c>
      <c r="L593">
        <v>29</v>
      </c>
      <c r="M593">
        <v>52700</v>
      </c>
      <c r="N593">
        <v>0</v>
      </c>
      <c r="O593">
        <v>52700</v>
      </c>
      <c r="P593">
        <v>27400</v>
      </c>
      <c r="Q593">
        <v>25300</v>
      </c>
      <c r="R593">
        <v>48.01</v>
      </c>
      <c r="S593" t="s">
        <v>58</v>
      </c>
      <c r="T593">
        <v>9400</v>
      </c>
      <c r="U593">
        <v>3.8</v>
      </c>
      <c r="V593" t="s">
        <v>114</v>
      </c>
    </row>
    <row r="594" spans="1:22" x14ac:dyDescent="0.3">
      <c r="A594" t="s">
        <v>2482</v>
      </c>
      <c r="B594" t="s">
        <v>1298</v>
      </c>
      <c r="C594" t="s">
        <v>1299</v>
      </c>
      <c r="D594" s="2">
        <v>45955</v>
      </c>
      <c r="E594" t="s">
        <v>228</v>
      </c>
      <c r="F594" t="s">
        <v>228</v>
      </c>
      <c r="G594" t="s">
        <v>48</v>
      </c>
      <c r="H594" t="s">
        <v>5470</v>
      </c>
      <c r="I594" t="s">
        <v>29</v>
      </c>
      <c r="J594" t="s">
        <v>70</v>
      </c>
      <c r="K594">
        <v>7</v>
      </c>
      <c r="L594">
        <v>42</v>
      </c>
      <c r="M594">
        <v>49300</v>
      </c>
      <c r="N594">
        <v>0</v>
      </c>
      <c r="O594">
        <v>49300</v>
      </c>
      <c r="P594">
        <v>29300</v>
      </c>
      <c r="Q594">
        <v>20000</v>
      </c>
      <c r="R594">
        <v>40.57</v>
      </c>
      <c r="S594" t="s">
        <v>39</v>
      </c>
      <c r="T594">
        <v>4600</v>
      </c>
      <c r="U594">
        <v>4.2</v>
      </c>
      <c r="V594" t="s">
        <v>42</v>
      </c>
    </row>
    <row r="595" spans="1:22" x14ac:dyDescent="0.3">
      <c r="A595" t="s">
        <v>4241</v>
      </c>
      <c r="B595" t="s">
        <v>2775</v>
      </c>
      <c r="C595" t="s">
        <v>2776</v>
      </c>
      <c r="D595" s="2">
        <v>45955</v>
      </c>
      <c r="E595" t="s">
        <v>66</v>
      </c>
      <c r="F595" t="s">
        <v>66</v>
      </c>
      <c r="G595" t="s">
        <v>103</v>
      </c>
      <c r="H595" t="s">
        <v>5470</v>
      </c>
      <c r="I595" t="s">
        <v>29</v>
      </c>
      <c r="J595" t="s">
        <v>30</v>
      </c>
      <c r="K595">
        <v>3</v>
      </c>
      <c r="L595">
        <v>18</v>
      </c>
      <c r="M595">
        <v>44100</v>
      </c>
      <c r="N595">
        <v>2200</v>
      </c>
      <c r="O595">
        <v>41900</v>
      </c>
      <c r="P595">
        <v>25600</v>
      </c>
      <c r="Q595">
        <v>16300</v>
      </c>
      <c r="R595">
        <v>38.9</v>
      </c>
      <c r="S595" t="s">
        <v>182</v>
      </c>
      <c r="T595">
        <v>7100</v>
      </c>
      <c r="U595">
        <v>3.9</v>
      </c>
      <c r="V595" t="s">
        <v>82</v>
      </c>
    </row>
    <row r="596" spans="1:22" x14ac:dyDescent="0.3">
      <c r="A596" t="s">
        <v>5117</v>
      </c>
      <c r="B596" t="s">
        <v>3867</v>
      </c>
      <c r="C596" t="s">
        <v>3868</v>
      </c>
      <c r="D596" s="2">
        <v>45956</v>
      </c>
      <c r="E596" t="s">
        <v>188</v>
      </c>
      <c r="F596" t="s">
        <v>188</v>
      </c>
      <c r="G596" t="s">
        <v>67</v>
      </c>
      <c r="H596" t="s">
        <v>214</v>
      </c>
      <c r="I596" t="s">
        <v>69</v>
      </c>
      <c r="J596" t="s">
        <v>162</v>
      </c>
      <c r="K596">
        <v>6</v>
      </c>
      <c r="L596">
        <v>47</v>
      </c>
      <c r="M596">
        <v>152800</v>
      </c>
      <c r="N596">
        <v>7600</v>
      </c>
      <c r="O596">
        <v>145200</v>
      </c>
      <c r="P596">
        <v>101100</v>
      </c>
      <c r="Q596">
        <v>44100</v>
      </c>
      <c r="R596">
        <v>30.37</v>
      </c>
      <c r="S596" t="s">
        <v>97</v>
      </c>
      <c r="T596">
        <v>13500</v>
      </c>
      <c r="U596">
        <v>3.5</v>
      </c>
      <c r="V596" t="s">
        <v>79</v>
      </c>
    </row>
    <row r="597" spans="1:22" x14ac:dyDescent="0.3">
      <c r="A597" t="s">
        <v>2889</v>
      </c>
      <c r="B597" t="s">
        <v>2890</v>
      </c>
      <c r="C597" t="s">
        <v>2891</v>
      </c>
      <c r="D597" s="2">
        <v>45957</v>
      </c>
      <c r="E597" t="s">
        <v>161</v>
      </c>
      <c r="F597" t="s">
        <v>161</v>
      </c>
      <c r="G597" t="s">
        <v>118</v>
      </c>
      <c r="H597" t="s">
        <v>49</v>
      </c>
      <c r="I597" t="s">
        <v>69</v>
      </c>
      <c r="J597" t="s">
        <v>70</v>
      </c>
      <c r="K597">
        <v>5</v>
      </c>
      <c r="L597">
        <v>52</v>
      </c>
      <c r="M597">
        <v>19900</v>
      </c>
      <c r="N597">
        <v>1000</v>
      </c>
      <c r="O597">
        <v>18900</v>
      </c>
      <c r="P597">
        <v>8700</v>
      </c>
      <c r="Q597">
        <v>10200</v>
      </c>
      <c r="R597">
        <v>53.97</v>
      </c>
      <c r="S597" t="s">
        <v>58</v>
      </c>
      <c r="T597">
        <v>3200</v>
      </c>
      <c r="U597">
        <v>3.2</v>
      </c>
      <c r="V597" t="s">
        <v>58</v>
      </c>
    </row>
    <row r="598" spans="1:22" x14ac:dyDescent="0.3">
      <c r="A598" t="s">
        <v>4846</v>
      </c>
      <c r="B598" t="s">
        <v>2756</v>
      </c>
      <c r="C598" t="s">
        <v>2757</v>
      </c>
      <c r="D598" s="2">
        <v>45958</v>
      </c>
      <c r="E598" t="s">
        <v>134</v>
      </c>
      <c r="F598" t="s">
        <v>134</v>
      </c>
      <c r="G598" t="s">
        <v>27</v>
      </c>
      <c r="H598" t="s">
        <v>88</v>
      </c>
      <c r="I598" t="s">
        <v>69</v>
      </c>
      <c r="J598" t="s">
        <v>30</v>
      </c>
      <c r="K598">
        <v>3</v>
      </c>
      <c r="L598">
        <v>5</v>
      </c>
      <c r="M598">
        <v>21200</v>
      </c>
      <c r="N598">
        <v>0</v>
      </c>
      <c r="O598">
        <v>21200</v>
      </c>
      <c r="P598">
        <v>16300</v>
      </c>
      <c r="Q598">
        <v>4900</v>
      </c>
      <c r="R598">
        <v>23.11</v>
      </c>
      <c r="S598" t="s">
        <v>39</v>
      </c>
      <c r="T598">
        <v>1500</v>
      </c>
      <c r="U598">
        <v>3.8</v>
      </c>
      <c r="V598" t="s">
        <v>82</v>
      </c>
    </row>
    <row r="599" spans="1:22" x14ac:dyDescent="0.3">
      <c r="A599" t="s">
        <v>5096</v>
      </c>
      <c r="B599" t="s">
        <v>2495</v>
      </c>
      <c r="C599" t="s">
        <v>2496</v>
      </c>
      <c r="D599" s="2">
        <v>45958</v>
      </c>
      <c r="E599" t="s">
        <v>188</v>
      </c>
      <c r="F599" t="s">
        <v>188</v>
      </c>
      <c r="G599" t="s">
        <v>580</v>
      </c>
      <c r="H599" t="s">
        <v>214</v>
      </c>
      <c r="I599" t="s">
        <v>29</v>
      </c>
      <c r="J599" t="s">
        <v>162</v>
      </c>
      <c r="K599">
        <v>3</v>
      </c>
      <c r="L599">
        <v>59</v>
      </c>
      <c r="M599">
        <v>22000</v>
      </c>
      <c r="N599">
        <v>2200</v>
      </c>
      <c r="O599">
        <v>19800</v>
      </c>
      <c r="P599">
        <v>11800</v>
      </c>
      <c r="Q599">
        <v>8000</v>
      </c>
      <c r="R599">
        <v>40.4</v>
      </c>
      <c r="S599" t="s">
        <v>79</v>
      </c>
      <c r="T599">
        <v>1500</v>
      </c>
      <c r="U599">
        <v>4.4000000000000004</v>
      </c>
      <c r="V599" t="s">
        <v>58</v>
      </c>
    </row>
    <row r="600" spans="1:22" x14ac:dyDescent="0.3">
      <c r="A600" t="s">
        <v>1422</v>
      </c>
      <c r="B600" t="s">
        <v>962</v>
      </c>
      <c r="C600" t="s">
        <v>963</v>
      </c>
      <c r="D600" s="2">
        <v>45958</v>
      </c>
      <c r="E600" t="s">
        <v>282</v>
      </c>
      <c r="F600" t="s">
        <v>282</v>
      </c>
      <c r="G600" t="s">
        <v>147</v>
      </c>
      <c r="H600" t="s">
        <v>229</v>
      </c>
      <c r="I600" t="s">
        <v>29</v>
      </c>
      <c r="J600" t="s">
        <v>30</v>
      </c>
      <c r="K600">
        <v>5</v>
      </c>
      <c r="L600">
        <v>38</v>
      </c>
      <c r="M600">
        <v>83000</v>
      </c>
      <c r="N600">
        <v>4200</v>
      </c>
      <c r="O600">
        <v>78800</v>
      </c>
      <c r="P600">
        <v>42500</v>
      </c>
      <c r="Q600">
        <v>36300</v>
      </c>
      <c r="R600">
        <v>46.07</v>
      </c>
      <c r="S600" t="s">
        <v>126</v>
      </c>
      <c r="T600">
        <v>8800</v>
      </c>
      <c r="U600">
        <v>3.9</v>
      </c>
      <c r="V600" t="s">
        <v>58</v>
      </c>
    </row>
    <row r="601" spans="1:22" x14ac:dyDescent="0.3">
      <c r="A601" t="s">
        <v>3250</v>
      </c>
      <c r="B601" t="s">
        <v>1501</v>
      </c>
      <c r="C601" t="s">
        <v>1502</v>
      </c>
      <c r="D601" s="2">
        <v>45959</v>
      </c>
      <c r="E601" t="s">
        <v>161</v>
      </c>
      <c r="F601" t="s">
        <v>161</v>
      </c>
      <c r="G601" t="s">
        <v>147</v>
      </c>
      <c r="H601" t="s">
        <v>88</v>
      </c>
      <c r="I601" t="s">
        <v>29</v>
      </c>
      <c r="J601" t="s">
        <v>30</v>
      </c>
      <c r="K601">
        <v>2</v>
      </c>
      <c r="L601">
        <v>21</v>
      </c>
      <c r="M601">
        <v>26000</v>
      </c>
      <c r="N601">
        <v>0</v>
      </c>
      <c r="O601">
        <v>26000</v>
      </c>
      <c r="P601">
        <v>11300</v>
      </c>
      <c r="Q601">
        <v>14700</v>
      </c>
      <c r="R601">
        <v>56.54</v>
      </c>
      <c r="S601" t="s">
        <v>97</v>
      </c>
      <c r="T601">
        <v>1200</v>
      </c>
      <c r="U601">
        <v>3.5</v>
      </c>
      <c r="V601" t="s">
        <v>58</v>
      </c>
    </row>
    <row r="602" spans="1:22" x14ac:dyDescent="0.3">
      <c r="A602" t="s">
        <v>4036</v>
      </c>
      <c r="B602" t="s">
        <v>1816</v>
      </c>
      <c r="C602" t="s">
        <v>1817</v>
      </c>
      <c r="D602" s="2">
        <v>45959</v>
      </c>
      <c r="E602" t="s">
        <v>134</v>
      </c>
      <c r="F602" t="s">
        <v>134</v>
      </c>
      <c r="G602" t="s">
        <v>67</v>
      </c>
      <c r="H602" t="s">
        <v>68</v>
      </c>
      <c r="I602" t="s">
        <v>69</v>
      </c>
      <c r="J602" t="s">
        <v>30</v>
      </c>
      <c r="K602">
        <v>4</v>
      </c>
      <c r="L602">
        <v>42</v>
      </c>
      <c r="M602">
        <v>63700</v>
      </c>
      <c r="N602">
        <v>0</v>
      </c>
      <c r="O602">
        <v>63700</v>
      </c>
      <c r="P602">
        <v>44000</v>
      </c>
      <c r="Q602">
        <v>19700</v>
      </c>
      <c r="R602">
        <v>30.93</v>
      </c>
      <c r="S602" t="s">
        <v>182</v>
      </c>
      <c r="T602">
        <v>6700</v>
      </c>
      <c r="U602">
        <v>4.0999999999999996</v>
      </c>
      <c r="V602" t="s">
        <v>58</v>
      </c>
    </row>
    <row r="603" spans="1:22" x14ac:dyDescent="0.3">
      <c r="A603" t="s">
        <v>3111</v>
      </c>
      <c r="B603" t="s">
        <v>2057</v>
      </c>
      <c r="C603" t="s">
        <v>2058</v>
      </c>
      <c r="D603" s="2">
        <v>45959</v>
      </c>
      <c r="E603" t="s">
        <v>228</v>
      </c>
      <c r="F603" t="s">
        <v>228</v>
      </c>
      <c r="G603" t="s">
        <v>580</v>
      </c>
      <c r="H603" t="s">
        <v>214</v>
      </c>
      <c r="I603" t="s">
        <v>69</v>
      </c>
      <c r="J603" t="s">
        <v>70</v>
      </c>
      <c r="K603">
        <v>2</v>
      </c>
      <c r="L603">
        <v>58</v>
      </c>
      <c r="M603">
        <v>28300</v>
      </c>
      <c r="N603">
        <v>0</v>
      </c>
      <c r="O603">
        <v>28300</v>
      </c>
      <c r="P603">
        <v>16800</v>
      </c>
      <c r="Q603">
        <v>11500</v>
      </c>
      <c r="R603">
        <v>40.64</v>
      </c>
      <c r="S603" t="s">
        <v>39</v>
      </c>
      <c r="T603">
        <v>2300</v>
      </c>
      <c r="U603">
        <v>3</v>
      </c>
      <c r="V603" t="s">
        <v>58</v>
      </c>
    </row>
    <row r="604" spans="1:22" x14ac:dyDescent="0.3">
      <c r="A604" t="s">
        <v>3427</v>
      </c>
      <c r="B604" t="s">
        <v>185</v>
      </c>
      <c r="C604" t="s">
        <v>186</v>
      </c>
      <c r="D604" s="2">
        <v>45960</v>
      </c>
      <c r="E604" t="s">
        <v>188</v>
      </c>
      <c r="F604" t="s">
        <v>188</v>
      </c>
      <c r="G604" t="s">
        <v>103</v>
      </c>
      <c r="H604" t="s">
        <v>5470</v>
      </c>
      <c r="I604" t="s">
        <v>29</v>
      </c>
      <c r="J604" t="s">
        <v>70</v>
      </c>
      <c r="K604">
        <v>4</v>
      </c>
      <c r="L604">
        <v>16</v>
      </c>
      <c r="M604">
        <v>84800</v>
      </c>
      <c r="N604">
        <v>0</v>
      </c>
      <c r="O604">
        <v>84800</v>
      </c>
      <c r="P604">
        <v>69100</v>
      </c>
      <c r="Q604">
        <v>15700</v>
      </c>
      <c r="R604">
        <v>18.510000000000002</v>
      </c>
      <c r="S604" t="s">
        <v>58</v>
      </c>
      <c r="T604">
        <v>5500</v>
      </c>
      <c r="U604">
        <v>4.4000000000000004</v>
      </c>
      <c r="V604" t="s">
        <v>58</v>
      </c>
    </row>
    <row r="605" spans="1:22" x14ac:dyDescent="0.3">
      <c r="A605" t="s">
        <v>2942</v>
      </c>
      <c r="B605" t="s">
        <v>756</v>
      </c>
      <c r="C605" t="s">
        <v>757</v>
      </c>
      <c r="D605" s="2">
        <v>45960</v>
      </c>
      <c r="E605" t="s">
        <v>228</v>
      </c>
      <c r="F605" t="s">
        <v>228</v>
      </c>
      <c r="G605" t="s">
        <v>147</v>
      </c>
      <c r="H605" t="s">
        <v>28</v>
      </c>
      <c r="I605" t="s">
        <v>69</v>
      </c>
      <c r="J605" t="s">
        <v>30</v>
      </c>
      <c r="K605">
        <v>6</v>
      </c>
      <c r="L605">
        <v>82</v>
      </c>
      <c r="M605">
        <v>23200</v>
      </c>
      <c r="N605">
        <v>3500</v>
      </c>
      <c r="O605">
        <v>19700</v>
      </c>
      <c r="P605">
        <v>12600</v>
      </c>
      <c r="Q605">
        <v>7100</v>
      </c>
      <c r="R605">
        <v>36.04</v>
      </c>
      <c r="S605" t="s">
        <v>97</v>
      </c>
      <c r="T605">
        <v>1100</v>
      </c>
      <c r="U605">
        <v>4.0999999999999996</v>
      </c>
      <c r="V605" t="s">
        <v>114</v>
      </c>
    </row>
    <row r="606" spans="1:22" x14ac:dyDescent="0.3">
      <c r="A606" t="s">
        <v>4138</v>
      </c>
      <c r="B606" t="s">
        <v>2552</v>
      </c>
      <c r="C606" t="s">
        <v>2553</v>
      </c>
      <c r="D606" s="2">
        <v>45961</v>
      </c>
      <c r="E606" t="s">
        <v>188</v>
      </c>
      <c r="F606" t="s">
        <v>188</v>
      </c>
      <c r="G606" t="s">
        <v>147</v>
      </c>
      <c r="H606" t="s">
        <v>49</v>
      </c>
      <c r="I606" t="s">
        <v>69</v>
      </c>
      <c r="J606" t="s">
        <v>30</v>
      </c>
      <c r="K606">
        <v>5</v>
      </c>
      <c r="L606">
        <v>45</v>
      </c>
      <c r="M606">
        <v>26100</v>
      </c>
      <c r="N606">
        <v>3900</v>
      </c>
      <c r="O606">
        <v>22200</v>
      </c>
      <c r="P606">
        <v>12800</v>
      </c>
      <c r="Q606">
        <v>9400</v>
      </c>
      <c r="R606">
        <v>42.34</v>
      </c>
      <c r="S606" t="s">
        <v>97</v>
      </c>
      <c r="T606">
        <v>1600</v>
      </c>
      <c r="U606">
        <v>3.6</v>
      </c>
      <c r="V606" t="s">
        <v>58</v>
      </c>
    </row>
    <row r="607" spans="1:22" x14ac:dyDescent="0.3">
      <c r="A607" t="s">
        <v>1616</v>
      </c>
      <c r="B607" t="s">
        <v>1617</v>
      </c>
      <c r="C607" t="s">
        <v>1618</v>
      </c>
      <c r="D607" s="2">
        <v>45963</v>
      </c>
      <c r="E607" t="s">
        <v>66</v>
      </c>
      <c r="F607" t="s">
        <v>66</v>
      </c>
      <c r="G607" t="s">
        <v>67</v>
      </c>
      <c r="H607" t="s">
        <v>49</v>
      </c>
      <c r="I607" t="s">
        <v>69</v>
      </c>
      <c r="J607" t="s">
        <v>162</v>
      </c>
      <c r="K607">
        <v>5</v>
      </c>
      <c r="L607">
        <v>19</v>
      </c>
      <c r="M607">
        <v>38500</v>
      </c>
      <c r="N607">
        <v>0</v>
      </c>
      <c r="O607">
        <v>38500</v>
      </c>
      <c r="P607">
        <v>29500</v>
      </c>
      <c r="Q607">
        <v>9000</v>
      </c>
      <c r="R607">
        <v>23.38</v>
      </c>
      <c r="S607" t="s">
        <v>97</v>
      </c>
      <c r="T607">
        <v>5500</v>
      </c>
      <c r="U607">
        <v>3</v>
      </c>
      <c r="V607" t="s">
        <v>79</v>
      </c>
    </row>
    <row r="608" spans="1:22" x14ac:dyDescent="0.3">
      <c r="A608" t="s">
        <v>4570</v>
      </c>
      <c r="B608" t="s">
        <v>1195</v>
      </c>
      <c r="C608" t="s">
        <v>1196</v>
      </c>
      <c r="D608" s="2">
        <v>45963</v>
      </c>
      <c r="E608" t="s">
        <v>228</v>
      </c>
      <c r="F608" t="s">
        <v>228</v>
      </c>
      <c r="G608" t="s">
        <v>27</v>
      </c>
      <c r="H608" t="s">
        <v>229</v>
      </c>
      <c r="I608" t="s">
        <v>29</v>
      </c>
      <c r="J608" t="s">
        <v>162</v>
      </c>
      <c r="K608">
        <v>2</v>
      </c>
      <c r="L608">
        <v>10</v>
      </c>
      <c r="M608">
        <v>74700</v>
      </c>
      <c r="N608">
        <v>7500</v>
      </c>
      <c r="O608">
        <v>67200</v>
      </c>
      <c r="P608">
        <v>33900</v>
      </c>
      <c r="Q608">
        <v>33300</v>
      </c>
      <c r="R608">
        <v>49.55</v>
      </c>
      <c r="S608" t="s">
        <v>126</v>
      </c>
      <c r="T608">
        <v>7200</v>
      </c>
      <c r="U608">
        <v>3.9</v>
      </c>
      <c r="V608" t="s">
        <v>79</v>
      </c>
    </row>
    <row r="609" spans="1:22" x14ac:dyDescent="0.3">
      <c r="A609" t="s">
        <v>3771</v>
      </c>
      <c r="B609" t="s">
        <v>1226</v>
      </c>
      <c r="C609" t="s">
        <v>1227</v>
      </c>
      <c r="D609" s="2">
        <v>45963</v>
      </c>
      <c r="E609" t="s">
        <v>228</v>
      </c>
      <c r="F609" t="s">
        <v>228</v>
      </c>
      <c r="G609" t="s">
        <v>213</v>
      </c>
      <c r="H609" t="s">
        <v>229</v>
      </c>
      <c r="I609" t="s">
        <v>29</v>
      </c>
      <c r="J609" t="s">
        <v>70</v>
      </c>
      <c r="K609">
        <v>9</v>
      </c>
      <c r="L609">
        <v>33</v>
      </c>
      <c r="M609">
        <v>71200</v>
      </c>
      <c r="N609">
        <v>0</v>
      </c>
      <c r="O609">
        <v>71200</v>
      </c>
      <c r="P609">
        <v>38100</v>
      </c>
      <c r="Q609">
        <v>33100</v>
      </c>
      <c r="R609">
        <v>46.49</v>
      </c>
      <c r="S609" t="s">
        <v>97</v>
      </c>
      <c r="T609">
        <v>10200</v>
      </c>
      <c r="U609">
        <v>4.0999999999999996</v>
      </c>
      <c r="V609" t="s">
        <v>42</v>
      </c>
    </row>
    <row r="610" spans="1:22" x14ac:dyDescent="0.3">
      <c r="A610" t="s">
        <v>1018</v>
      </c>
      <c r="B610" t="s">
        <v>1019</v>
      </c>
      <c r="C610" t="s">
        <v>1020</v>
      </c>
      <c r="D610" s="2">
        <v>45964</v>
      </c>
      <c r="E610" t="s">
        <v>188</v>
      </c>
      <c r="F610" t="s">
        <v>188</v>
      </c>
      <c r="G610" t="s">
        <v>67</v>
      </c>
      <c r="H610" t="s">
        <v>49</v>
      </c>
      <c r="I610" t="s">
        <v>69</v>
      </c>
      <c r="J610" t="s">
        <v>70</v>
      </c>
      <c r="K610">
        <v>8</v>
      </c>
      <c r="L610">
        <v>26</v>
      </c>
      <c r="M610">
        <v>36000</v>
      </c>
      <c r="N610">
        <v>0</v>
      </c>
      <c r="O610">
        <v>36000</v>
      </c>
      <c r="P610">
        <v>19200</v>
      </c>
      <c r="Q610">
        <v>16800</v>
      </c>
      <c r="R610">
        <v>46.67</v>
      </c>
      <c r="S610" t="s">
        <v>58</v>
      </c>
      <c r="T610">
        <v>1800</v>
      </c>
      <c r="U610">
        <v>3.8</v>
      </c>
      <c r="V610" t="s">
        <v>79</v>
      </c>
    </row>
    <row r="611" spans="1:22" x14ac:dyDescent="0.3">
      <c r="A611" t="s">
        <v>4323</v>
      </c>
      <c r="B611" t="s">
        <v>3595</v>
      </c>
      <c r="C611" t="s">
        <v>3596</v>
      </c>
      <c r="D611" s="2">
        <v>45964</v>
      </c>
      <c r="E611" t="s">
        <v>26</v>
      </c>
      <c r="F611" t="s">
        <v>26</v>
      </c>
      <c r="G611" t="s">
        <v>147</v>
      </c>
      <c r="H611" t="s">
        <v>28</v>
      </c>
      <c r="I611" t="s">
        <v>29</v>
      </c>
      <c r="J611" t="s">
        <v>30</v>
      </c>
      <c r="K611">
        <v>9</v>
      </c>
      <c r="L611">
        <v>41</v>
      </c>
      <c r="M611">
        <v>46500</v>
      </c>
      <c r="N611">
        <v>2300</v>
      </c>
      <c r="O611">
        <v>44200</v>
      </c>
      <c r="P611">
        <v>29600</v>
      </c>
      <c r="Q611">
        <v>14600</v>
      </c>
      <c r="R611">
        <v>33.03</v>
      </c>
      <c r="S611" t="s">
        <v>79</v>
      </c>
      <c r="T611">
        <v>5600</v>
      </c>
      <c r="U611">
        <v>3.8</v>
      </c>
      <c r="V611" t="s">
        <v>82</v>
      </c>
    </row>
    <row r="612" spans="1:22" x14ac:dyDescent="0.3">
      <c r="A612" t="s">
        <v>3178</v>
      </c>
      <c r="B612" t="s">
        <v>2915</v>
      </c>
      <c r="C612" t="s">
        <v>2916</v>
      </c>
      <c r="D612" s="2">
        <v>45964</v>
      </c>
      <c r="E612" t="s">
        <v>244</v>
      </c>
      <c r="F612" t="s">
        <v>244</v>
      </c>
      <c r="G612" t="s">
        <v>103</v>
      </c>
      <c r="H612" t="s">
        <v>229</v>
      </c>
      <c r="I612" t="s">
        <v>69</v>
      </c>
      <c r="J612" t="s">
        <v>30</v>
      </c>
      <c r="K612">
        <v>7</v>
      </c>
      <c r="L612">
        <v>18</v>
      </c>
      <c r="M612">
        <v>50100</v>
      </c>
      <c r="N612">
        <v>0</v>
      </c>
      <c r="O612">
        <v>50100</v>
      </c>
      <c r="P612">
        <v>34800</v>
      </c>
      <c r="Q612">
        <v>15300</v>
      </c>
      <c r="R612">
        <v>30.54</v>
      </c>
      <c r="S612" t="s">
        <v>126</v>
      </c>
      <c r="T612">
        <v>7800</v>
      </c>
      <c r="U612">
        <v>4</v>
      </c>
      <c r="V612" t="s">
        <v>42</v>
      </c>
    </row>
    <row r="613" spans="1:22" x14ac:dyDescent="0.3">
      <c r="A613" t="s">
        <v>4162</v>
      </c>
      <c r="B613" t="s">
        <v>3028</v>
      </c>
      <c r="C613" t="s">
        <v>3029</v>
      </c>
      <c r="D613" s="2">
        <v>45965</v>
      </c>
      <c r="E613" t="s">
        <v>161</v>
      </c>
      <c r="F613" t="s">
        <v>161</v>
      </c>
      <c r="G613" t="s">
        <v>213</v>
      </c>
      <c r="H613" t="s">
        <v>268</v>
      </c>
      <c r="I613" t="s">
        <v>29</v>
      </c>
      <c r="J613" t="s">
        <v>30</v>
      </c>
      <c r="K613">
        <v>10</v>
      </c>
      <c r="L613">
        <v>42</v>
      </c>
      <c r="M613">
        <v>81500</v>
      </c>
      <c r="N613">
        <v>12200</v>
      </c>
      <c r="O613">
        <v>69300</v>
      </c>
      <c r="P613">
        <v>36800</v>
      </c>
      <c r="Q613">
        <v>32500</v>
      </c>
      <c r="R613">
        <v>46.9</v>
      </c>
      <c r="S613" t="s">
        <v>58</v>
      </c>
      <c r="T613">
        <v>11900</v>
      </c>
      <c r="U613">
        <v>4.5</v>
      </c>
      <c r="V613" t="s">
        <v>79</v>
      </c>
    </row>
    <row r="614" spans="1:22" x14ac:dyDescent="0.3">
      <c r="A614" t="s">
        <v>3005</v>
      </c>
      <c r="B614" t="s">
        <v>2478</v>
      </c>
      <c r="C614" t="s">
        <v>2479</v>
      </c>
      <c r="D614" s="2">
        <v>45965</v>
      </c>
      <c r="E614" t="s">
        <v>134</v>
      </c>
      <c r="F614" t="s">
        <v>134</v>
      </c>
      <c r="G614" t="s">
        <v>27</v>
      </c>
      <c r="H614" t="s">
        <v>229</v>
      </c>
      <c r="I614" t="s">
        <v>29</v>
      </c>
      <c r="J614" t="s">
        <v>30</v>
      </c>
      <c r="K614">
        <v>3</v>
      </c>
      <c r="L614">
        <v>54</v>
      </c>
      <c r="M614">
        <v>31300</v>
      </c>
      <c r="N614">
        <v>3100</v>
      </c>
      <c r="O614">
        <v>28200</v>
      </c>
      <c r="P614">
        <v>25600</v>
      </c>
      <c r="Q614">
        <v>2600</v>
      </c>
      <c r="R614">
        <v>9.2200000000000006</v>
      </c>
      <c r="S614" t="s">
        <v>58</v>
      </c>
      <c r="T614">
        <v>2000</v>
      </c>
      <c r="U614">
        <v>4.7</v>
      </c>
      <c r="V614" t="s">
        <v>114</v>
      </c>
    </row>
    <row r="615" spans="1:22" x14ac:dyDescent="0.3">
      <c r="A615" t="s">
        <v>3650</v>
      </c>
      <c r="B615" t="s">
        <v>3577</v>
      </c>
      <c r="C615" t="s">
        <v>3578</v>
      </c>
      <c r="D615" s="2">
        <v>45965</v>
      </c>
      <c r="E615" t="s">
        <v>66</v>
      </c>
      <c r="F615" t="s">
        <v>66</v>
      </c>
      <c r="G615" t="s">
        <v>103</v>
      </c>
      <c r="H615" t="s">
        <v>28</v>
      </c>
      <c r="I615" t="s">
        <v>69</v>
      </c>
      <c r="J615" t="s">
        <v>70</v>
      </c>
      <c r="K615">
        <v>8</v>
      </c>
      <c r="L615">
        <v>8</v>
      </c>
      <c r="M615">
        <v>73600</v>
      </c>
      <c r="N615">
        <v>11000</v>
      </c>
      <c r="O615">
        <v>62600</v>
      </c>
      <c r="P615">
        <v>57600</v>
      </c>
      <c r="Q615">
        <v>5000</v>
      </c>
      <c r="R615">
        <v>7.99</v>
      </c>
      <c r="S615" t="s">
        <v>58</v>
      </c>
      <c r="T615">
        <v>9000</v>
      </c>
      <c r="U615">
        <v>3.9</v>
      </c>
      <c r="V615" t="s">
        <v>82</v>
      </c>
    </row>
    <row r="616" spans="1:22" x14ac:dyDescent="0.3">
      <c r="A616" t="s">
        <v>4655</v>
      </c>
      <c r="B616" t="s">
        <v>3949</v>
      </c>
      <c r="C616" t="s">
        <v>3950</v>
      </c>
      <c r="D616" s="2">
        <v>45966</v>
      </c>
      <c r="E616" t="s">
        <v>244</v>
      </c>
      <c r="F616" t="s">
        <v>244</v>
      </c>
      <c r="G616" t="s">
        <v>27</v>
      </c>
      <c r="H616" t="s">
        <v>268</v>
      </c>
      <c r="I616" t="s">
        <v>69</v>
      </c>
      <c r="J616" t="s">
        <v>162</v>
      </c>
      <c r="K616">
        <v>7</v>
      </c>
      <c r="L616">
        <v>50</v>
      </c>
      <c r="M616">
        <v>28000</v>
      </c>
      <c r="N616">
        <v>5600</v>
      </c>
      <c r="O616">
        <v>22400</v>
      </c>
      <c r="P616">
        <v>13900</v>
      </c>
      <c r="Q616">
        <v>8500</v>
      </c>
      <c r="R616">
        <v>37.950000000000003</v>
      </c>
      <c r="S616" t="s">
        <v>97</v>
      </c>
      <c r="T616">
        <v>2700</v>
      </c>
      <c r="U616">
        <v>3.2</v>
      </c>
      <c r="V616" t="s">
        <v>58</v>
      </c>
    </row>
    <row r="617" spans="1:22" x14ac:dyDescent="0.3">
      <c r="A617" t="s">
        <v>4775</v>
      </c>
      <c r="B617" t="s">
        <v>995</v>
      </c>
      <c r="C617" t="s">
        <v>996</v>
      </c>
      <c r="D617" s="2">
        <v>45967</v>
      </c>
      <c r="E617" t="s">
        <v>134</v>
      </c>
      <c r="F617" t="s">
        <v>134</v>
      </c>
      <c r="G617" t="s">
        <v>103</v>
      </c>
      <c r="H617" t="s">
        <v>268</v>
      </c>
      <c r="I617" t="s">
        <v>69</v>
      </c>
      <c r="J617" t="s">
        <v>70</v>
      </c>
      <c r="K617">
        <v>7</v>
      </c>
      <c r="L617">
        <v>30</v>
      </c>
      <c r="M617">
        <v>58500</v>
      </c>
      <c r="N617">
        <v>5800</v>
      </c>
      <c r="O617">
        <v>52700</v>
      </c>
      <c r="P617">
        <v>36600</v>
      </c>
      <c r="Q617">
        <v>16100</v>
      </c>
      <c r="R617">
        <v>30.55</v>
      </c>
      <c r="S617" t="s">
        <v>126</v>
      </c>
      <c r="T617">
        <v>5700</v>
      </c>
      <c r="U617">
        <v>3.5</v>
      </c>
      <c r="V617" t="s">
        <v>58</v>
      </c>
    </row>
    <row r="618" spans="1:22" x14ac:dyDescent="0.3">
      <c r="A618" t="s">
        <v>1747</v>
      </c>
      <c r="B618" t="s">
        <v>1025</v>
      </c>
      <c r="C618" t="s">
        <v>1026</v>
      </c>
      <c r="D618" s="2">
        <v>45967</v>
      </c>
      <c r="E618" t="s">
        <v>188</v>
      </c>
      <c r="F618" t="s">
        <v>188</v>
      </c>
      <c r="G618" t="s">
        <v>48</v>
      </c>
      <c r="H618" t="s">
        <v>268</v>
      </c>
      <c r="I618" t="s">
        <v>29</v>
      </c>
      <c r="J618" t="s">
        <v>257</v>
      </c>
      <c r="K618">
        <v>4</v>
      </c>
      <c r="L618">
        <v>41</v>
      </c>
      <c r="M618">
        <v>120700</v>
      </c>
      <c r="N618">
        <v>6000</v>
      </c>
      <c r="O618">
        <v>114700</v>
      </c>
      <c r="P618">
        <v>90400</v>
      </c>
      <c r="Q618">
        <v>24300</v>
      </c>
      <c r="R618">
        <v>21.19</v>
      </c>
      <c r="S618" t="s">
        <v>126</v>
      </c>
      <c r="T618">
        <v>4700</v>
      </c>
      <c r="U618">
        <v>4.5999999999999996</v>
      </c>
      <c r="V618" t="s">
        <v>42</v>
      </c>
    </row>
    <row r="619" spans="1:22" x14ac:dyDescent="0.3">
      <c r="A619" t="s">
        <v>5365</v>
      </c>
      <c r="B619" t="s">
        <v>3972</v>
      </c>
      <c r="C619" t="s">
        <v>3973</v>
      </c>
      <c r="D619" s="2">
        <v>45968</v>
      </c>
      <c r="E619" t="s">
        <v>244</v>
      </c>
      <c r="F619" t="s">
        <v>244</v>
      </c>
      <c r="G619" t="s">
        <v>48</v>
      </c>
      <c r="H619" t="s">
        <v>68</v>
      </c>
      <c r="I619" t="s">
        <v>29</v>
      </c>
      <c r="J619" t="s">
        <v>30</v>
      </c>
      <c r="K619">
        <v>8</v>
      </c>
      <c r="L619">
        <v>34</v>
      </c>
      <c r="M619">
        <v>49800</v>
      </c>
      <c r="N619">
        <v>10000</v>
      </c>
      <c r="O619">
        <v>39800</v>
      </c>
      <c r="P619">
        <v>37500</v>
      </c>
      <c r="Q619">
        <v>2300</v>
      </c>
      <c r="R619">
        <v>5.78</v>
      </c>
      <c r="S619" t="s">
        <v>182</v>
      </c>
      <c r="T619">
        <v>5500</v>
      </c>
      <c r="U619">
        <v>5</v>
      </c>
      <c r="V619" t="s">
        <v>82</v>
      </c>
    </row>
    <row r="620" spans="1:22" x14ac:dyDescent="0.3">
      <c r="A620" t="s">
        <v>4077</v>
      </c>
      <c r="B620" t="s">
        <v>144</v>
      </c>
      <c r="C620" t="s">
        <v>145</v>
      </c>
      <c r="D620" s="2">
        <v>45969</v>
      </c>
      <c r="E620" t="s">
        <v>282</v>
      </c>
      <c r="F620" t="s">
        <v>282</v>
      </c>
      <c r="G620" t="s">
        <v>213</v>
      </c>
      <c r="H620" t="s">
        <v>88</v>
      </c>
      <c r="I620" t="s">
        <v>69</v>
      </c>
      <c r="J620" t="s">
        <v>30</v>
      </c>
      <c r="K620">
        <v>3</v>
      </c>
      <c r="L620">
        <v>18</v>
      </c>
      <c r="M620">
        <v>44400</v>
      </c>
      <c r="N620">
        <v>2200</v>
      </c>
      <c r="O620">
        <v>42200</v>
      </c>
      <c r="P620">
        <v>29000</v>
      </c>
      <c r="Q620">
        <v>13200</v>
      </c>
      <c r="R620">
        <v>31.28</v>
      </c>
      <c r="S620" t="s">
        <v>97</v>
      </c>
      <c r="T620">
        <v>7600</v>
      </c>
      <c r="U620">
        <v>5</v>
      </c>
      <c r="V620" t="s">
        <v>58</v>
      </c>
    </row>
    <row r="621" spans="1:22" x14ac:dyDescent="0.3">
      <c r="A621" t="s">
        <v>4615</v>
      </c>
      <c r="B621" t="s">
        <v>3972</v>
      </c>
      <c r="C621" t="s">
        <v>3973</v>
      </c>
      <c r="D621" s="2">
        <v>45969</v>
      </c>
      <c r="E621" t="s">
        <v>26</v>
      </c>
      <c r="F621" t="s">
        <v>26</v>
      </c>
      <c r="G621" t="s">
        <v>67</v>
      </c>
      <c r="H621" t="s">
        <v>68</v>
      </c>
      <c r="I621" t="s">
        <v>29</v>
      </c>
      <c r="J621" t="s">
        <v>30</v>
      </c>
      <c r="K621">
        <v>3</v>
      </c>
      <c r="L621">
        <v>40</v>
      </c>
      <c r="M621">
        <v>47400</v>
      </c>
      <c r="N621">
        <v>7100</v>
      </c>
      <c r="O621">
        <v>40300</v>
      </c>
      <c r="P621">
        <v>24900</v>
      </c>
      <c r="Q621">
        <v>15400</v>
      </c>
      <c r="R621">
        <v>38.21</v>
      </c>
      <c r="S621" t="s">
        <v>79</v>
      </c>
      <c r="T621">
        <v>5900</v>
      </c>
      <c r="U621">
        <v>3.5</v>
      </c>
      <c r="V621" t="s">
        <v>58</v>
      </c>
    </row>
    <row r="622" spans="1:22" x14ac:dyDescent="0.3">
      <c r="A622" t="s">
        <v>4359</v>
      </c>
      <c r="B622" t="s">
        <v>4360</v>
      </c>
      <c r="C622" t="s">
        <v>4361</v>
      </c>
      <c r="D622" s="2">
        <v>45969</v>
      </c>
      <c r="E622" t="s">
        <v>188</v>
      </c>
      <c r="F622" t="s">
        <v>188</v>
      </c>
      <c r="G622" t="s">
        <v>213</v>
      </c>
      <c r="H622" t="s">
        <v>229</v>
      </c>
      <c r="I622" t="s">
        <v>69</v>
      </c>
      <c r="J622" t="s">
        <v>30</v>
      </c>
      <c r="K622">
        <v>3</v>
      </c>
      <c r="L622">
        <v>23</v>
      </c>
      <c r="M622">
        <v>82000</v>
      </c>
      <c r="N622">
        <v>0</v>
      </c>
      <c r="O622">
        <v>82000</v>
      </c>
      <c r="P622">
        <v>50300</v>
      </c>
      <c r="Q622">
        <v>31700</v>
      </c>
      <c r="R622">
        <v>38.659999999999997</v>
      </c>
      <c r="S622" t="s">
        <v>126</v>
      </c>
      <c r="T622">
        <v>3400</v>
      </c>
      <c r="U622">
        <v>4.5999999999999996</v>
      </c>
      <c r="V622" t="s">
        <v>82</v>
      </c>
    </row>
    <row r="623" spans="1:22" x14ac:dyDescent="0.3">
      <c r="A623" t="s">
        <v>3474</v>
      </c>
      <c r="B623" t="s">
        <v>3103</v>
      </c>
      <c r="C623" t="s">
        <v>3104</v>
      </c>
      <c r="D623" s="2">
        <v>45969</v>
      </c>
      <c r="E623" t="s">
        <v>282</v>
      </c>
      <c r="F623" t="s">
        <v>282</v>
      </c>
      <c r="G623" t="s">
        <v>213</v>
      </c>
      <c r="H623" t="s">
        <v>268</v>
      </c>
      <c r="I623" t="s">
        <v>69</v>
      </c>
      <c r="J623" t="s">
        <v>162</v>
      </c>
      <c r="K623">
        <v>4</v>
      </c>
      <c r="L623">
        <v>5</v>
      </c>
      <c r="M623">
        <v>36400</v>
      </c>
      <c r="N623">
        <v>7300</v>
      </c>
      <c r="O623">
        <v>29100</v>
      </c>
      <c r="P623">
        <v>20200</v>
      </c>
      <c r="Q623">
        <v>8900</v>
      </c>
      <c r="R623">
        <v>30.58</v>
      </c>
      <c r="S623" t="s">
        <v>79</v>
      </c>
      <c r="T623">
        <v>5200</v>
      </c>
      <c r="U623">
        <v>4.0999999999999996</v>
      </c>
      <c r="V623" t="s">
        <v>79</v>
      </c>
    </row>
    <row r="624" spans="1:22" x14ac:dyDescent="0.3">
      <c r="A624" t="s">
        <v>3705</v>
      </c>
      <c r="B624" t="s">
        <v>3448</v>
      </c>
      <c r="C624" t="s">
        <v>3449</v>
      </c>
      <c r="D624" s="2">
        <v>45970</v>
      </c>
      <c r="E624" t="s">
        <v>134</v>
      </c>
      <c r="F624" t="s">
        <v>134</v>
      </c>
      <c r="G624" t="s">
        <v>213</v>
      </c>
      <c r="H624" t="s">
        <v>49</v>
      </c>
      <c r="I624" t="s">
        <v>69</v>
      </c>
      <c r="J624" t="s">
        <v>30</v>
      </c>
      <c r="K624">
        <v>7</v>
      </c>
      <c r="L624">
        <v>21</v>
      </c>
      <c r="M624">
        <v>79900</v>
      </c>
      <c r="N624">
        <v>0</v>
      </c>
      <c r="O624">
        <v>79900</v>
      </c>
      <c r="P624">
        <v>52700</v>
      </c>
      <c r="Q624">
        <v>27200</v>
      </c>
      <c r="R624">
        <v>34.04</v>
      </c>
      <c r="S624" t="s">
        <v>182</v>
      </c>
      <c r="T624">
        <v>7400</v>
      </c>
      <c r="U624">
        <v>3.6</v>
      </c>
      <c r="V624" t="s">
        <v>114</v>
      </c>
    </row>
    <row r="625" spans="1:22" x14ac:dyDescent="0.3">
      <c r="A625" t="s">
        <v>4646</v>
      </c>
      <c r="B625" t="s">
        <v>3041</v>
      </c>
      <c r="C625" t="s">
        <v>3042</v>
      </c>
      <c r="D625" s="2">
        <v>45970</v>
      </c>
      <c r="E625" t="s">
        <v>282</v>
      </c>
      <c r="F625" t="s">
        <v>282</v>
      </c>
      <c r="G625" t="s">
        <v>27</v>
      </c>
      <c r="H625" t="s">
        <v>68</v>
      </c>
      <c r="I625" t="s">
        <v>69</v>
      </c>
      <c r="J625" t="s">
        <v>30</v>
      </c>
      <c r="K625">
        <v>5</v>
      </c>
      <c r="L625">
        <v>37</v>
      </c>
      <c r="M625">
        <v>15000</v>
      </c>
      <c r="N625">
        <v>0</v>
      </c>
      <c r="O625">
        <v>15000</v>
      </c>
      <c r="P625">
        <v>10100</v>
      </c>
      <c r="Q625">
        <v>4900</v>
      </c>
      <c r="R625">
        <v>32.67</v>
      </c>
      <c r="S625" t="s">
        <v>5471</v>
      </c>
      <c r="T625">
        <v>1500</v>
      </c>
      <c r="U625">
        <v>4</v>
      </c>
      <c r="V625" t="s">
        <v>82</v>
      </c>
    </row>
    <row r="626" spans="1:22" x14ac:dyDescent="0.3">
      <c r="A626" t="s">
        <v>4678</v>
      </c>
      <c r="B626" t="s">
        <v>809</v>
      </c>
      <c r="C626" t="s">
        <v>810</v>
      </c>
      <c r="D626" s="2">
        <v>45970</v>
      </c>
      <c r="E626" t="s">
        <v>134</v>
      </c>
      <c r="F626" t="s">
        <v>134</v>
      </c>
      <c r="G626" t="s">
        <v>213</v>
      </c>
      <c r="H626" t="s">
        <v>28</v>
      </c>
      <c r="I626" t="s">
        <v>29</v>
      </c>
      <c r="J626" t="s">
        <v>30</v>
      </c>
      <c r="K626">
        <v>3</v>
      </c>
      <c r="L626">
        <v>49</v>
      </c>
      <c r="M626">
        <v>24100</v>
      </c>
      <c r="N626">
        <v>0</v>
      </c>
      <c r="O626">
        <v>24100</v>
      </c>
      <c r="P626">
        <v>19500</v>
      </c>
      <c r="Q626">
        <v>4600</v>
      </c>
      <c r="R626">
        <v>19.09</v>
      </c>
      <c r="S626" t="s">
        <v>58</v>
      </c>
      <c r="T626">
        <v>3000</v>
      </c>
      <c r="U626">
        <v>3.1</v>
      </c>
      <c r="V626" t="s">
        <v>42</v>
      </c>
    </row>
    <row r="627" spans="1:22" x14ac:dyDescent="0.3">
      <c r="A627" t="s">
        <v>5446</v>
      </c>
      <c r="B627" t="s">
        <v>869</v>
      </c>
      <c r="C627" t="s">
        <v>870</v>
      </c>
      <c r="D627" s="2">
        <v>45971</v>
      </c>
      <c r="E627" t="s">
        <v>134</v>
      </c>
      <c r="F627" t="s">
        <v>134</v>
      </c>
      <c r="G627" t="s">
        <v>118</v>
      </c>
      <c r="H627" t="s">
        <v>5471</v>
      </c>
      <c r="I627" t="s">
        <v>69</v>
      </c>
      <c r="J627" t="s">
        <v>30</v>
      </c>
      <c r="K627">
        <v>6</v>
      </c>
      <c r="L627">
        <v>23</v>
      </c>
      <c r="M627">
        <v>56900</v>
      </c>
      <c r="N627">
        <v>8500</v>
      </c>
      <c r="O627">
        <v>48400</v>
      </c>
      <c r="P627">
        <v>43300</v>
      </c>
      <c r="Q627">
        <v>5100</v>
      </c>
      <c r="R627">
        <v>10.54</v>
      </c>
      <c r="S627" t="s">
        <v>126</v>
      </c>
      <c r="T627">
        <v>6600</v>
      </c>
      <c r="U627">
        <v>4.0999999999999996</v>
      </c>
      <c r="V627" t="s">
        <v>79</v>
      </c>
    </row>
    <row r="628" spans="1:22" x14ac:dyDescent="0.3">
      <c r="A628" t="s">
        <v>5289</v>
      </c>
      <c r="B628" t="s">
        <v>2851</v>
      </c>
      <c r="C628" t="s">
        <v>2852</v>
      </c>
      <c r="D628" s="2">
        <v>45971</v>
      </c>
      <c r="E628" t="s">
        <v>134</v>
      </c>
      <c r="F628" t="s">
        <v>134</v>
      </c>
      <c r="G628" t="s">
        <v>48</v>
      </c>
      <c r="H628" t="s">
        <v>229</v>
      </c>
      <c r="I628" t="s">
        <v>29</v>
      </c>
      <c r="J628" t="s">
        <v>162</v>
      </c>
      <c r="K628">
        <v>3</v>
      </c>
      <c r="L628">
        <v>57</v>
      </c>
      <c r="M628">
        <v>69200</v>
      </c>
      <c r="N628">
        <v>3500</v>
      </c>
      <c r="O628">
        <v>65700</v>
      </c>
      <c r="P628">
        <v>46700</v>
      </c>
      <c r="Q628">
        <v>19000</v>
      </c>
      <c r="R628">
        <v>28.92</v>
      </c>
      <c r="S628" t="s">
        <v>182</v>
      </c>
      <c r="T628">
        <v>5700</v>
      </c>
      <c r="U628">
        <v>4</v>
      </c>
      <c r="V628" t="s">
        <v>79</v>
      </c>
    </row>
    <row r="629" spans="1:22" x14ac:dyDescent="0.3">
      <c r="A629" t="s">
        <v>4799</v>
      </c>
      <c r="B629" t="s">
        <v>2453</v>
      </c>
      <c r="C629" t="s">
        <v>2454</v>
      </c>
      <c r="D629" s="2">
        <v>45972</v>
      </c>
      <c r="E629" t="s">
        <v>244</v>
      </c>
      <c r="F629" t="s">
        <v>244</v>
      </c>
      <c r="G629" t="s">
        <v>580</v>
      </c>
      <c r="H629" t="s">
        <v>214</v>
      </c>
      <c r="I629" t="s">
        <v>29</v>
      </c>
      <c r="J629" t="s">
        <v>70</v>
      </c>
      <c r="K629">
        <v>7</v>
      </c>
      <c r="L629">
        <v>34</v>
      </c>
      <c r="M629">
        <v>30500</v>
      </c>
      <c r="N629">
        <v>0</v>
      </c>
      <c r="O629">
        <v>30500</v>
      </c>
      <c r="P629">
        <v>16200</v>
      </c>
      <c r="Q629">
        <v>14300</v>
      </c>
      <c r="R629">
        <v>46.89</v>
      </c>
      <c r="S629" t="s">
        <v>39</v>
      </c>
      <c r="T629">
        <v>1500</v>
      </c>
      <c r="U629">
        <v>2.9</v>
      </c>
      <c r="V629" t="s">
        <v>79</v>
      </c>
    </row>
    <row r="630" spans="1:22" x14ac:dyDescent="0.3">
      <c r="A630" t="s">
        <v>2742</v>
      </c>
      <c r="B630" t="s">
        <v>2743</v>
      </c>
      <c r="C630" t="s">
        <v>2744</v>
      </c>
      <c r="D630" s="2">
        <v>45972</v>
      </c>
      <c r="E630" t="s">
        <v>282</v>
      </c>
      <c r="F630" t="s">
        <v>282</v>
      </c>
      <c r="G630" t="s">
        <v>213</v>
      </c>
      <c r="H630" t="s">
        <v>5470</v>
      </c>
      <c r="I630" t="s">
        <v>29</v>
      </c>
      <c r="J630" t="s">
        <v>70</v>
      </c>
      <c r="K630">
        <v>7</v>
      </c>
      <c r="L630">
        <v>26</v>
      </c>
      <c r="M630">
        <v>27200</v>
      </c>
      <c r="N630">
        <v>4100</v>
      </c>
      <c r="O630">
        <v>23100</v>
      </c>
      <c r="P630">
        <v>17400</v>
      </c>
      <c r="Q630">
        <v>5700</v>
      </c>
      <c r="R630">
        <v>24.68</v>
      </c>
      <c r="S630" t="s">
        <v>97</v>
      </c>
      <c r="T630">
        <v>1000</v>
      </c>
      <c r="U630">
        <v>4</v>
      </c>
      <c r="V630" t="s">
        <v>114</v>
      </c>
    </row>
    <row r="631" spans="1:22" x14ac:dyDescent="0.3">
      <c r="A631" t="s">
        <v>2398</v>
      </c>
      <c r="B631" t="s">
        <v>1131</v>
      </c>
      <c r="C631" t="s">
        <v>1132</v>
      </c>
      <c r="D631" s="2">
        <v>45972</v>
      </c>
      <c r="E631" t="s">
        <v>134</v>
      </c>
      <c r="F631" t="s">
        <v>134</v>
      </c>
      <c r="G631" t="s">
        <v>118</v>
      </c>
      <c r="H631" t="s">
        <v>268</v>
      </c>
      <c r="I631" t="s">
        <v>69</v>
      </c>
      <c r="J631" t="s">
        <v>70</v>
      </c>
      <c r="K631">
        <v>8</v>
      </c>
      <c r="L631">
        <v>86</v>
      </c>
      <c r="M631">
        <v>38200</v>
      </c>
      <c r="N631">
        <v>7600</v>
      </c>
      <c r="O631">
        <v>30600</v>
      </c>
      <c r="P631">
        <v>29300</v>
      </c>
      <c r="Q631">
        <v>1300</v>
      </c>
      <c r="R631">
        <v>4.25</v>
      </c>
      <c r="S631" t="s">
        <v>182</v>
      </c>
      <c r="T631">
        <v>3200</v>
      </c>
      <c r="U631">
        <v>5</v>
      </c>
      <c r="V631" t="s">
        <v>82</v>
      </c>
    </row>
    <row r="632" spans="1:22" x14ac:dyDescent="0.3">
      <c r="A632" t="s">
        <v>3126</v>
      </c>
      <c r="B632" t="s">
        <v>2163</v>
      </c>
      <c r="C632" t="s">
        <v>2164</v>
      </c>
      <c r="D632" s="2">
        <v>45973</v>
      </c>
      <c r="E632" t="s">
        <v>244</v>
      </c>
      <c r="F632" t="s">
        <v>244</v>
      </c>
      <c r="G632" t="s">
        <v>67</v>
      </c>
      <c r="H632" t="s">
        <v>68</v>
      </c>
      <c r="I632" t="s">
        <v>69</v>
      </c>
      <c r="J632" t="s">
        <v>70</v>
      </c>
      <c r="K632">
        <v>6</v>
      </c>
      <c r="L632">
        <v>33</v>
      </c>
      <c r="M632">
        <v>18000</v>
      </c>
      <c r="N632">
        <v>0</v>
      </c>
      <c r="O632">
        <v>18000</v>
      </c>
      <c r="P632">
        <v>10000</v>
      </c>
      <c r="Q632">
        <v>8000</v>
      </c>
      <c r="R632">
        <v>44.44</v>
      </c>
      <c r="S632" t="s">
        <v>39</v>
      </c>
      <c r="T632">
        <v>3100</v>
      </c>
      <c r="U632">
        <v>3.8</v>
      </c>
      <c r="V632" t="s">
        <v>114</v>
      </c>
    </row>
    <row r="633" spans="1:22" x14ac:dyDescent="0.3">
      <c r="A633" t="s">
        <v>2186</v>
      </c>
      <c r="B633" t="s">
        <v>2187</v>
      </c>
      <c r="C633" t="s">
        <v>2188</v>
      </c>
      <c r="D633" s="2">
        <v>45973</v>
      </c>
      <c r="E633" t="s">
        <v>134</v>
      </c>
      <c r="F633" t="s">
        <v>134</v>
      </c>
      <c r="G633" t="s">
        <v>27</v>
      </c>
      <c r="H633" t="s">
        <v>68</v>
      </c>
      <c r="I633" t="s">
        <v>69</v>
      </c>
      <c r="J633" t="s">
        <v>30</v>
      </c>
      <c r="K633">
        <v>9</v>
      </c>
      <c r="L633">
        <v>44</v>
      </c>
      <c r="M633">
        <v>31800</v>
      </c>
      <c r="N633">
        <v>3200</v>
      </c>
      <c r="O633">
        <v>28600</v>
      </c>
      <c r="P633">
        <v>13700</v>
      </c>
      <c r="Q633">
        <v>14900</v>
      </c>
      <c r="R633">
        <v>52.1</v>
      </c>
      <c r="S633" t="s">
        <v>97</v>
      </c>
      <c r="T633">
        <v>4700</v>
      </c>
      <c r="U633">
        <v>4.3</v>
      </c>
      <c r="V633" t="s">
        <v>82</v>
      </c>
    </row>
    <row r="634" spans="1:22" x14ac:dyDescent="0.3">
      <c r="A634" t="s">
        <v>1868</v>
      </c>
      <c r="B634" t="s">
        <v>1869</v>
      </c>
      <c r="C634" t="s">
        <v>1870</v>
      </c>
      <c r="D634" s="2">
        <v>45973</v>
      </c>
      <c r="E634" t="s">
        <v>26</v>
      </c>
      <c r="F634" t="s">
        <v>26</v>
      </c>
      <c r="G634" t="s">
        <v>27</v>
      </c>
      <c r="H634" t="s">
        <v>68</v>
      </c>
      <c r="I634" t="s">
        <v>29</v>
      </c>
      <c r="J634" t="s">
        <v>30</v>
      </c>
      <c r="K634">
        <v>9</v>
      </c>
      <c r="L634">
        <v>54</v>
      </c>
      <c r="M634">
        <v>37800</v>
      </c>
      <c r="N634">
        <v>7600</v>
      </c>
      <c r="O634">
        <v>30200</v>
      </c>
      <c r="P634">
        <v>29000</v>
      </c>
      <c r="Q634">
        <v>1200</v>
      </c>
      <c r="R634">
        <v>3.97</v>
      </c>
      <c r="S634" t="s">
        <v>39</v>
      </c>
      <c r="T634">
        <v>1800</v>
      </c>
      <c r="U634">
        <v>4.5</v>
      </c>
      <c r="V634" t="s">
        <v>114</v>
      </c>
    </row>
    <row r="635" spans="1:22" x14ac:dyDescent="0.3">
      <c r="A635" t="s">
        <v>5011</v>
      </c>
      <c r="B635" t="s">
        <v>1701</v>
      </c>
      <c r="C635" t="s">
        <v>1702</v>
      </c>
      <c r="D635" s="2">
        <v>45974</v>
      </c>
      <c r="E635" t="s">
        <v>244</v>
      </c>
      <c r="F635" t="s">
        <v>244</v>
      </c>
      <c r="G635" t="s">
        <v>48</v>
      </c>
      <c r="H635" t="s">
        <v>68</v>
      </c>
      <c r="I635" t="s">
        <v>29</v>
      </c>
      <c r="J635" t="s">
        <v>70</v>
      </c>
      <c r="K635">
        <v>4</v>
      </c>
      <c r="L635">
        <v>49</v>
      </c>
      <c r="M635">
        <v>33100</v>
      </c>
      <c r="N635">
        <v>5000</v>
      </c>
      <c r="O635">
        <v>28100</v>
      </c>
      <c r="P635">
        <v>21100</v>
      </c>
      <c r="Q635">
        <v>7000</v>
      </c>
      <c r="R635">
        <v>24.91</v>
      </c>
      <c r="S635" t="s">
        <v>58</v>
      </c>
      <c r="T635">
        <v>1400</v>
      </c>
      <c r="U635">
        <v>3.4</v>
      </c>
      <c r="V635" t="s">
        <v>42</v>
      </c>
    </row>
    <row r="636" spans="1:22" x14ac:dyDescent="0.3">
      <c r="A636" t="s">
        <v>3083</v>
      </c>
      <c r="B636" t="s">
        <v>2487</v>
      </c>
      <c r="C636" t="s">
        <v>2488</v>
      </c>
      <c r="D636" s="2">
        <v>45974</v>
      </c>
      <c r="E636" t="s">
        <v>134</v>
      </c>
      <c r="F636" t="s">
        <v>134</v>
      </c>
      <c r="G636" t="s">
        <v>213</v>
      </c>
      <c r="H636" t="s">
        <v>68</v>
      </c>
      <c r="I636" t="s">
        <v>29</v>
      </c>
      <c r="J636" t="s">
        <v>162</v>
      </c>
      <c r="K636">
        <v>10</v>
      </c>
      <c r="L636">
        <v>47</v>
      </c>
      <c r="M636">
        <v>93200</v>
      </c>
      <c r="N636">
        <v>9300</v>
      </c>
      <c r="O636">
        <v>83900</v>
      </c>
      <c r="P636">
        <v>41100</v>
      </c>
      <c r="Q636">
        <v>42800</v>
      </c>
      <c r="R636">
        <v>51.01</v>
      </c>
      <c r="S636" t="s">
        <v>126</v>
      </c>
      <c r="T636">
        <v>12200</v>
      </c>
      <c r="U636">
        <v>5</v>
      </c>
      <c r="V636" t="s">
        <v>42</v>
      </c>
    </row>
    <row r="637" spans="1:22" x14ac:dyDescent="0.3">
      <c r="A637" t="s">
        <v>4469</v>
      </c>
      <c r="B637" t="s">
        <v>2317</v>
      </c>
      <c r="C637" t="s">
        <v>2318</v>
      </c>
      <c r="D637" s="2">
        <v>45974</v>
      </c>
      <c r="E637" t="s">
        <v>244</v>
      </c>
      <c r="F637" t="s">
        <v>244</v>
      </c>
      <c r="G637" t="s">
        <v>103</v>
      </c>
      <c r="H637" t="s">
        <v>268</v>
      </c>
      <c r="I637" t="s">
        <v>69</v>
      </c>
      <c r="J637" t="s">
        <v>30</v>
      </c>
      <c r="K637">
        <v>5</v>
      </c>
      <c r="L637">
        <v>15</v>
      </c>
      <c r="M637">
        <v>23900</v>
      </c>
      <c r="N637">
        <v>4800</v>
      </c>
      <c r="O637">
        <v>19100</v>
      </c>
      <c r="P637">
        <v>17400</v>
      </c>
      <c r="Q637">
        <v>1700</v>
      </c>
      <c r="R637">
        <v>8.9</v>
      </c>
      <c r="S637" t="s">
        <v>39</v>
      </c>
      <c r="T637">
        <v>1000</v>
      </c>
      <c r="U637">
        <v>4.8</v>
      </c>
      <c r="V637" t="s">
        <v>58</v>
      </c>
    </row>
    <row r="638" spans="1:22" x14ac:dyDescent="0.3">
      <c r="A638" t="s">
        <v>1250</v>
      </c>
      <c r="B638" t="s">
        <v>1251</v>
      </c>
      <c r="C638" t="s">
        <v>1252</v>
      </c>
      <c r="D638" s="2">
        <v>45975</v>
      </c>
      <c r="E638" t="s">
        <v>26</v>
      </c>
      <c r="F638" t="s">
        <v>26</v>
      </c>
      <c r="G638" t="s">
        <v>27</v>
      </c>
      <c r="H638" t="s">
        <v>5470</v>
      </c>
      <c r="I638" t="s">
        <v>69</v>
      </c>
      <c r="J638" t="s">
        <v>30</v>
      </c>
      <c r="K638">
        <v>7</v>
      </c>
      <c r="L638">
        <v>33</v>
      </c>
      <c r="M638">
        <v>24800</v>
      </c>
      <c r="N638">
        <v>0</v>
      </c>
      <c r="O638">
        <v>24800</v>
      </c>
      <c r="P638">
        <v>13600</v>
      </c>
      <c r="Q638">
        <v>11200</v>
      </c>
      <c r="R638">
        <v>45.16</v>
      </c>
      <c r="S638" t="s">
        <v>182</v>
      </c>
      <c r="T638">
        <v>1000</v>
      </c>
      <c r="U638">
        <v>3</v>
      </c>
      <c r="V638" t="s">
        <v>58</v>
      </c>
    </row>
    <row r="639" spans="1:22" x14ac:dyDescent="0.3">
      <c r="A639" t="s">
        <v>4697</v>
      </c>
      <c r="B639" t="s">
        <v>3448</v>
      </c>
      <c r="C639" t="s">
        <v>3449</v>
      </c>
      <c r="D639" s="2">
        <v>45976</v>
      </c>
      <c r="E639" t="s">
        <v>66</v>
      </c>
      <c r="F639" t="s">
        <v>66</v>
      </c>
      <c r="G639" t="s">
        <v>103</v>
      </c>
      <c r="H639" t="s">
        <v>5470</v>
      </c>
      <c r="I639" t="s">
        <v>69</v>
      </c>
      <c r="J639" t="s">
        <v>70</v>
      </c>
      <c r="K639">
        <v>2</v>
      </c>
      <c r="L639">
        <v>46</v>
      </c>
      <c r="M639">
        <v>31100</v>
      </c>
      <c r="N639">
        <v>4700</v>
      </c>
      <c r="O639">
        <v>26400</v>
      </c>
      <c r="P639">
        <v>23400</v>
      </c>
      <c r="Q639">
        <v>3000</v>
      </c>
      <c r="R639">
        <v>11.36</v>
      </c>
      <c r="S639" t="s">
        <v>39</v>
      </c>
      <c r="T639">
        <v>4400</v>
      </c>
      <c r="U639">
        <v>4.4000000000000004</v>
      </c>
      <c r="V639" t="s">
        <v>42</v>
      </c>
    </row>
    <row r="640" spans="1:22" x14ac:dyDescent="0.3">
      <c r="A640" t="s">
        <v>4920</v>
      </c>
      <c r="B640" t="s">
        <v>2504</v>
      </c>
      <c r="C640" t="s">
        <v>2505</v>
      </c>
      <c r="D640" s="2">
        <v>45976</v>
      </c>
      <c r="E640" t="s">
        <v>66</v>
      </c>
      <c r="F640" t="s">
        <v>66</v>
      </c>
      <c r="G640" t="s">
        <v>118</v>
      </c>
      <c r="H640" t="s">
        <v>28</v>
      </c>
      <c r="I640" t="s">
        <v>69</v>
      </c>
      <c r="J640" t="s">
        <v>70</v>
      </c>
      <c r="K640">
        <v>7</v>
      </c>
      <c r="L640">
        <v>28</v>
      </c>
      <c r="M640">
        <v>30800</v>
      </c>
      <c r="N640">
        <v>0</v>
      </c>
      <c r="O640">
        <v>30800</v>
      </c>
      <c r="P640">
        <v>14500</v>
      </c>
      <c r="Q640">
        <v>16300</v>
      </c>
      <c r="R640">
        <v>52.92</v>
      </c>
      <c r="S640" t="s">
        <v>39</v>
      </c>
      <c r="T640">
        <v>4400</v>
      </c>
      <c r="U640">
        <v>3.6</v>
      </c>
      <c r="V640" t="s">
        <v>82</v>
      </c>
    </row>
    <row r="641" spans="1:22" x14ac:dyDescent="0.3">
      <c r="A641" t="s">
        <v>3196</v>
      </c>
      <c r="B641" t="s">
        <v>1869</v>
      </c>
      <c r="C641" t="s">
        <v>1870</v>
      </c>
      <c r="D641" s="2">
        <v>45976</v>
      </c>
      <c r="E641" t="s">
        <v>26</v>
      </c>
      <c r="F641" t="s">
        <v>26</v>
      </c>
      <c r="G641" t="s">
        <v>118</v>
      </c>
      <c r="H641" t="s">
        <v>214</v>
      </c>
      <c r="I641" t="s">
        <v>29</v>
      </c>
      <c r="J641" t="s">
        <v>70</v>
      </c>
      <c r="K641">
        <v>2</v>
      </c>
      <c r="L641">
        <v>30</v>
      </c>
      <c r="M641">
        <v>60000</v>
      </c>
      <c r="N641">
        <v>3000</v>
      </c>
      <c r="O641">
        <v>57000</v>
      </c>
      <c r="P641">
        <v>30900</v>
      </c>
      <c r="Q641">
        <v>26100</v>
      </c>
      <c r="R641">
        <v>45.79</v>
      </c>
      <c r="S641" t="s">
        <v>39</v>
      </c>
      <c r="T641">
        <v>8500</v>
      </c>
      <c r="U641">
        <v>4.0999999999999996</v>
      </c>
      <c r="V641" t="s">
        <v>42</v>
      </c>
    </row>
    <row r="642" spans="1:22" x14ac:dyDescent="0.3">
      <c r="A642" t="s">
        <v>3997</v>
      </c>
      <c r="B642" t="s">
        <v>1501</v>
      </c>
      <c r="C642" t="s">
        <v>1502</v>
      </c>
      <c r="D642" s="2">
        <v>45977</v>
      </c>
      <c r="E642" t="s">
        <v>244</v>
      </c>
      <c r="F642" t="s">
        <v>244</v>
      </c>
      <c r="G642" t="s">
        <v>67</v>
      </c>
      <c r="H642" t="s">
        <v>68</v>
      </c>
      <c r="I642" t="s">
        <v>29</v>
      </c>
      <c r="J642" t="s">
        <v>30</v>
      </c>
      <c r="K642">
        <v>8</v>
      </c>
      <c r="L642">
        <v>59</v>
      </c>
      <c r="M642">
        <v>61600</v>
      </c>
      <c r="N642">
        <v>0</v>
      </c>
      <c r="O642">
        <v>61600</v>
      </c>
      <c r="P642">
        <v>28100</v>
      </c>
      <c r="Q642">
        <v>33500</v>
      </c>
      <c r="R642">
        <v>54.38</v>
      </c>
      <c r="S642" t="s">
        <v>79</v>
      </c>
      <c r="T642">
        <v>9000</v>
      </c>
      <c r="U642">
        <v>2.8</v>
      </c>
      <c r="V642" t="s">
        <v>79</v>
      </c>
    </row>
    <row r="643" spans="1:22" x14ac:dyDescent="0.3">
      <c r="A643" t="s">
        <v>4315</v>
      </c>
      <c r="B643" t="s">
        <v>3670</v>
      </c>
      <c r="C643" t="s">
        <v>3671</v>
      </c>
      <c r="D643" s="2">
        <v>45978</v>
      </c>
      <c r="E643" t="s">
        <v>66</v>
      </c>
      <c r="F643" t="s">
        <v>66</v>
      </c>
      <c r="G643" t="s">
        <v>103</v>
      </c>
      <c r="H643" t="s">
        <v>5470</v>
      </c>
      <c r="I643" t="s">
        <v>69</v>
      </c>
      <c r="J643" t="s">
        <v>70</v>
      </c>
      <c r="K643">
        <v>3</v>
      </c>
      <c r="L643">
        <v>36</v>
      </c>
      <c r="M643">
        <v>36500</v>
      </c>
      <c r="N643">
        <v>3600</v>
      </c>
      <c r="O643">
        <v>32900</v>
      </c>
      <c r="P643">
        <v>19700</v>
      </c>
      <c r="Q643">
        <v>13200</v>
      </c>
      <c r="R643">
        <v>40.119999999999997</v>
      </c>
      <c r="S643" t="s">
        <v>79</v>
      </c>
      <c r="T643">
        <v>1500</v>
      </c>
      <c r="U643">
        <v>4.7</v>
      </c>
      <c r="V643" t="s">
        <v>58</v>
      </c>
    </row>
    <row r="644" spans="1:22" x14ac:dyDescent="0.3">
      <c r="A644" t="s">
        <v>3745</v>
      </c>
      <c r="B644" t="s">
        <v>279</v>
      </c>
      <c r="C644" t="s">
        <v>280</v>
      </c>
      <c r="D644" s="2">
        <v>45978</v>
      </c>
      <c r="E644" t="s">
        <v>66</v>
      </c>
      <c r="F644" t="s">
        <v>66</v>
      </c>
      <c r="G644" t="s">
        <v>580</v>
      </c>
      <c r="H644" t="s">
        <v>68</v>
      </c>
      <c r="I644" t="s">
        <v>69</v>
      </c>
      <c r="J644" t="s">
        <v>162</v>
      </c>
      <c r="K644">
        <v>8</v>
      </c>
      <c r="L644">
        <v>44</v>
      </c>
      <c r="M644">
        <v>87300</v>
      </c>
      <c r="N644">
        <v>4400</v>
      </c>
      <c r="O644">
        <v>82900</v>
      </c>
      <c r="P644">
        <v>50400</v>
      </c>
      <c r="Q644">
        <v>32500</v>
      </c>
      <c r="R644">
        <v>39.200000000000003</v>
      </c>
      <c r="S644" t="s">
        <v>182</v>
      </c>
      <c r="T644">
        <v>7300</v>
      </c>
      <c r="U644">
        <v>4.4000000000000004</v>
      </c>
      <c r="V644" t="s">
        <v>79</v>
      </c>
    </row>
    <row r="645" spans="1:22" x14ac:dyDescent="0.3">
      <c r="A645" t="s">
        <v>2662</v>
      </c>
      <c r="B645" t="s">
        <v>1869</v>
      </c>
      <c r="C645" t="s">
        <v>1870</v>
      </c>
      <c r="D645" s="2">
        <v>45978</v>
      </c>
      <c r="E645" t="s">
        <v>228</v>
      </c>
      <c r="F645" t="s">
        <v>228</v>
      </c>
      <c r="G645" t="s">
        <v>67</v>
      </c>
      <c r="H645" t="s">
        <v>229</v>
      </c>
      <c r="I645" t="s">
        <v>29</v>
      </c>
      <c r="J645" t="s">
        <v>70</v>
      </c>
      <c r="K645">
        <v>5</v>
      </c>
      <c r="L645">
        <v>19</v>
      </c>
      <c r="M645">
        <v>25200</v>
      </c>
      <c r="N645">
        <v>2500</v>
      </c>
      <c r="O645">
        <v>22700</v>
      </c>
      <c r="P645">
        <v>10600</v>
      </c>
      <c r="Q645">
        <v>12100</v>
      </c>
      <c r="R645">
        <v>53.3</v>
      </c>
      <c r="S645" t="s">
        <v>79</v>
      </c>
      <c r="T645">
        <v>4000</v>
      </c>
      <c r="U645">
        <v>3.6</v>
      </c>
      <c r="V645" t="s">
        <v>82</v>
      </c>
    </row>
    <row r="646" spans="1:22" x14ac:dyDescent="0.3">
      <c r="A646" t="s">
        <v>3851</v>
      </c>
      <c r="B646" t="s">
        <v>1343</v>
      </c>
      <c r="C646" t="s">
        <v>1344</v>
      </c>
      <c r="D646" s="2">
        <v>45979</v>
      </c>
      <c r="E646" t="s">
        <v>66</v>
      </c>
      <c r="F646" t="s">
        <v>66</v>
      </c>
      <c r="G646" t="s">
        <v>213</v>
      </c>
      <c r="H646" t="s">
        <v>28</v>
      </c>
      <c r="I646" t="s">
        <v>69</v>
      </c>
      <c r="J646" t="s">
        <v>30</v>
      </c>
      <c r="K646">
        <v>7</v>
      </c>
      <c r="L646">
        <v>34</v>
      </c>
      <c r="M646">
        <v>35800</v>
      </c>
      <c r="N646">
        <v>0</v>
      </c>
      <c r="O646">
        <v>35800</v>
      </c>
      <c r="P646">
        <v>21500</v>
      </c>
      <c r="Q646">
        <v>14300</v>
      </c>
      <c r="R646">
        <v>39.94</v>
      </c>
      <c r="S646" t="s">
        <v>58</v>
      </c>
      <c r="T646">
        <v>5000</v>
      </c>
      <c r="U646">
        <v>4</v>
      </c>
      <c r="V646" t="s">
        <v>114</v>
      </c>
    </row>
    <row r="647" spans="1:22" x14ac:dyDescent="0.3">
      <c r="A647" t="s">
        <v>1467</v>
      </c>
      <c r="B647" t="s">
        <v>1468</v>
      </c>
      <c r="C647" t="s">
        <v>1469</v>
      </c>
      <c r="D647" s="2">
        <v>45979</v>
      </c>
      <c r="E647" t="s">
        <v>188</v>
      </c>
      <c r="F647" t="s">
        <v>188</v>
      </c>
      <c r="G647" t="s">
        <v>147</v>
      </c>
      <c r="H647" t="s">
        <v>68</v>
      </c>
      <c r="I647" t="s">
        <v>69</v>
      </c>
      <c r="J647" t="s">
        <v>30</v>
      </c>
      <c r="K647">
        <v>6</v>
      </c>
      <c r="L647">
        <v>40</v>
      </c>
      <c r="M647">
        <v>114900</v>
      </c>
      <c r="N647">
        <v>11500</v>
      </c>
      <c r="O647">
        <v>103400</v>
      </c>
      <c r="P647">
        <v>88200</v>
      </c>
      <c r="Q647">
        <v>15200</v>
      </c>
      <c r="R647">
        <v>14.7</v>
      </c>
      <c r="S647" t="s">
        <v>58</v>
      </c>
      <c r="T647">
        <v>16400</v>
      </c>
      <c r="U647">
        <v>4.4000000000000004</v>
      </c>
      <c r="V647" t="s">
        <v>58</v>
      </c>
    </row>
    <row r="648" spans="1:22" x14ac:dyDescent="0.3">
      <c r="A648" t="s">
        <v>4771</v>
      </c>
      <c r="B648" t="s">
        <v>444</v>
      </c>
      <c r="C648" t="s">
        <v>445</v>
      </c>
      <c r="D648" s="2">
        <v>45979</v>
      </c>
      <c r="E648" t="s">
        <v>66</v>
      </c>
      <c r="F648" t="s">
        <v>66</v>
      </c>
      <c r="G648" t="s">
        <v>67</v>
      </c>
      <c r="H648" t="s">
        <v>68</v>
      </c>
      <c r="I648" t="s">
        <v>29</v>
      </c>
      <c r="J648" t="s">
        <v>30</v>
      </c>
      <c r="K648">
        <v>7</v>
      </c>
      <c r="L648">
        <v>67</v>
      </c>
      <c r="M648">
        <v>18000</v>
      </c>
      <c r="N648">
        <v>3600</v>
      </c>
      <c r="O648">
        <v>14400</v>
      </c>
      <c r="P648">
        <v>14600</v>
      </c>
      <c r="Q648">
        <v>-200</v>
      </c>
      <c r="R648">
        <v>-1.39</v>
      </c>
      <c r="S648" t="s">
        <v>5471</v>
      </c>
      <c r="T648">
        <v>2400</v>
      </c>
      <c r="U648">
        <v>4.7</v>
      </c>
      <c r="V648" t="s">
        <v>79</v>
      </c>
    </row>
    <row r="649" spans="1:22" x14ac:dyDescent="0.3">
      <c r="A649" t="s">
        <v>3184</v>
      </c>
      <c r="B649" t="s">
        <v>631</v>
      </c>
      <c r="C649" t="s">
        <v>632</v>
      </c>
      <c r="D649" s="2">
        <v>45980</v>
      </c>
      <c r="E649" t="s">
        <v>66</v>
      </c>
      <c r="F649" t="s">
        <v>66</v>
      </c>
      <c r="G649" t="s">
        <v>580</v>
      </c>
      <c r="H649" t="s">
        <v>49</v>
      </c>
      <c r="I649" t="s">
        <v>69</v>
      </c>
      <c r="J649" t="s">
        <v>30</v>
      </c>
      <c r="K649">
        <v>2</v>
      </c>
      <c r="L649">
        <v>43</v>
      </c>
      <c r="M649">
        <v>37800</v>
      </c>
      <c r="N649">
        <v>5700</v>
      </c>
      <c r="O649">
        <v>32100</v>
      </c>
      <c r="P649">
        <v>21300</v>
      </c>
      <c r="Q649">
        <v>10800</v>
      </c>
      <c r="R649">
        <v>33.64</v>
      </c>
      <c r="S649" t="s">
        <v>126</v>
      </c>
      <c r="T649">
        <v>5100</v>
      </c>
      <c r="U649">
        <v>3.7</v>
      </c>
      <c r="V649" t="s">
        <v>79</v>
      </c>
    </row>
    <row r="650" spans="1:22" x14ac:dyDescent="0.3">
      <c r="A650" t="s">
        <v>5424</v>
      </c>
      <c r="B650" t="s">
        <v>2504</v>
      </c>
      <c r="C650" t="s">
        <v>2505</v>
      </c>
      <c r="D650" s="2">
        <v>45982</v>
      </c>
      <c r="E650" t="s">
        <v>228</v>
      </c>
      <c r="F650" t="s">
        <v>228</v>
      </c>
      <c r="G650" t="s">
        <v>580</v>
      </c>
      <c r="H650" t="s">
        <v>229</v>
      </c>
      <c r="I650" t="s">
        <v>69</v>
      </c>
      <c r="J650" t="s">
        <v>30</v>
      </c>
      <c r="K650">
        <v>9</v>
      </c>
      <c r="L650">
        <v>5</v>
      </c>
      <c r="M650">
        <v>29600</v>
      </c>
      <c r="N650">
        <v>5900</v>
      </c>
      <c r="O650">
        <v>23700</v>
      </c>
      <c r="P650">
        <v>14200</v>
      </c>
      <c r="Q650">
        <v>9500</v>
      </c>
      <c r="R650">
        <v>40.08</v>
      </c>
      <c r="S650" t="s">
        <v>182</v>
      </c>
      <c r="T650">
        <v>2400</v>
      </c>
      <c r="U650">
        <v>3.9</v>
      </c>
      <c r="V650" t="s">
        <v>58</v>
      </c>
    </row>
    <row r="651" spans="1:22" x14ac:dyDescent="0.3">
      <c r="A651" t="s">
        <v>5398</v>
      </c>
      <c r="B651" t="s">
        <v>3048</v>
      </c>
      <c r="C651" t="s">
        <v>3049</v>
      </c>
      <c r="D651" s="2">
        <v>45983</v>
      </c>
      <c r="E651" t="s">
        <v>228</v>
      </c>
      <c r="F651" t="s">
        <v>228</v>
      </c>
      <c r="G651" t="s">
        <v>48</v>
      </c>
      <c r="H651" t="s">
        <v>88</v>
      </c>
      <c r="I651" t="s">
        <v>69</v>
      </c>
      <c r="J651" t="s">
        <v>30</v>
      </c>
      <c r="K651">
        <v>2</v>
      </c>
      <c r="L651">
        <v>26</v>
      </c>
      <c r="M651">
        <v>131700</v>
      </c>
      <c r="N651">
        <v>0</v>
      </c>
      <c r="O651">
        <v>131700</v>
      </c>
      <c r="P651">
        <v>78800</v>
      </c>
      <c r="Q651">
        <v>52900</v>
      </c>
      <c r="R651">
        <v>40.17</v>
      </c>
      <c r="S651" t="s">
        <v>182</v>
      </c>
      <c r="T651">
        <v>20300</v>
      </c>
      <c r="U651">
        <v>4.0999999999999996</v>
      </c>
      <c r="V651" t="s">
        <v>114</v>
      </c>
    </row>
    <row r="652" spans="1:22" x14ac:dyDescent="0.3">
      <c r="A652" t="s">
        <v>3086</v>
      </c>
      <c r="B652" t="s">
        <v>1804</v>
      </c>
      <c r="C652" t="s">
        <v>1805</v>
      </c>
      <c r="D652" s="2">
        <v>45983</v>
      </c>
      <c r="E652" t="s">
        <v>26</v>
      </c>
      <c r="F652" t="s">
        <v>26</v>
      </c>
      <c r="G652" t="s">
        <v>48</v>
      </c>
      <c r="H652" t="s">
        <v>28</v>
      </c>
      <c r="I652" t="s">
        <v>29</v>
      </c>
      <c r="J652" t="s">
        <v>70</v>
      </c>
      <c r="K652">
        <v>4</v>
      </c>
      <c r="L652">
        <v>35</v>
      </c>
      <c r="M652">
        <v>23100</v>
      </c>
      <c r="N652">
        <v>0</v>
      </c>
      <c r="O652">
        <v>23100</v>
      </c>
      <c r="P652">
        <v>12900</v>
      </c>
      <c r="Q652">
        <v>10200</v>
      </c>
      <c r="R652">
        <v>44.16</v>
      </c>
      <c r="S652" t="s">
        <v>126</v>
      </c>
      <c r="T652">
        <v>1900</v>
      </c>
      <c r="U652">
        <v>4.2</v>
      </c>
      <c r="V652" t="s">
        <v>79</v>
      </c>
    </row>
    <row r="653" spans="1:22" x14ac:dyDescent="0.3">
      <c r="A653" t="s">
        <v>2656</v>
      </c>
      <c r="B653" t="s">
        <v>2657</v>
      </c>
      <c r="C653" t="s">
        <v>2658</v>
      </c>
      <c r="D653" s="2">
        <v>45983</v>
      </c>
      <c r="E653" t="s">
        <v>26</v>
      </c>
      <c r="F653" t="s">
        <v>26</v>
      </c>
      <c r="G653" t="s">
        <v>213</v>
      </c>
      <c r="H653" t="s">
        <v>229</v>
      </c>
      <c r="I653" t="s">
        <v>29</v>
      </c>
      <c r="J653" t="s">
        <v>30</v>
      </c>
      <c r="K653">
        <v>9</v>
      </c>
      <c r="L653">
        <v>26</v>
      </c>
      <c r="M653">
        <v>47700</v>
      </c>
      <c r="N653">
        <v>0</v>
      </c>
      <c r="O653">
        <v>47700</v>
      </c>
      <c r="P653">
        <v>26900</v>
      </c>
      <c r="Q653">
        <v>20800</v>
      </c>
      <c r="R653">
        <v>43.61</v>
      </c>
      <c r="S653" t="s">
        <v>126</v>
      </c>
      <c r="T653">
        <v>8400</v>
      </c>
      <c r="U653">
        <v>3.6</v>
      </c>
      <c r="V653" t="s">
        <v>79</v>
      </c>
    </row>
    <row r="654" spans="1:22" x14ac:dyDescent="0.3">
      <c r="A654" t="s">
        <v>2218</v>
      </c>
      <c r="B654" t="s">
        <v>2219</v>
      </c>
      <c r="C654" t="s">
        <v>2220</v>
      </c>
      <c r="D654" s="2">
        <v>45984</v>
      </c>
      <c r="E654" t="s">
        <v>228</v>
      </c>
      <c r="F654" t="s">
        <v>228</v>
      </c>
      <c r="G654" t="s">
        <v>147</v>
      </c>
      <c r="H654" t="s">
        <v>214</v>
      </c>
      <c r="I654" t="s">
        <v>29</v>
      </c>
      <c r="J654" t="s">
        <v>30</v>
      </c>
      <c r="K654">
        <v>5</v>
      </c>
      <c r="L654">
        <v>5</v>
      </c>
      <c r="M654">
        <v>47900</v>
      </c>
      <c r="N654">
        <v>9600</v>
      </c>
      <c r="O654">
        <v>38300</v>
      </c>
      <c r="P654">
        <v>27400</v>
      </c>
      <c r="Q654">
        <v>10900</v>
      </c>
      <c r="R654">
        <v>28.46</v>
      </c>
      <c r="S654" t="s">
        <v>182</v>
      </c>
      <c r="T654">
        <v>5800</v>
      </c>
      <c r="U654">
        <v>4.8</v>
      </c>
      <c r="V654" t="s">
        <v>82</v>
      </c>
    </row>
    <row r="655" spans="1:22" x14ac:dyDescent="0.3">
      <c r="A655" t="s">
        <v>3203</v>
      </c>
      <c r="B655" t="s">
        <v>3204</v>
      </c>
      <c r="C655" t="s">
        <v>3205</v>
      </c>
      <c r="D655" s="2">
        <v>45984</v>
      </c>
      <c r="E655" t="s">
        <v>66</v>
      </c>
      <c r="F655" t="s">
        <v>66</v>
      </c>
      <c r="G655" t="s">
        <v>213</v>
      </c>
      <c r="H655" t="s">
        <v>68</v>
      </c>
      <c r="I655" t="s">
        <v>69</v>
      </c>
      <c r="J655" t="s">
        <v>70</v>
      </c>
      <c r="K655">
        <v>9</v>
      </c>
      <c r="L655">
        <v>45</v>
      </c>
      <c r="M655">
        <v>85700</v>
      </c>
      <c r="N655">
        <v>4300</v>
      </c>
      <c r="O655">
        <v>81400</v>
      </c>
      <c r="P655">
        <v>48800</v>
      </c>
      <c r="Q655">
        <v>32600</v>
      </c>
      <c r="R655">
        <v>40.049999999999997</v>
      </c>
      <c r="S655" t="s">
        <v>126</v>
      </c>
      <c r="T655">
        <v>14200</v>
      </c>
      <c r="U655">
        <v>5</v>
      </c>
      <c r="V655" t="s">
        <v>42</v>
      </c>
    </row>
    <row r="656" spans="1:22" x14ac:dyDescent="0.3">
      <c r="A656" t="s">
        <v>4596</v>
      </c>
      <c r="B656" t="s">
        <v>409</v>
      </c>
      <c r="C656" t="s">
        <v>410</v>
      </c>
      <c r="D656" s="2">
        <v>45984</v>
      </c>
      <c r="E656" t="s">
        <v>26</v>
      </c>
      <c r="F656" t="s">
        <v>26</v>
      </c>
      <c r="G656" t="s">
        <v>580</v>
      </c>
      <c r="H656" t="s">
        <v>229</v>
      </c>
      <c r="I656" t="s">
        <v>29</v>
      </c>
      <c r="J656" t="s">
        <v>70</v>
      </c>
      <c r="K656">
        <v>2</v>
      </c>
      <c r="L656">
        <v>75</v>
      </c>
      <c r="M656">
        <v>32300</v>
      </c>
      <c r="N656">
        <v>6500</v>
      </c>
      <c r="O656">
        <v>25800</v>
      </c>
      <c r="P656">
        <v>21600</v>
      </c>
      <c r="Q656">
        <v>4200</v>
      </c>
      <c r="R656">
        <v>16.28</v>
      </c>
      <c r="S656" t="s">
        <v>79</v>
      </c>
      <c r="T656">
        <v>2900</v>
      </c>
      <c r="U656">
        <v>4.2</v>
      </c>
      <c r="V656" t="s">
        <v>58</v>
      </c>
    </row>
    <row r="657" spans="1:22" x14ac:dyDescent="0.3">
      <c r="A657" t="s">
        <v>4599</v>
      </c>
      <c r="B657" t="s">
        <v>2851</v>
      </c>
      <c r="C657" t="s">
        <v>2852</v>
      </c>
      <c r="D657" s="2">
        <v>45985</v>
      </c>
      <c r="E657" t="s">
        <v>161</v>
      </c>
      <c r="F657" t="s">
        <v>161</v>
      </c>
      <c r="G657" t="s">
        <v>580</v>
      </c>
      <c r="H657" t="s">
        <v>88</v>
      </c>
      <c r="I657" t="s">
        <v>29</v>
      </c>
      <c r="J657" t="s">
        <v>30</v>
      </c>
      <c r="K657">
        <v>5</v>
      </c>
      <c r="L657">
        <v>47</v>
      </c>
      <c r="M657">
        <v>46200</v>
      </c>
      <c r="N657">
        <v>4600</v>
      </c>
      <c r="O657">
        <v>41600</v>
      </c>
      <c r="P657">
        <v>27900</v>
      </c>
      <c r="Q657">
        <v>13700</v>
      </c>
      <c r="R657">
        <v>32.93</v>
      </c>
      <c r="S657" t="s">
        <v>126</v>
      </c>
      <c r="T657">
        <v>3300</v>
      </c>
      <c r="U657">
        <v>5</v>
      </c>
      <c r="V657" t="s">
        <v>79</v>
      </c>
    </row>
    <row r="658" spans="1:22" x14ac:dyDescent="0.3">
      <c r="A658" t="s">
        <v>3710</v>
      </c>
      <c r="B658" t="s">
        <v>2697</v>
      </c>
      <c r="C658" t="s">
        <v>2698</v>
      </c>
      <c r="D658" s="2">
        <v>45985</v>
      </c>
      <c r="E658" t="s">
        <v>161</v>
      </c>
      <c r="F658" t="s">
        <v>161</v>
      </c>
      <c r="G658" t="s">
        <v>213</v>
      </c>
      <c r="H658" t="s">
        <v>268</v>
      </c>
      <c r="I658" t="s">
        <v>69</v>
      </c>
      <c r="J658" t="s">
        <v>30</v>
      </c>
      <c r="K658">
        <v>9</v>
      </c>
      <c r="L658">
        <v>59</v>
      </c>
      <c r="M658">
        <v>74800</v>
      </c>
      <c r="N658">
        <v>3700</v>
      </c>
      <c r="O658">
        <v>71100</v>
      </c>
      <c r="P658">
        <v>32900</v>
      </c>
      <c r="Q658">
        <v>38200</v>
      </c>
      <c r="R658">
        <v>53.73</v>
      </c>
      <c r="S658" t="s">
        <v>79</v>
      </c>
      <c r="T658">
        <v>7500</v>
      </c>
      <c r="U658">
        <v>4.3</v>
      </c>
      <c r="V658" t="s">
        <v>58</v>
      </c>
    </row>
    <row r="659" spans="1:22" x14ac:dyDescent="0.3">
      <c r="A659" t="s">
        <v>2265</v>
      </c>
      <c r="B659" t="s">
        <v>2266</v>
      </c>
      <c r="C659" t="s">
        <v>2267</v>
      </c>
      <c r="D659" s="2">
        <v>45985</v>
      </c>
      <c r="E659" t="s">
        <v>134</v>
      </c>
      <c r="F659" t="s">
        <v>134</v>
      </c>
      <c r="G659" t="s">
        <v>118</v>
      </c>
      <c r="H659" t="s">
        <v>214</v>
      </c>
      <c r="I659" t="s">
        <v>69</v>
      </c>
      <c r="J659" t="s">
        <v>70</v>
      </c>
      <c r="K659">
        <v>4</v>
      </c>
      <c r="L659">
        <v>36</v>
      </c>
      <c r="M659">
        <v>25800</v>
      </c>
      <c r="N659">
        <v>3900</v>
      </c>
      <c r="O659">
        <v>21900</v>
      </c>
      <c r="P659">
        <v>12600</v>
      </c>
      <c r="Q659">
        <v>9300</v>
      </c>
      <c r="R659">
        <v>42.47</v>
      </c>
      <c r="S659" t="s">
        <v>39</v>
      </c>
      <c r="T659">
        <v>2800</v>
      </c>
      <c r="U659">
        <v>3.8</v>
      </c>
      <c r="V659" t="s">
        <v>82</v>
      </c>
    </row>
    <row r="660" spans="1:22" x14ac:dyDescent="0.3">
      <c r="A660" t="s">
        <v>2134</v>
      </c>
      <c r="B660" t="s">
        <v>2135</v>
      </c>
      <c r="C660" t="s">
        <v>2136</v>
      </c>
      <c r="D660" s="2">
        <v>45985</v>
      </c>
      <c r="E660" t="s">
        <v>161</v>
      </c>
      <c r="F660" t="s">
        <v>161</v>
      </c>
      <c r="G660" t="s">
        <v>118</v>
      </c>
      <c r="H660" t="s">
        <v>5470</v>
      </c>
      <c r="I660" t="s">
        <v>69</v>
      </c>
      <c r="J660" t="s">
        <v>70</v>
      </c>
      <c r="K660">
        <v>6</v>
      </c>
      <c r="L660">
        <v>42</v>
      </c>
      <c r="M660">
        <v>46200</v>
      </c>
      <c r="N660">
        <v>0</v>
      </c>
      <c r="O660">
        <v>46200</v>
      </c>
      <c r="P660">
        <v>34100</v>
      </c>
      <c r="Q660">
        <v>12100</v>
      </c>
      <c r="R660">
        <v>26.19</v>
      </c>
      <c r="S660" t="s">
        <v>182</v>
      </c>
      <c r="T660">
        <v>3200</v>
      </c>
      <c r="U660">
        <v>4.0999999999999996</v>
      </c>
      <c r="V660" t="s">
        <v>42</v>
      </c>
    </row>
    <row r="661" spans="1:22" x14ac:dyDescent="0.3">
      <c r="A661" t="s">
        <v>5314</v>
      </c>
      <c r="B661" t="s">
        <v>4752</v>
      </c>
      <c r="C661" t="s">
        <v>4753</v>
      </c>
      <c r="D661" s="2">
        <v>45985</v>
      </c>
      <c r="E661" t="s">
        <v>188</v>
      </c>
      <c r="F661" t="s">
        <v>188</v>
      </c>
      <c r="G661" t="s">
        <v>118</v>
      </c>
      <c r="H661" t="s">
        <v>49</v>
      </c>
      <c r="I661" t="s">
        <v>29</v>
      </c>
      <c r="J661" t="s">
        <v>30</v>
      </c>
      <c r="K661">
        <v>10</v>
      </c>
      <c r="L661">
        <v>41</v>
      </c>
      <c r="M661">
        <v>28000</v>
      </c>
      <c r="N661">
        <v>0</v>
      </c>
      <c r="O661">
        <v>28000</v>
      </c>
      <c r="P661">
        <v>17700</v>
      </c>
      <c r="Q661">
        <v>10300</v>
      </c>
      <c r="R661">
        <v>36.79</v>
      </c>
      <c r="S661" t="s">
        <v>182</v>
      </c>
      <c r="T661">
        <v>4200</v>
      </c>
      <c r="U661">
        <v>4</v>
      </c>
      <c r="V661" t="s">
        <v>58</v>
      </c>
    </row>
    <row r="662" spans="1:22" x14ac:dyDescent="0.3">
      <c r="A662" t="s">
        <v>1898</v>
      </c>
      <c r="B662" t="s">
        <v>1899</v>
      </c>
      <c r="C662" t="s">
        <v>1900</v>
      </c>
      <c r="D662" s="2">
        <v>45986</v>
      </c>
      <c r="E662" t="s">
        <v>228</v>
      </c>
      <c r="F662" t="s">
        <v>228</v>
      </c>
      <c r="G662" t="s">
        <v>48</v>
      </c>
      <c r="H662" t="s">
        <v>229</v>
      </c>
      <c r="I662" t="s">
        <v>29</v>
      </c>
      <c r="J662" t="s">
        <v>30</v>
      </c>
      <c r="K662">
        <v>5</v>
      </c>
      <c r="L662">
        <v>31</v>
      </c>
      <c r="M662">
        <v>31700</v>
      </c>
      <c r="N662">
        <v>3200</v>
      </c>
      <c r="O662">
        <v>28500</v>
      </c>
      <c r="P662">
        <v>22100</v>
      </c>
      <c r="Q662">
        <v>6400</v>
      </c>
      <c r="R662">
        <v>22.46</v>
      </c>
      <c r="S662" t="s">
        <v>5471</v>
      </c>
      <c r="T662">
        <v>3600</v>
      </c>
      <c r="U662">
        <v>3.9</v>
      </c>
      <c r="V662" t="s">
        <v>79</v>
      </c>
    </row>
    <row r="663" spans="1:22" x14ac:dyDescent="0.3">
      <c r="A663" t="s">
        <v>2899</v>
      </c>
      <c r="B663" t="s">
        <v>2900</v>
      </c>
      <c r="C663" t="s">
        <v>2901</v>
      </c>
      <c r="D663" s="2">
        <v>45986</v>
      </c>
      <c r="E663" t="s">
        <v>282</v>
      </c>
      <c r="F663" t="s">
        <v>282</v>
      </c>
      <c r="G663" t="s">
        <v>147</v>
      </c>
      <c r="H663" t="s">
        <v>68</v>
      </c>
      <c r="I663" t="s">
        <v>29</v>
      </c>
      <c r="J663" t="s">
        <v>30</v>
      </c>
      <c r="K663">
        <v>2</v>
      </c>
      <c r="L663">
        <v>65</v>
      </c>
      <c r="M663">
        <v>29800</v>
      </c>
      <c r="N663">
        <v>3000</v>
      </c>
      <c r="O663">
        <v>26800</v>
      </c>
      <c r="P663">
        <v>14800</v>
      </c>
      <c r="Q663">
        <v>12000</v>
      </c>
      <c r="R663">
        <v>44.78</v>
      </c>
      <c r="S663" t="s">
        <v>39</v>
      </c>
      <c r="T663">
        <v>2500</v>
      </c>
      <c r="U663">
        <v>4.4000000000000004</v>
      </c>
      <c r="V663" t="s">
        <v>82</v>
      </c>
    </row>
    <row r="664" spans="1:22" x14ac:dyDescent="0.3">
      <c r="A664" t="s">
        <v>5175</v>
      </c>
      <c r="B664" t="s">
        <v>1804</v>
      </c>
      <c r="C664" t="s">
        <v>1805</v>
      </c>
      <c r="D664" s="2">
        <v>45986</v>
      </c>
      <c r="E664" t="s">
        <v>134</v>
      </c>
      <c r="F664" t="s">
        <v>134</v>
      </c>
      <c r="G664" t="s">
        <v>118</v>
      </c>
      <c r="H664" t="s">
        <v>49</v>
      </c>
      <c r="I664" t="s">
        <v>29</v>
      </c>
      <c r="J664" t="s">
        <v>30</v>
      </c>
      <c r="K664">
        <v>9</v>
      </c>
      <c r="L664">
        <v>11</v>
      </c>
      <c r="M664">
        <v>71500</v>
      </c>
      <c r="N664">
        <v>7200</v>
      </c>
      <c r="O664">
        <v>64300</v>
      </c>
      <c r="P664">
        <v>32500</v>
      </c>
      <c r="Q664">
        <v>31800</v>
      </c>
      <c r="R664">
        <v>49.46</v>
      </c>
      <c r="S664" t="s">
        <v>97</v>
      </c>
      <c r="T664">
        <v>5400</v>
      </c>
      <c r="U664">
        <v>3.1</v>
      </c>
      <c r="V664" t="s">
        <v>82</v>
      </c>
    </row>
    <row r="665" spans="1:22" x14ac:dyDescent="0.3">
      <c r="A665" t="s">
        <v>4731</v>
      </c>
      <c r="B665" t="s">
        <v>2252</v>
      </c>
      <c r="C665" t="s">
        <v>2253</v>
      </c>
      <c r="D665" s="2">
        <v>45986</v>
      </c>
      <c r="E665" t="s">
        <v>244</v>
      </c>
      <c r="F665" t="s">
        <v>244</v>
      </c>
      <c r="G665" t="s">
        <v>213</v>
      </c>
      <c r="H665" t="s">
        <v>49</v>
      </c>
      <c r="I665" t="s">
        <v>29</v>
      </c>
      <c r="J665" t="s">
        <v>70</v>
      </c>
      <c r="K665">
        <v>3</v>
      </c>
      <c r="L665">
        <v>10</v>
      </c>
      <c r="M665">
        <v>58200</v>
      </c>
      <c r="N665">
        <v>5800</v>
      </c>
      <c r="O665">
        <v>52400</v>
      </c>
      <c r="P665">
        <v>42800</v>
      </c>
      <c r="Q665">
        <v>9600</v>
      </c>
      <c r="R665">
        <v>18.32</v>
      </c>
      <c r="S665" t="s">
        <v>79</v>
      </c>
      <c r="T665">
        <v>8200</v>
      </c>
      <c r="U665">
        <v>4.5999999999999996</v>
      </c>
      <c r="V665" t="s">
        <v>82</v>
      </c>
    </row>
    <row r="666" spans="1:22" x14ac:dyDescent="0.3">
      <c r="A666" t="s">
        <v>5255</v>
      </c>
      <c r="B666" t="s">
        <v>1060</v>
      </c>
      <c r="C666" t="s">
        <v>1061</v>
      </c>
      <c r="D666" s="2">
        <v>45987</v>
      </c>
      <c r="E666" t="s">
        <v>282</v>
      </c>
      <c r="F666" t="s">
        <v>282</v>
      </c>
      <c r="G666" t="s">
        <v>147</v>
      </c>
      <c r="H666" t="s">
        <v>5470</v>
      </c>
      <c r="I666" t="s">
        <v>69</v>
      </c>
      <c r="J666" t="s">
        <v>70</v>
      </c>
      <c r="K666">
        <v>4</v>
      </c>
      <c r="L666">
        <v>47</v>
      </c>
      <c r="M666">
        <v>40400</v>
      </c>
      <c r="N666">
        <v>8100</v>
      </c>
      <c r="O666">
        <v>32300</v>
      </c>
      <c r="P666">
        <v>28500</v>
      </c>
      <c r="Q666">
        <v>3800</v>
      </c>
      <c r="R666">
        <v>11.76</v>
      </c>
      <c r="S666" t="s">
        <v>126</v>
      </c>
      <c r="T666">
        <v>2200</v>
      </c>
      <c r="U666">
        <v>3.8</v>
      </c>
      <c r="V666" t="s">
        <v>58</v>
      </c>
    </row>
    <row r="667" spans="1:22" x14ac:dyDescent="0.3">
      <c r="A667" t="s">
        <v>4218</v>
      </c>
      <c r="B667" t="s">
        <v>615</v>
      </c>
      <c r="C667" t="s">
        <v>616</v>
      </c>
      <c r="D667" s="2">
        <v>45987</v>
      </c>
      <c r="E667" t="s">
        <v>244</v>
      </c>
      <c r="F667" t="s">
        <v>244</v>
      </c>
      <c r="G667" t="s">
        <v>118</v>
      </c>
      <c r="H667" t="s">
        <v>214</v>
      </c>
      <c r="I667" t="s">
        <v>69</v>
      </c>
      <c r="J667" t="s">
        <v>70</v>
      </c>
      <c r="K667">
        <v>2</v>
      </c>
      <c r="L667">
        <v>43</v>
      </c>
      <c r="M667">
        <v>42400</v>
      </c>
      <c r="N667">
        <v>2100</v>
      </c>
      <c r="O667">
        <v>40300</v>
      </c>
      <c r="P667">
        <v>21300</v>
      </c>
      <c r="Q667">
        <v>19000</v>
      </c>
      <c r="R667">
        <v>47.15</v>
      </c>
      <c r="S667" t="s">
        <v>79</v>
      </c>
      <c r="T667">
        <v>1900</v>
      </c>
      <c r="U667">
        <v>3.6</v>
      </c>
      <c r="V667" t="s">
        <v>58</v>
      </c>
    </row>
    <row r="668" spans="1:22" x14ac:dyDescent="0.3">
      <c r="A668" t="s">
        <v>5295</v>
      </c>
      <c r="B668" t="s">
        <v>4229</v>
      </c>
      <c r="C668" t="s">
        <v>4230</v>
      </c>
      <c r="D668" s="2">
        <v>45988</v>
      </c>
      <c r="E668" t="s">
        <v>228</v>
      </c>
      <c r="F668" t="s">
        <v>228</v>
      </c>
      <c r="G668" t="s">
        <v>67</v>
      </c>
      <c r="H668" t="s">
        <v>68</v>
      </c>
      <c r="I668" t="s">
        <v>29</v>
      </c>
      <c r="J668" t="s">
        <v>30</v>
      </c>
      <c r="K668">
        <v>2</v>
      </c>
      <c r="L668">
        <v>20</v>
      </c>
      <c r="M668">
        <v>64800</v>
      </c>
      <c r="N668">
        <v>3200</v>
      </c>
      <c r="O668">
        <v>61600</v>
      </c>
      <c r="P668">
        <v>28000</v>
      </c>
      <c r="Q668">
        <v>33600</v>
      </c>
      <c r="R668">
        <v>54.55</v>
      </c>
      <c r="S668" t="s">
        <v>58</v>
      </c>
      <c r="T668">
        <v>7800</v>
      </c>
      <c r="U668">
        <v>3.8</v>
      </c>
      <c r="V668" t="s">
        <v>58</v>
      </c>
    </row>
    <row r="669" spans="1:22" x14ac:dyDescent="0.3">
      <c r="A669" t="s">
        <v>875</v>
      </c>
      <c r="B669" t="s">
        <v>876</v>
      </c>
      <c r="C669" t="s">
        <v>877</v>
      </c>
      <c r="D669" s="2">
        <v>45988</v>
      </c>
      <c r="E669" t="s">
        <v>161</v>
      </c>
      <c r="F669" t="s">
        <v>161</v>
      </c>
      <c r="G669" t="s">
        <v>147</v>
      </c>
      <c r="H669" t="s">
        <v>268</v>
      </c>
      <c r="I669" t="s">
        <v>69</v>
      </c>
      <c r="J669" t="s">
        <v>30</v>
      </c>
      <c r="K669">
        <v>6</v>
      </c>
      <c r="L669">
        <v>46</v>
      </c>
      <c r="M669">
        <v>44300</v>
      </c>
      <c r="N669">
        <v>2200</v>
      </c>
      <c r="O669">
        <v>42100</v>
      </c>
      <c r="P669">
        <v>27000</v>
      </c>
      <c r="Q669">
        <v>15100</v>
      </c>
      <c r="R669">
        <v>35.869999999999997</v>
      </c>
      <c r="S669" t="s">
        <v>182</v>
      </c>
      <c r="T669">
        <v>4700</v>
      </c>
      <c r="U669">
        <v>3.8</v>
      </c>
      <c r="V669" t="s">
        <v>42</v>
      </c>
    </row>
    <row r="670" spans="1:22" x14ac:dyDescent="0.3">
      <c r="A670" t="s">
        <v>2032</v>
      </c>
      <c r="B670" t="s">
        <v>157</v>
      </c>
      <c r="C670" t="s">
        <v>158</v>
      </c>
      <c r="D670" s="2">
        <v>45988</v>
      </c>
      <c r="E670" t="s">
        <v>282</v>
      </c>
      <c r="F670" t="s">
        <v>282</v>
      </c>
      <c r="G670" t="s">
        <v>213</v>
      </c>
      <c r="H670" t="s">
        <v>214</v>
      </c>
      <c r="I670" t="s">
        <v>29</v>
      </c>
      <c r="J670" t="s">
        <v>30</v>
      </c>
      <c r="K670">
        <v>6</v>
      </c>
      <c r="L670">
        <v>6</v>
      </c>
      <c r="M670">
        <v>19200</v>
      </c>
      <c r="N670">
        <v>1900</v>
      </c>
      <c r="O670">
        <v>17300</v>
      </c>
      <c r="P670">
        <v>14200</v>
      </c>
      <c r="Q670">
        <v>3100</v>
      </c>
      <c r="R670">
        <v>17.920000000000002</v>
      </c>
      <c r="S670" t="s">
        <v>126</v>
      </c>
      <c r="T670">
        <v>1700</v>
      </c>
      <c r="U670">
        <v>4.9000000000000004</v>
      </c>
      <c r="V670" t="s">
        <v>42</v>
      </c>
    </row>
    <row r="671" spans="1:22" x14ac:dyDescent="0.3">
      <c r="A671" t="s">
        <v>4908</v>
      </c>
      <c r="B671" t="s">
        <v>2010</v>
      </c>
      <c r="C671" t="s">
        <v>2011</v>
      </c>
      <c r="D671" s="2">
        <v>45989</v>
      </c>
      <c r="E671" t="s">
        <v>66</v>
      </c>
      <c r="F671" t="s">
        <v>66</v>
      </c>
      <c r="G671" t="s">
        <v>67</v>
      </c>
      <c r="H671" t="s">
        <v>268</v>
      </c>
      <c r="I671" t="s">
        <v>69</v>
      </c>
      <c r="J671" t="s">
        <v>30</v>
      </c>
      <c r="K671">
        <v>8</v>
      </c>
      <c r="L671">
        <v>49</v>
      </c>
      <c r="M671">
        <v>95400</v>
      </c>
      <c r="N671">
        <v>0</v>
      </c>
      <c r="O671">
        <v>95400</v>
      </c>
      <c r="P671">
        <v>53600</v>
      </c>
      <c r="Q671">
        <v>41800</v>
      </c>
      <c r="R671">
        <v>43.82</v>
      </c>
      <c r="S671" t="s">
        <v>58</v>
      </c>
      <c r="T671">
        <v>8900</v>
      </c>
      <c r="U671">
        <v>4.2</v>
      </c>
      <c r="V671" t="s">
        <v>114</v>
      </c>
    </row>
    <row r="672" spans="1:22" x14ac:dyDescent="0.3">
      <c r="A672" t="s">
        <v>239</v>
      </c>
      <c r="B672" t="s">
        <v>240</v>
      </c>
      <c r="C672" t="s">
        <v>241</v>
      </c>
      <c r="D672" s="2">
        <v>45989</v>
      </c>
      <c r="E672" t="s">
        <v>244</v>
      </c>
      <c r="F672" t="s">
        <v>244</v>
      </c>
      <c r="G672" t="s">
        <v>67</v>
      </c>
      <c r="H672" t="s">
        <v>49</v>
      </c>
      <c r="I672" t="s">
        <v>69</v>
      </c>
      <c r="J672" t="s">
        <v>30</v>
      </c>
      <c r="K672">
        <v>9</v>
      </c>
      <c r="L672">
        <v>21</v>
      </c>
      <c r="M672">
        <v>68300</v>
      </c>
      <c r="N672">
        <v>3400</v>
      </c>
      <c r="O672">
        <v>64900</v>
      </c>
      <c r="P672">
        <v>35700</v>
      </c>
      <c r="Q672">
        <v>29200</v>
      </c>
      <c r="R672">
        <v>44.99</v>
      </c>
      <c r="S672" t="s">
        <v>39</v>
      </c>
      <c r="T672">
        <v>7300</v>
      </c>
      <c r="U672">
        <v>3.8</v>
      </c>
      <c r="V672" t="s">
        <v>114</v>
      </c>
    </row>
    <row r="673" spans="1:22" x14ac:dyDescent="0.3">
      <c r="A673" t="s">
        <v>2245</v>
      </c>
      <c r="B673" t="s">
        <v>2246</v>
      </c>
      <c r="C673" t="s">
        <v>2247</v>
      </c>
      <c r="D673" s="2">
        <v>45989</v>
      </c>
      <c r="E673" t="s">
        <v>228</v>
      </c>
      <c r="F673" t="s">
        <v>228</v>
      </c>
      <c r="G673" t="s">
        <v>27</v>
      </c>
      <c r="H673" t="s">
        <v>229</v>
      </c>
      <c r="I673" t="s">
        <v>69</v>
      </c>
      <c r="J673" t="s">
        <v>30</v>
      </c>
      <c r="K673">
        <v>2</v>
      </c>
      <c r="L673">
        <v>37</v>
      </c>
      <c r="M673">
        <v>37500</v>
      </c>
      <c r="N673">
        <v>1900</v>
      </c>
      <c r="O673">
        <v>35600</v>
      </c>
      <c r="P673">
        <v>20300</v>
      </c>
      <c r="Q673">
        <v>15300</v>
      </c>
      <c r="R673">
        <v>42.98</v>
      </c>
      <c r="S673" t="s">
        <v>39</v>
      </c>
      <c r="T673">
        <v>1800</v>
      </c>
      <c r="U673">
        <v>4.5999999999999996</v>
      </c>
      <c r="V673" t="s">
        <v>82</v>
      </c>
    </row>
    <row r="674" spans="1:22" x14ac:dyDescent="0.3">
      <c r="A674" t="s">
        <v>2691</v>
      </c>
      <c r="B674" t="s">
        <v>980</v>
      </c>
      <c r="C674" t="s">
        <v>981</v>
      </c>
      <c r="D674" s="2">
        <v>45989</v>
      </c>
      <c r="E674" t="s">
        <v>244</v>
      </c>
      <c r="F674" t="s">
        <v>244</v>
      </c>
      <c r="G674" t="s">
        <v>67</v>
      </c>
      <c r="H674" t="s">
        <v>68</v>
      </c>
      <c r="I674" t="s">
        <v>69</v>
      </c>
      <c r="J674" t="s">
        <v>70</v>
      </c>
      <c r="K674">
        <v>3</v>
      </c>
      <c r="L674">
        <v>16</v>
      </c>
      <c r="M674">
        <v>79400</v>
      </c>
      <c r="N674">
        <v>0</v>
      </c>
      <c r="O674">
        <v>79400</v>
      </c>
      <c r="P674">
        <v>51200</v>
      </c>
      <c r="Q674">
        <v>28200</v>
      </c>
      <c r="R674">
        <v>35.520000000000003</v>
      </c>
      <c r="S674" t="s">
        <v>58</v>
      </c>
      <c r="T674">
        <v>6600</v>
      </c>
      <c r="U674">
        <v>4.7</v>
      </c>
      <c r="V674" t="s">
        <v>79</v>
      </c>
    </row>
    <row r="675" spans="1:22" x14ac:dyDescent="0.3">
      <c r="A675" t="s">
        <v>3919</v>
      </c>
      <c r="B675" t="s">
        <v>2856</v>
      </c>
      <c r="C675" t="s">
        <v>2857</v>
      </c>
      <c r="D675" s="2">
        <v>45989</v>
      </c>
      <c r="E675" t="s">
        <v>228</v>
      </c>
      <c r="F675" t="s">
        <v>228</v>
      </c>
      <c r="G675" t="s">
        <v>147</v>
      </c>
      <c r="H675" t="s">
        <v>49</v>
      </c>
      <c r="I675" t="s">
        <v>69</v>
      </c>
      <c r="J675" t="s">
        <v>30</v>
      </c>
      <c r="K675">
        <v>6</v>
      </c>
      <c r="L675">
        <v>60</v>
      </c>
      <c r="M675">
        <v>55100</v>
      </c>
      <c r="N675">
        <v>2800</v>
      </c>
      <c r="O675">
        <v>52300</v>
      </c>
      <c r="P675">
        <v>38100</v>
      </c>
      <c r="Q675">
        <v>14200</v>
      </c>
      <c r="R675">
        <v>27.15</v>
      </c>
      <c r="S675" t="s">
        <v>79</v>
      </c>
      <c r="T675">
        <v>2600</v>
      </c>
      <c r="U675">
        <v>4</v>
      </c>
      <c r="V675" t="s">
        <v>58</v>
      </c>
    </row>
    <row r="676" spans="1:22" x14ac:dyDescent="0.3">
      <c r="A676" t="s">
        <v>2178</v>
      </c>
      <c r="B676" t="s">
        <v>869</v>
      </c>
      <c r="C676" t="s">
        <v>870</v>
      </c>
      <c r="D676" s="2">
        <v>45992</v>
      </c>
      <c r="E676" t="s">
        <v>161</v>
      </c>
      <c r="F676" t="s">
        <v>161</v>
      </c>
      <c r="G676" t="s">
        <v>27</v>
      </c>
      <c r="H676" t="s">
        <v>49</v>
      </c>
      <c r="I676" t="s">
        <v>69</v>
      </c>
      <c r="J676" t="s">
        <v>30</v>
      </c>
      <c r="K676">
        <v>7</v>
      </c>
      <c r="L676">
        <v>54</v>
      </c>
      <c r="M676">
        <v>27600</v>
      </c>
      <c r="N676">
        <v>4100</v>
      </c>
      <c r="O676">
        <v>23500</v>
      </c>
      <c r="P676">
        <v>22500</v>
      </c>
      <c r="Q676">
        <v>1000</v>
      </c>
      <c r="R676">
        <v>4.26</v>
      </c>
      <c r="S676" t="s">
        <v>79</v>
      </c>
      <c r="T676">
        <v>4200</v>
      </c>
      <c r="U676">
        <v>4.8</v>
      </c>
      <c r="V676" t="s">
        <v>58</v>
      </c>
    </row>
    <row r="677" spans="1:22" x14ac:dyDescent="0.3">
      <c r="A677" t="s">
        <v>1671</v>
      </c>
      <c r="B677" t="s">
        <v>302</v>
      </c>
      <c r="C677" t="s">
        <v>303</v>
      </c>
      <c r="D677" s="2">
        <v>45993</v>
      </c>
      <c r="E677" t="s">
        <v>161</v>
      </c>
      <c r="F677" t="s">
        <v>161</v>
      </c>
      <c r="G677" t="s">
        <v>213</v>
      </c>
      <c r="H677" t="s">
        <v>68</v>
      </c>
      <c r="I677" t="s">
        <v>69</v>
      </c>
      <c r="J677" t="s">
        <v>30</v>
      </c>
      <c r="K677">
        <v>3</v>
      </c>
      <c r="M677">
        <v>32800</v>
      </c>
      <c r="N677">
        <v>4900</v>
      </c>
      <c r="O677">
        <v>27900</v>
      </c>
      <c r="P677">
        <v>14500</v>
      </c>
      <c r="Q677">
        <v>13400</v>
      </c>
      <c r="R677">
        <v>48.03</v>
      </c>
      <c r="S677" t="s">
        <v>58</v>
      </c>
      <c r="T677">
        <v>4800</v>
      </c>
      <c r="U677">
        <v>4.5999999999999996</v>
      </c>
      <c r="V677" t="s">
        <v>82</v>
      </c>
    </row>
    <row r="678" spans="1:22" x14ac:dyDescent="0.3">
      <c r="A678" t="s">
        <v>5263</v>
      </c>
      <c r="B678" t="s">
        <v>910</v>
      </c>
      <c r="C678" t="s">
        <v>911</v>
      </c>
      <c r="D678" s="2">
        <v>45993</v>
      </c>
      <c r="E678" t="s">
        <v>66</v>
      </c>
      <c r="F678" t="s">
        <v>66</v>
      </c>
      <c r="G678" t="s">
        <v>67</v>
      </c>
      <c r="H678" t="s">
        <v>5470</v>
      </c>
      <c r="I678" t="s">
        <v>69</v>
      </c>
      <c r="J678" t="s">
        <v>70</v>
      </c>
      <c r="K678">
        <v>2</v>
      </c>
      <c r="L678">
        <v>31</v>
      </c>
      <c r="M678">
        <v>15000</v>
      </c>
      <c r="N678">
        <v>0</v>
      </c>
      <c r="O678">
        <v>15000</v>
      </c>
      <c r="P678">
        <v>8300</v>
      </c>
      <c r="Q678">
        <v>6700</v>
      </c>
      <c r="R678">
        <v>44.67</v>
      </c>
      <c r="S678" t="s">
        <v>97</v>
      </c>
      <c r="T678">
        <v>1500</v>
      </c>
      <c r="U678">
        <v>4.5999999999999996</v>
      </c>
      <c r="V678" t="s">
        <v>58</v>
      </c>
    </row>
    <row r="679" spans="1:22" x14ac:dyDescent="0.3">
      <c r="A679" t="s">
        <v>2190</v>
      </c>
      <c r="B679" t="s">
        <v>2191</v>
      </c>
      <c r="C679" t="s">
        <v>2192</v>
      </c>
      <c r="D679" s="2">
        <v>45993</v>
      </c>
      <c r="E679" t="s">
        <v>244</v>
      </c>
      <c r="F679" t="s">
        <v>244</v>
      </c>
      <c r="G679" t="s">
        <v>118</v>
      </c>
      <c r="H679" t="s">
        <v>28</v>
      </c>
      <c r="I679" t="s">
        <v>29</v>
      </c>
      <c r="J679" t="s">
        <v>30</v>
      </c>
      <c r="K679">
        <v>4</v>
      </c>
      <c r="L679">
        <v>41</v>
      </c>
      <c r="M679">
        <v>36500</v>
      </c>
      <c r="N679">
        <v>5500</v>
      </c>
      <c r="O679">
        <v>31000</v>
      </c>
      <c r="P679">
        <v>18100</v>
      </c>
      <c r="Q679">
        <v>12900</v>
      </c>
      <c r="R679">
        <v>41.61</v>
      </c>
      <c r="S679" t="s">
        <v>182</v>
      </c>
      <c r="T679">
        <v>2500</v>
      </c>
      <c r="U679">
        <v>4.3</v>
      </c>
      <c r="V679" t="s">
        <v>42</v>
      </c>
    </row>
    <row r="680" spans="1:22" x14ac:dyDescent="0.3">
      <c r="A680" t="s">
        <v>678</v>
      </c>
      <c r="B680" t="s">
        <v>679</v>
      </c>
      <c r="C680" t="s">
        <v>680</v>
      </c>
      <c r="D680" s="2">
        <v>45993</v>
      </c>
      <c r="E680" t="s">
        <v>66</v>
      </c>
      <c r="F680" t="s">
        <v>66</v>
      </c>
      <c r="G680" t="s">
        <v>48</v>
      </c>
      <c r="H680" t="s">
        <v>268</v>
      </c>
      <c r="I680" t="s">
        <v>69</v>
      </c>
      <c r="J680" t="s">
        <v>30</v>
      </c>
      <c r="K680">
        <v>5</v>
      </c>
      <c r="L680">
        <v>38</v>
      </c>
      <c r="M680">
        <v>58200</v>
      </c>
      <c r="N680">
        <v>2900</v>
      </c>
      <c r="O680">
        <v>55300</v>
      </c>
      <c r="P680">
        <v>34300</v>
      </c>
      <c r="Q680">
        <v>21000</v>
      </c>
      <c r="R680">
        <v>37.97</v>
      </c>
      <c r="S680" t="s">
        <v>58</v>
      </c>
      <c r="T680">
        <v>9900</v>
      </c>
      <c r="U680">
        <v>2.9</v>
      </c>
      <c r="V680" t="s">
        <v>82</v>
      </c>
    </row>
    <row r="681" spans="1:22" x14ac:dyDescent="0.3">
      <c r="A681" t="s">
        <v>4141</v>
      </c>
      <c r="B681" t="s">
        <v>3041</v>
      </c>
      <c r="C681" t="s">
        <v>3042</v>
      </c>
      <c r="D681" s="2">
        <v>45994</v>
      </c>
      <c r="E681" t="s">
        <v>282</v>
      </c>
      <c r="F681" t="s">
        <v>282</v>
      </c>
      <c r="G681" t="s">
        <v>147</v>
      </c>
      <c r="H681" t="s">
        <v>28</v>
      </c>
      <c r="I681" t="s">
        <v>69</v>
      </c>
      <c r="J681" t="s">
        <v>30</v>
      </c>
      <c r="K681">
        <v>4</v>
      </c>
      <c r="L681">
        <v>41</v>
      </c>
      <c r="M681">
        <v>88700</v>
      </c>
      <c r="N681">
        <v>13300</v>
      </c>
      <c r="O681">
        <v>75400</v>
      </c>
      <c r="P681">
        <v>58000</v>
      </c>
      <c r="Q681">
        <v>17400</v>
      </c>
      <c r="R681">
        <v>23.08</v>
      </c>
      <c r="S681" t="s">
        <v>97</v>
      </c>
      <c r="T681">
        <v>3300</v>
      </c>
      <c r="U681">
        <v>4.5</v>
      </c>
      <c r="V681" t="s">
        <v>82</v>
      </c>
    </row>
    <row r="682" spans="1:22" x14ac:dyDescent="0.3">
      <c r="A682" t="s">
        <v>3991</v>
      </c>
      <c r="B682" t="s">
        <v>279</v>
      </c>
      <c r="C682" t="s">
        <v>280</v>
      </c>
      <c r="D682" s="2">
        <v>45994</v>
      </c>
      <c r="E682" t="s">
        <v>282</v>
      </c>
      <c r="F682" t="s">
        <v>282</v>
      </c>
      <c r="G682" t="s">
        <v>27</v>
      </c>
      <c r="H682" t="s">
        <v>49</v>
      </c>
      <c r="I682" t="s">
        <v>69</v>
      </c>
      <c r="J682" t="s">
        <v>30</v>
      </c>
      <c r="K682">
        <v>5</v>
      </c>
      <c r="L682">
        <v>37</v>
      </c>
      <c r="M682">
        <v>44500</v>
      </c>
      <c r="N682">
        <v>8900</v>
      </c>
      <c r="O682">
        <v>35600</v>
      </c>
      <c r="P682">
        <v>28900</v>
      </c>
      <c r="Q682">
        <v>6700</v>
      </c>
      <c r="R682">
        <v>18.82</v>
      </c>
      <c r="S682" t="s">
        <v>182</v>
      </c>
      <c r="T682">
        <v>5600</v>
      </c>
      <c r="U682">
        <v>5</v>
      </c>
      <c r="V682" t="s">
        <v>114</v>
      </c>
    </row>
    <row r="683" spans="1:22" x14ac:dyDescent="0.3">
      <c r="A683" t="s">
        <v>5372</v>
      </c>
      <c r="B683" t="s">
        <v>501</v>
      </c>
      <c r="C683" t="s">
        <v>502</v>
      </c>
      <c r="D683" s="2">
        <v>45996</v>
      </c>
      <c r="E683" t="s">
        <v>134</v>
      </c>
      <c r="F683" t="s">
        <v>134</v>
      </c>
      <c r="G683" t="s">
        <v>118</v>
      </c>
      <c r="H683" t="s">
        <v>28</v>
      </c>
      <c r="I683" t="s">
        <v>69</v>
      </c>
      <c r="J683" t="s">
        <v>257</v>
      </c>
      <c r="K683">
        <v>4</v>
      </c>
      <c r="L683">
        <v>52</v>
      </c>
      <c r="M683">
        <v>101000</v>
      </c>
      <c r="N683">
        <v>5000</v>
      </c>
      <c r="O683">
        <v>96000</v>
      </c>
      <c r="P683">
        <v>44300</v>
      </c>
      <c r="Q683">
        <v>51700</v>
      </c>
      <c r="R683">
        <v>53.85</v>
      </c>
      <c r="S683" t="s">
        <v>39</v>
      </c>
      <c r="T683">
        <v>12800</v>
      </c>
      <c r="U683">
        <v>3.7</v>
      </c>
      <c r="V683" t="s">
        <v>114</v>
      </c>
    </row>
    <row r="684" spans="1:22" x14ac:dyDescent="0.3">
      <c r="A684" t="s">
        <v>4213</v>
      </c>
      <c r="B684" t="s">
        <v>1861</v>
      </c>
      <c r="C684" t="s">
        <v>1862</v>
      </c>
      <c r="D684" s="2">
        <v>45996</v>
      </c>
      <c r="E684" t="s">
        <v>244</v>
      </c>
      <c r="F684" t="s">
        <v>244</v>
      </c>
      <c r="G684" t="s">
        <v>213</v>
      </c>
      <c r="H684" t="s">
        <v>88</v>
      </c>
      <c r="I684" t="s">
        <v>69</v>
      </c>
      <c r="J684" t="s">
        <v>30</v>
      </c>
      <c r="K684">
        <v>3</v>
      </c>
      <c r="L684">
        <v>49</v>
      </c>
      <c r="M684">
        <v>31300</v>
      </c>
      <c r="N684">
        <v>3100</v>
      </c>
      <c r="O684">
        <v>28200</v>
      </c>
      <c r="P684">
        <v>13900</v>
      </c>
      <c r="Q684">
        <v>14300</v>
      </c>
      <c r="R684">
        <v>50.71</v>
      </c>
      <c r="S684" t="s">
        <v>182</v>
      </c>
      <c r="T684">
        <v>3800</v>
      </c>
      <c r="U684">
        <v>4.0999999999999996</v>
      </c>
      <c r="V684" t="s">
        <v>42</v>
      </c>
    </row>
    <row r="685" spans="1:22" x14ac:dyDescent="0.3">
      <c r="A685" t="s">
        <v>4144</v>
      </c>
      <c r="B685" t="s">
        <v>4145</v>
      </c>
      <c r="C685" t="s">
        <v>4146</v>
      </c>
      <c r="D685" s="2">
        <v>45997</v>
      </c>
      <c r="E685" t="s">
        <v>244</v>
      </c>
      <c r="F685" t="s">
        <v>244</v>
      </c>
      <c r="G685" t="s">
        <v>103</v>
      </c>
      <c r="H685" t="s">
        <v>49</v>
      </c>
      <c r="I685" t="s">
        <v>29</v>
      </c>
      <c r="J685" t="s">
        <v>30</v>
      </c>
      <c r="K685">
        <v>7</v>
      </c>
      <c r="L685">
        <v>43</v>
      </c>
      <c r="M685">
        <v>27000</v>
      </c>
      <c r="N685">
        <v>4000</v>
      </c>
      <c r="O685">
        <v>23000</v>
      </c>
      <c r="P685">
        <v>21400</v>
      </c>
      <c r="Q685">
        <v>1600</v>
      </c>
      <c r="R685">
        <v>6.96</v>
      </c>
      <c r="S685" t="s">
        <v>182</v>
      </c>
      <c r="T685">
        <v>2400</v>
      </c>
      <c r="U685">
        <v>3.7</v>
      </c>
      <c r="V685" t="s">
        <v>79</v>
      </c>
    </row>
    <row r="686" spans="1:22" x14ac:dyDescent="0.3">
      <c r="A686" t="s">
        <v>2625</v>
      </c>
      <c r="B686" t="s">
        <v>1824</v>
      </c>
      <c r="C686" t="s">
        <v>1825</v>
      </c>
      <c r="D686" s="2">
        <v>45997</v>
      </c>
      <c r="E686" t="s">
        <v>244</v>
      </c>
      <c r="F686" t="s">
        <v>244</v>
      </c>
      <c r="G686" t="s">
        <v>213</v>
      </c>
      <c r="H686" t="s">
        <v>268</v>
      </c>
      <c r="I686" t="s">
        <v>69</v>
      </c>
      <c r="J686" t="s">
        <v>30</v>
      </c>
      <c r="K686">
        <v>2</v>
      </c>
      <c r="L686">
        <v>54</v>
      </c>
      <c r="M686">
        <v>22800</v>
      </c>
      <c r="N686">
        <v>3400</v>
      </c>
      <c r="O686">
        <v>19400</v>
      </c>
      <c r="P686">
        <v>11300</v>
      </c>
      <c r="Q686">
        <v>8100</v>
      </c>
      <c r="R686">
        <v>41.75</v>
      </c>
      <c r="S686" t="s">
        <v>182</v>
      </c>
      <c r="T686">
        <v>3400</v>
      </c>
      <c r="U686">
        <v>4.5999999999999996</v>
      </c>
      <c r="V686" t="s">
        <v>42</v>
      </c>
    </row>
    <row r="687" spans="1:22" x14ac:dyDescent="0.3">
      <c r="A687" t="s">
        <v>1834</v>
      </c>
      <c r="B687" t="s">
        <v>1325</v>
      </c>
      <c r="C687" t="s">
        <v>1326</v>
      </c>
      <c r="D687" s="2">
        <v>45997</v>
      </c>
      <c r="E687" t="s">
        <v>161</v>
      </c>
      <c r="F687" t="s">
        <v>161</v>
      </c>
      <c r="G687" t="s">
        <v>103</v>
      </c>
      <c r="H687" t="s">
        <v>49</v>
      </c>
      <c r="I687" t="s">
        <v>69</v>
      </c>
      <c r="J687" t="s">
        <v>162</v>
      </c>
      <c r="K687">
        <v>3</v>
      </c>
      <c r="L687">
        <v>32</v>
      </c>
      <c r="M687">
        <v>91400</v>
      </c>
      <c r="N687">
        <v>18300</v>
      </c>
      <c r="O687">
        <v>73100</v>
      </c>
      <c r="P687">
        <v>67500</v>
      </c>
      <c r="Q687">
        <v>5600</v>
      </c>
      <c r="R687">
        <v>7.66</v>
      </c>
      <c r="S687" t="s">
        <v>97</v>
      </c>
      <c r="T687">
        <v>5300</v>
      </c>
      <c r="U687">
        <v>3.3</v>
      </c>
      <c r="V687" t="s">
        <v>58</v>
      </c>
    </row>
    <row r="688" spans="1:22" x14ac:dyDescent="0.3">
      <c r="A688" t="s">
        <v>2205</v>
      </c>
      <c r="B688" t="s">
        <v>84</v>
      </c>
      <c r="C688" t="s">
        <v>85</v>
      </c>
      <c r="D688" s="2">
        <v>45997</v>
      </c>
      <c r="E688" t="s">
        <v>228</v>
      </c>
      <c r="F688" t="s">
        <v>228</v>
      </c>
      <c r="G688" t="s">
        <v>147</v>
      </c>
      <c r="H688" t="s">
        <v>68</v>
      </c>
      <c r="I688" t="s">
        <v>29</v>
      </c>
      <c r="J688" t="s">
        <v>30</v>
      </c>
      <c r="K688">
        <v>3</v>
      </c>
      <c r="L688">
        <v>45</v>
      </c>
      <c r="M688">
        <v>54700</v>
      </c>
      <c r="N688">
        <v>0</v>
      </c>
      <c r="O688">
        <v>54700</v>
      </c>
      <c r="P688">
        <v>28500</v>
      </c>
      <c r="Q688">
        <v>26200</v>
      </c>
      <c r="R688">
        <v>47.9</v>
      </c>
      <c r="S688" t="s">
        <v>182</v>
      </c>
      <c r="T688">
        <v>3200</v>
      </c>
      <c r="U688">
        <v>3.3</v>
      </c>
      <c r="V688" t="s">
        <v>79</v>
      </c>
    </row>
    <row r="689" spans="1:22" x14ac:dyDescent="0.3">
      <c r="A689" t="s">
        <v>1896</v>
      </c>
      <c r="B689" t="s">
        <v>1251</v>
      </c>
      <c r="C689" t="s">
        <v>1252</v>
      </c>
      <c r="D689" s="2">
        <v>45998</v>
      </c>
      <c r="E689" t="s">
        <v>244</v>
      </c>
      <c r="F689" t="s">
        <v>244</v>
      </c>
      <c r="G689" t="s">
        <v>580</v>
      </c>
      <c r="H689" t="s">
        <v>229</v>
      </c>
      <c r="I689" t="s">
        <v>69</v>
      </c>
      <c r="J689" t="s">
        <v>70</v>
      </c>
      <c r="K689">
        <v>8</v>
      </c>
      <c r="L689">
        <v>14</v>
      </c>
      <c r="M689">
        <v>18800</v>
      </c>
      <c r="N689">
        <v>0</v>
      </c>
      <c r="O689">
        <v>18800</v>
      </c>
      <c r="P689">
        <v>12100</v>
      </c>
      <c r="Q689">
        <v>6700</v>
      </c>
      <c r="R689">
        <v>35.64</v>
      </c>
      <c r="S689" t="s">
        <v>58</v>
      </c>
      <c r="T689">
        <v>2000</v>
      </c>
      <c r="U689">
        <v>4.2</v>
      </c>
      <c r="V689" t="s">
        <v>58</v>
      </c>
    </row>
    <row r="690" spans="1:22" x14ac:dyDescent="0.3">
      <c r="A690" t="s">
        <v>3736</v>
      </c>
      <c r="B690" t="s">
        <v>1359</v>
      </c>
      <c r="C690" t="s">
        <v>1360</v>
      </c>
      <c r="D690" s="2">
        <v>45998</v>
      </c>
      <c r="E690" t="s">
        <v>244</v>
      </c>
      <c r="F690" t="s">
        <v>244</v>
      </c>
      <c r="G690" t="s">
        <v>147</v>
      </c>
      <c r="H690" t="s">
        <v>88</v>
      </c>
      <c r="I690" t="s">
        <v>29</v>
      </c>
      <c r="J690" t="s">
        <v>30</v>
      </c>
      <c r="K690">
        <v>5</v>
      </c>
      <c r="L690">
        <v>33</v>
      </c>
      <c r="M690">
        <v>36900</v>
      </c>
      <c r="N690">
        <v>0</v>
      </c>
      <c r="O690">
        <v>36900</v>
      </c>
      <c r="P690">
        <v>15500</v>
      </c>
      <c r="Q690">
        <v>21400</v>
      </c>
      <c r="R690">
        <v>57.99</v>
      </c>
      <c r="S690" t="s">
        <v>126</v>
      </c>
      <c r="T690">
        <v>1600</v>
      </c>
      <c r="U690">
        <v>3.2</v>
      </c>
      <c r="V690" t="s">
        <v>58</v>
      </c>
    </row>
    <row r="691" spans="1:22" x14ac:dyDescent="0.3">
      <c r="A691" t="s">
        <v>483</v>
      </c>
      <c r="B691" t="s">
        <v>484</v>
      </c>
      <c r="C691" t="s">
        <v>485</v>
      </c>
      <c r="D691" s="2">
        <v>45998</v>
      </c>
      <c r="E691" t="s">
        <v>244</v>
      </c>
      <c r="F691" t="s">
        <v>244</v>
      </c>
      <c r="G691" t="s">
        <v>67</v>
      </c>
      <c r="H691" t="s">
        <v>68</v>
      </c>
      <c r="I691" t="s">
        <v>29</v>
      </c>
      <c r="J691" t="s">
        <v>70</v>
      </c>
      <c r="K691">
        <v>8</v>
      </c>
      <c r="L691">
        <v>41</v>
      </c>
      <c r="M691">
        <v>61900</v>
      </c>
      <c r="N691">
        <v>9300</v>
      </c>
      <c r="O691">
        <v>52600</v>
      </c>
      <c r="P691">
        <v>44500</v>
      </c>
      <c r="Q691">
        <v>8100</v>
      </c>
      <c r="R691">
        <v>15.4</v>
      </c>
      <c r="S691" t="s">
        <v>97</v>
      </c>
      <c r="T691">
        <v>8900</v>
      </c>
      <c r="U691">
        <v>3.9</v>
      </c>
      <c r="V691" t="s">
        <v>42</v>
      </c>
    </row>
    <row r="692" spans="1:22" x14ac:dyDescent="0.3">
      <c r="A692" t="s">
        <v>950</v>
      </c>
      <c r="B692" t="s">
        <v>951</v>
      </c>
      <c r="C692" t="s">
        <v>952</v>
      </c>
      <c r="D692" s="2">
        <v>45998</v>
      </c>
      <c r="E692" t="s">
        <v>282</v>
      </c>
      <c r="F692" t="s">
        <v>282</v>
      </c>
      <c r="G692" t="s">
        <v>580</v>
      </c>
      <c r="H692" t="s">
        <v>229</v>
      </c>
      <c r="I692" t="s">
        <v>69</v>
      </c>
      <c r="J692" t="s">
        <v>70</v>
      </c>
      <c r="K692">
        <v>10</v>
      </c>
      <c r="L692">
        <v>19</v>
      </c>
      <c r="M692">
        <v>32700</v>
      </c>
      <c r="N692">
        <v>4900</v>
      </c>
      <c r="O692">
        <v>27800</v>
      </c>
      <c r="P692">
        <v>20300</v>
      </c>
      <c r="Q692">
        <v>7500</v>
      </c>
      <c r="R692">
        <v>26.98</v>
      </c>
      <c r="S692" t="s">
        <v>79</v>
      </c>
      <c r="T692">
        <v>2400</v>
      </c>
      <c r="U692">
        <v>3.3</v>
      </c>
      <c r="V692" t="s">
        <v>114</v>
      </c>
    </row>
    <row r="693" spans="1:22" x14ac:dyDescent="0.3">
      <c r="A693" t="s">
        <v>889</v>
      </c>
      <c r="B693" t="s">
        <v>890</v>
      </c>
      <c r="C693" t="s">
        <v>891</v>
      </c>
      <c r="D693" s="2">
        <v>45999</v>
      </c>
      <c r="E693" t="s">
        <v>188</v>
      </c>
      <c r="F693" t="s">
        <v>188</v>
      </c>
      <c r="G693" t="s">
        <v>118</v>
      </c>
      <c r="H693" t="s">
        <v>28</v>
      </c>
      <c r="I693" t="s">
        <v>69</v>
      </c>
      <c r="J693" t="s">
        <v>70</v>
      </c>
      <c r="K693">
        <v>7</v>
      </c>
      <c r="L693">
        <v>83</v>
      </c>
      <c r="M693">
        <v>95600</v>
      </c>
      <c r="N693">
        <v>4800</v>
      </c>
      <c r="O693">
        <v>90800</v>
      </c>
      <c r="P693">
        <v>64600</v>
      </c>
      <c r="Q693">
        <v>26200</v>
      </c>
      <c r="R693">
        <v>28.85</v>
      </c>
      <c r="S693" t="s">
        <v>97</v>
      </c>
      <c r="T693">
        <v>6300</v>
      </c>
      <c r="U693">
        <v>3.8</v>
      </c>
      <c r="V693" t="s">
        <v>79</v>
      </c>
    </row>
    <row r="694" spans="1:22" x14ac:dyDescent="0.3">
      <c r="A694" t="s">
        <v>4253</v>
      </c>
      <c r="B694" t="s">
        <v>3915</v>
      </c>
      <c r="C694" t="s">
        <v>3916</v>
      </c>
      <c r="D694" s="2">
        <v>45999</v>
      </c>
      <c r="E694" t="s">
        <v>161</v>
      </c>
      <c r="F694" t="s">
        <v>161</v>
      </c>
      <c r="G694" t="s">
        <v>103</v>
      </c>
      <c r="H694" t="s">
        <v>88</v>
      </c>
      <c r="I694" t="s">
        <v>29</v>
      </c>
      <c r="J694" t="s">
        <v>70</v>
      </c>
      <c r="K694">
        <v>4</v>
      </c>
      <c r="L694">
        <v>18</v>
      </c>
      <c r="M694">
        <v>30700</v>
      </c>
      <c r="N694">
        <v>0</v>
      </c>
      <c r="O694">
        <v>30700</v>
      </c>
      <c r="P694">
        <v>21800</v>
      </c>
      <c r="Q694">
        <v>8900</v>
      </c>
      <c r="R694">
        <v>28.99</v>
      </c>
      <c r="S694" t="s">
        <v>79</v>
      </c>
      <c r="T694">
        <v>4500</v>
      </c>
      <c r="U694">
        <v>3.7</v>
      </c>
      <c r="V694" t="s">
        <v>79</v>
      </c>
    </row>
    <row r="695" spans="1:22" x14ac:dyDescent="0.3">
      <c r="A695" t="s">
        <v>4466</v>
      </c>
      <c r="B695" t="s">
        <v>2240</v>
      </c>
      <c r="C695" t="s">
        <v>2241</v>
      </c>
      <c r="D695" s="2">
        <v>46001</v>
      </c>
      <c r="E695" t="s">
        <v>188</v>
      </c>
      <c r="F695" t="s">
        <v>188</v>
      </c>
      <c r="G695" t="s">
        <v>27</v>
      </c>
      <c r="H695" t="s">
        <v>5470</v>
      </c>
      <c r="I695" t="s">
        <v>69</v>
      </c>
      <c r="J695" t="s">
        <v>30</v>
      </c>
      <c r="K695">
        <v>2</v>
      </c>
      <c r="L695">
        <v>62</v>
      </c>
      <c r="M695">
        <v>99100</v>
      </c>
      <c r="N695">
        <v>0</v>
      </c>
      <c r="O695">
        <v>99100</v>
      </c>
      <c r="P695">
        <v>74100</v>
      </c>
      <c r="Q695">
        <v>25000</v>
      </c>
      <c r="R695">
        <v>25.23</v>
      </c>
      <c r="S695" t="s">
        <v>79</v>
      </c>
      <c r="T695">
        <v>9900</v>
      </c>
      <c r="U695">
        <v>4.2</v>
      </c>
      <c r="V695" t="s">
        <v>58</v>
      </c>
    </row>
    <row r="696" spans="1:22" x14ac:dyDescent="0.3">
      <c r="A696" t="s">
        <v>623</v>
      </c>
      <c r="B696" t="s">
        <v>624</v>
      </c>
      <c r="C696" t="s">
        <v>625</v>
      </c>
      <c r="D696" s="2">
        <v>46001</v>
      </c>
      <c r="E696" t="s">
        <v>134</v>
      </c>
      <c r="F696" t="s">
        <v>134</v>
      </c>
      <c r="G696" t="s">
        <v>213</v>
      </c>
      <c r="H696" t="s">
        <v>68</v>
      </c>
      <c r="I696" t="s">
        <v>29</v>
      </c>
      <c r="J696" t="s">
        <v>162</v>
      </c>
      <c r="K696">
        <v>7</v>
      </c>
      <c r="L696">
        <v>37</v>
      </c>
      <c r="M696">
        <v>26600</v>
      </c>
      <c r="N696">
        <v>0</v>
      </c>
      <c r="O696">
        <v>26600</v>
      </c>
      <c r="P696">
        <v>16200</v>
      </c>
      <c r="Q696">
        <v>10400</v>
      </c>
      <c r="R696">
        <v>39.1</v>
      </c>
      <c r="S696" t="s">
        <v>79</v>
      </c>
      <c r="T696">
        <v>2800</v>
      </c>
      <c r="U696">
        <v>3.8</v>
      </c>
      <c r="V696" t="s">
        <v>79</v>
      </c>
    </row>
    <row r="697" spans="1:22" x14ac:dyDescent="0.3">
      <c r="A697" t="s">
        <v>4133</v>
      </c>
      <c r="B697" t="s">
        <v>1809</v>
      </c>
      <c r="C697" t="s">
        <v>1810</v>
      </c>
      <c r="D697" s="2">
        <v>46001</v>
      </c>
      <c r="E697" t="s">
        <v>282</v>
      </c>
      <c r="F697" t="s">
        <v>282</v>
      </c>
      <c r="G697" t="s">
        <v>580</v>
      </c>
      <c r="H697" t="s">
        <v>28</v>
      </c>
      <c r="I697" t="s">
        <v>29</v>
      </c>
      <c r="J697" t="s">
        <v>30</v>
      </c>
      <c r="K697">
        <v>2</v>
      </c>
      <c r="L697">
        <v>51</v>
      </c>
      <c r="M697">
        <v>47200</v>
      </c>
      <c r="N697">
        <v>7100</v>
      </c>
      <c r="O697">
        <v>40100</v>
      </c>
      <c r="P697">
        <v>32400</v>
      </c>
      <c r="Q697">
        <v>7700</v>
      </c>
      <c r="R697">
        <v>19.2</v>
      </c>
      <c r="S697" t="s">
        <v>182</v>
      </c>
      <c r="T697">
        <v>3500</v>
      </c>
      <c r="U697">
        <v>4.7</v>
      </c>
      <c r="V697" t="s">
        <v>114</v>
      </c>
    </row>
    <row r="698" spans="1:22" x14ac:dyDescent="0.3">
      <c r="A698" t="s">
        <v>5040</v>
      </c>
      <c r="B698" t="s">
        <v>2756</v>
      </c>
      <c r="C698" t="s">
        <v>2757</v>
      </c>
      <c r="D698" s="2">
        <v>46001</v>
      </c>
      <c r="E698" t="s">
        <v>282</v>
      </c>
      <c r="F698" t="s">
        <v>282</v>
      </c>
      <c r="G698" t="s">
        <v>213</v>
      </c>
      <c r="H698" t="s">
        <v>28</v>
      </c>
      <c r="I698" t="s">
        <v>69</v>
      </c>
      <c r="J698" t="s">
        <v>257</v>
      </c>
      <c r="K698">
        <v>10</v>
      </c>
      <c r="L698">
        <v>55</v>
      </c>
      <c r="M698">
        <v>22600</v>
      </c>
      <c r="N698">
        <v>3400</v>
      </c>
      <c r="O698">
        <v>19200</v>
      </c>
      <c r="P698">
        <v>17300</v>
      </c>
      <c r="Q698">
        <v>1900</v>
      </c>
      <c r="R698">
        <v>9.9</v>
      </c>
      <c r="S698" t="s">
        <v>182</v>
      </c>
      <c r="T698">
        <v>2100</v>
      </c>
      <c r="U698">
        <v>5</v>
      </c>
      <c r="V698" t="s">
        <v>79</v>
      </c>
    </row>
    <row r="699" spans="1:22" x14ac:dyDescent="0.3">
      <c r="A699" t="s">
        <v>1338</v>
      </c>
      <c r="B699" t="s">
        <v>839</v>
      </c>
      <c r="C699" t="s">
        <v>840</v>
      </c>
      <c r="D699" s="2">
        <v>46002</v>
      </c>
      <c r="E699" t="s">
        <v>244</v>
      </c>
      <c r="F699" t="s">
        <v>244</v>
      </c>
      <c r="G699" t="s">
        <v>213</v>
      </c>
      <c r="H699" t="s">
        <v>68</v>
      </c>
      <c r="I699" t="s">
        <v>69</v>
      </c>
      <c r="J699" t="s">
        <v>30</v>
      </c>
      <c r="K699">
        <v>4</v>
      </c>
      <c r="L699">
        <v>49</v>
      </c>
      <c r="M699">
        <v>75700</v>
      </c>
      <c r="N699">
        <v>0</v>
      </c>
      <c r="O699">
        <v>75700</v>
      </c>
      <c r="P699">
        <v>40000</v>
      </c>
      <c r="Q699">
        <v>35700</v>
      </c>
      <c r="R699">
        <v>47.16</v>
      </c>
      <c r="S699" t="s">
        <v>97</v>
      </c>
      <c r="T699">
        <v>4100</v>
      </c>
      <c r="U699">
        <v>4.7</v>
      </c>
      <c r="V699" t="s">
        <v>58</v>
      </c>
    </row>
    <row r="700" spans="1:22" x14ac:dyDescent="0.3">
      <c r="A700" t="s">
        <v>2389</v>
      </c>
      <c r="B700" t="s">
        <v>1391</v>
      </c>
      <c r="C700" t="s">
        <v>1392</v>
      </c>
      <c r="D700" s="2">
        <v>46002</v>
      </c>
      <c r="E700" t="s">
        <v>282</v>
      </c>
      <c r="F700" t="s">
        <v>282</v>
      </c>
      <c r="G700" t="s">
        <v>67</v>
      </c>
      <c r="H700" t="s">
        <v>268</v>
      </c>
      <c r="I700" t="s">
        <v>29</v>
      </c>
      <c r="J700" t="s">
        <v>70</v>
      </c>
      <c r="K700">
        <v>6</v>
      </c>
      <c r="L700">
        <v>16</v>
      </c>
      <c r="M700">
        <v>40000</v>
      </c>
      <c r="N700">
        <v>4000</v>
      </c>
      <c r="O700">
        <v>36000</v>
      </c>
      <c r="P700">
        <v>28500</v>
      </c>
      <c r="Q700">
        <v>7500</v>
      </c>
      <c r="R700">
        <v>20.83</v>
      </c>
      <c r="S700" t="s">
        <v>79</v>
      </c>
      <c r="T700">
        <v>5700</v>
      </c>
      <c r="U700">
        <v>5</v>
      </c>
      <c r="V700" t="s">
        <v>114</v>
      </c>
    </row>
    <row r="701" spans="1:22" x14ac:dyDescent="0.3">
      <c r="A701" t="s">
        <v>3648</v>
      </c>
      <c r="B701" t="s">
        <v>2173</v>
      </c>
      <c r="C701" t="s">
        <v>2174</v>
      </c>
      <c r="D701" s="2">
        <v>46002</v>
      </c>
      <c r="E701" t="s">
        <v>26</v>
      </c>
      <c r="F701" t="s">
        <v>26</v>
      </c>
      <c r="G701" t="s">
        <v>48</v>
      </c>
      <c r="H701" t="s">
        <v>49</v>
      </c>
      <c r="I701" t="s">
        <v>69</v>
      </c>
      <c r="J701" t="s">
        <v>30</v>
      </c>
      <c r="K701">
        <v>6</v>
      </c>
      <c r="L701">
        <v>40</v>
      </c>
      <c r="M701">
        <v>24000</v>
      </c>
      <c r="N701">
        <v>4800</v>
      </c>
      <c r="O701">
        <v>19200</v>
      </c>
      <c r="P701">
        <v>11900</v>
      </c>
      <c r="Q701">
        <v>7300</v>
      </c>
      <c r="R701">
        <v>38.020000000000003</v>
      </c>
      <c r="S701" t="s">
        <v>126</v>
      </c>
      <c r="T701">
        <v>2300</v>
      </c>
      <c r="U701">
        <v>3.7</v>
      </c>
      <c r="V701" t="s">
        <v>42</v>
      </c>
    </row>
    <row r="702" spans="1:22" x14ac:dyDescent="0.3">
      <c r="A702" t="s">
        <v>5046</v>
      </c>
      <c r="B702" t="s">
        <v>2000</v>
      </c>
      <c r="C702" t="s">
        <v>2001</v>
      </c>
      <c r="D702" s="2">
        <v>46003</v>
      </c>
      <c r="E702" t="s">
        <v>66</v>
      </c>
      <c r="F702" t="s">
        <v>66</v>
      </c>
      <c r="G702" t="s">
        <v>67</v>
      </c>
      <c r="H702" t="s">
        <v>68</v>
      </c>
      <c r="I702" t="s">
        <v>69</v>
      </c>
      <c r="J702" t="s">
        <v>70</v>
      </c>
      <c r="K702">
        <v>6</v>
      </c>
      <c r="M702">
        <v>55600</v>
      </c>
      <c r="N702">
        <v>8300</v>
      </c>
      <c r="O702">
        <v>47300</v>
      </c>
      <c r="P702">
        <v>26700</v>
      </c>
      <c r="Q702">
        <v>20600</v>
      </c>
      <c r="R702">
        <v>43.55</v>
      </c>
      <c r="S702" t="s">
        <v>126</v>
      </c>
      <c r="T702">
        <v>5000</v>
      </c>
      <c r="U702">
        <v>4.5999999999999996</v>
      </c>
      <c r="V702" t="s">
        <v>82</v>
      </c>
    </row>
    <row r="703" spans="1:22" x14ac:dyDescent="0.3">
      <c r="A703" t="s">
        <v>1305</v>
      </c>
      <c r="B703" t="s">
        <v>1306</v>
      </c>
      <c r="C703" t="s">
        <v>1307</v>
      </c>
      <c r="D703" s="2">
        <v>46004</v>
      </c>
      <c r="E703" t="s">
        <v>161</v>
      </c>
      <c r="F703" t="s">
        <v>161</v>
      </c>
      <c r="G703" t="s">
        <v>118</v>
      </c>
      <c r="H703" t="s">
        <v>5470</v>
      </c>
      <c r="I703" t="s">
        <v>69</v>
      </c>
      <c r="J703" t="s">
        <v>70</v>
      </c>
      <c r="K703">
        <v>2</v>
      </c>
      <c r="L703">
        <v>41</v>
      </c>
      <c r="M703">
        <v>20200</v>
      </c>
      <c r="N703">
        <v>1000</v>
      </c>
      <c r="O703">
        <v>19200</v>
      </c>
      <c r="P703">
        <v>11600</v>
      </c>
      <c r="Q703">
        <v>7600</v>
      </c>
      <c r="R703">
        <v>39.58</v>
      </c>
      <c r="S703" t="s">
        <v>126</v>
      </c>
      <c r="T703">
        <v>1700</v>
      </c>
      <c r="U703">
        <v>4.5</v>
      </c>
      <c r="V703" t="s">
        <v>42</v>
      </c>
    </row>
    <row r="704" spans="1:22" x14ac:dyDescent="0.3">
      <c r="A704" t="s">
        <v>2779</v>
      </c>
      <c r="B704" t="s">
        <v>2317</v>
      </c>
      <c r="C704" t="s">
        <v>2318</v>
      </c>
      <c r="D704" s="2">
        <v>46005</v>
      </c>
      <c r="E704" t="s">
        <v>134</v>
      </c>
      <c r="F704" t="s">
        <v>134</v>
      </c>
      <c r="G704" t="s">
        <v>580</v>
      </c>
      <c r="H704" t="s">
        <v>5470</v>
      </c>
      <c r="I704" t="s">
        <v>69</v>
      </c>
      <c r="J704" t="s">
        <v>70</v>
      </c>
      <c r="K704">
        <v>9</v>
      </c>
      <c r="L704">
        <v>46</v>
      </c>
      <c r="M704">
        <v>20500</v>
      </c>
      <c r="N704">
        <v>0</v>
      </c>
      <c r="O704">
        <v>20500</v>
      </c>
      <c r="P704">
        <v>13700</v>
      </c>
      <c r="Q704">
        <v>6800</v>
      </c>
      <c r="R704">
        <v>33.17</v>
      </c>
      <c r="S704" t="s">
        <v>126</v>
      </c>
      <c r="T704">
        <v>1500</v>
      </c>
      <c r="V704" t="s">
        <v>42</v>
      </c>
    </row>
    <row r="705" spans="1:22" x14ac:dyDescent="0.3">
      <c r="A705" t="s">
        <v>3363</v>
      </c>
      <c r="B705" t="s">
        <v>962</v>
      </c>
      <c r="C705" t="s">
        <v>963</v>
      </c>
      <c r="D705" s="2">
        <v>46005</v>
      </c>
      <c r="E705" t="s">
        <v>244</v>
      </c>
      <c r="F705" t="s">
        <v>244</v>
      </c>
      <c r="G705" t="s">
        <v>48</v>
      </c>
      <c r="H705" t="s">
        <v>5470</v>
      </c>
      <c r="I705" t="s">
        <v>29</v>
      </c>
      <c r="J705" t="s">
        <v>30</v>
      </c>
      <c r="K705">
        <v>2</v>
      </c>
      <c r="L705">
        <v>59</v>
      </c>
      <c r="M705">
        <v>49200</v>
      </c>
      <c r="N705">
        <v>4900</v>
      </c>
      <c r="O705">
        <v>44300</v>
      </c>
      <c r="P705">
        <v>25700</v>
      </c>
      <c r="Q705">
        <v>18600</v>
      </c>
      <c r="R705">
        <v>41.99</v>
      </c>
      <c r="S705" t="s">
        <v>79</v>
      </c>
      <c r="T705">
        <v>4400</v>
      </c>
      <c r="U705">
        <v>3.5</v>
      </c>
      <c r="V705" t="s">
        <v>58</v>
      </c>
    </row>
    <row r="706" spans="1:22" x14ac:dyDescent="0.3">
      <c r="A706" t="s">
        <v>1577</v>
      </c>
      <c r="B706" t="s">
        <v>1578</v>
      </c>
      <c r="C706" t="s">
        <v>1579</v>
      </c>
      <c r="D706" s="2">
        <v>46005</v>
      </c>
      <c r="E706" t="s">
        <v>188</v>
      </c>
      <c r="F706" t="s">
        <v>188</v>
      </c>
      <c r="G706" t="s">
        <v>103</v>
      </c>
      <c r="H706" t="s">
        <v>28</v>
      </c>
      <c r="I706" t="s">
        <v>69</v>
      </c>
      <c r="J706" t="s">
        <v>162</v>
      </c>
      <c r="K706">
        <v>10</v>
      </c>
      <c r="L706">
        <v>39</v>
      </c>
      <c r="M706">
        <v>20700</v>
      </c>
      <c r="N706">
        <v>0</v>
      </c>
      <c r="O706">
        <v>20700</v>
      </c>
      <c r="P706">
        <v>16800</v>
      </c>
      <c r="Q706">
        <v>3900</v>
      </c>
      <c r="R706">
        <v>18.84</v>
      </c>
      <c r="S706" t="s">
        <v>182</v>
      </c>
      <c r="T706">
        <v>2800</v>
      </c>
      <c r="U706">
        <v>3.4</v>
      </c>
      <c r="V706" t="s">
        <v>42</v>
      </c>
    </row>
    <row r="707" spans="1:22" x14ac:dyDescent="0.3">
      <c r="A707" t="s">
        <v>3858</v>
      </c>
      <c r="B707" t="s">
        <v>2915</v>
      </c>
      <c r="C707" t="s">
        <v>2916</v>
      </c>
      <c r="D707" s="2">
        <v>46006</v>
      </c>
      <c r="E707" t="s">
        <v>66</v>
      </c>
      <c r="F707" t="s">
        <v>66</v>
      </c>
      <c r="G707" t="s">
        <v>67</v>
      </c>
      <c r="H707" t="s">
        <v>49</v>
      </c>
      <c r="I707" t="s">
        <v>69</v>
      </c>
      <c r="J707" t="s">
        <v>30</v>
      </c>
      <c r="K707">
        <v>4</v>
      </c>
      <c r="L707">
        <v>35</v>
      </c>
      <c r="M707">
        <v>74200</v>
      </c>
      <c r="N707">
        <v>0</v>
      </c>
      <c r="O707">
        <v>74200</v>
      </c>
      <c r="P707">
        <v>47100</v>
      </c>
      <c r="Q707">
        <v>27100</v>
      </c>
      <c r="R707">
        <v>36.520000000000003</v>
      </c>
      <c r="S707" t="s">
        <v>126</v>
      </c>
      <c r="T707">
        <v>5600</v>
      </c>
      <c r="U707">
        <v>4.7</v>
      </c>
      <c r="V707" t="s">
        <v>79</v>
      </c>
    </row>
    <row r="708" spans="1:22" x14ac:dyDescent="0.3">
      <c r="A708" t="s">
        <v>5068</v>
      </c>
      <c r="B708" t="s">
        <v>3295</v>
      </c>
      <c r="C708" t="s">
        <v>3296</v>
      </c>
      <c r="D708" s="2">
        <v>46006</v>
      </c>
      <c r="E708" t="s">
        <v>244</v>
      </c>
      <c r="F708" t="s">
        <v>244</v>
      </c>
      <c r="G708" t="s">
        <v>213</v>
      </c>
      <c r="H708" t="s">
        <v>214</v>
      </c>
      <c r="I708" t="s">
        <v>69</v>
      </c>
      <c r="J708" t="s">
        <v>30</v>
      </c>
      <c r="K708">
        <v>7</v>
      </c>
      <c r="L708">
        <v>28</v>
      </c>
      <c r="M708">
        <v>35500</v>
      </c>
      <c r="N708">
        <v>5300</v>
      </c>
      <c r="O708">
        <v>30200</v>
      </c>
      <c r="P708">
        <v>19600</v>
      </c>
      <c r="Q708">
        <v>10600</v>
      </c>
      <c r="R708">
        <v>35.1</v>
      </c>
      <c r="S708" t="s">
        <v>97</v>
      </c>
      <c r="T708">
        <v>1800</v>
      </c>
      <c r="U708">
        <v>4.5999999999999996</v>
      </c>
      <c r="V708" t="s">
        <v>79</v>
      </c>
    </row>
    <row r="709" spans="1:22" x14ac:dyDescent="0.3">
      <c r="A709" t="s">
        <v>3830</v>
      </c>
      <c r="B709" t="s">
        <v>2627</v>
      </c>
      <c r="C709" t="s">
        <v>2628</v>
      </c>
      <c r="D709" s="2">
        <v>46006</v>
      </c>
      <c r="E709" t="s">
        <v>282</v>
      </c>
      <c r="F709" t="s">
        <v>282</v>
      </c>
      <c r="G709" t="s">
        <v>67</v>
      </c>
      <c r="H709" t="s">
        <v>68</v>
      </c>
      <c r="I709" t="s">
        <v>29</v>
      </c>
      <c r="J709" t="s">
        <v>70</v>
      </c>
      <c r="K709">
        <v>7</v>
      </c>
      <c r="L709">
        <v>40</v>
      </c>
      <c r="M709">
        <v>31300</v>
      </c>
      <c r="N709">
        <v>0</v>
      </c>
      <c r="O709">
        <v>31300</v>
      </c>
      <c r="P709">
        <v>24200</v>
      </c>
      <c r="Q709">
        <v>7100</v>
      </c>
      <c r="R709">
        <v>22.68</v>
      </c>
      <c r="S709" t="s">
        <v>97</v>
      </c>
      <c r="T709">
        <v>3900</v>
      </c>
      <c r="U709">
        <v>3.5</v>
      </c>
      <c r="V709" t="s">
        <v>58</v>
      </c>
    </row>
    <row r="710" spans="1:22" x14ac:dyDescent="0.3">
      <c r="A710" t="s">
        <v>2539</v>
      </c>
      <c r="B710" t="s">
        <v>943</v>
      </c>
      <c r="C710" t="s">
        <v>944</v>
      </c>
      <c r="D710" s="2">
        <v>46007</v>
      </c>
      <c r="E710" t="s">
        <v>134</v>
      </c>
      <c r="F710" t="s">
        <v>134</v>
      </c>
      <c r="G710" t="s">
        <v>118</v>
      </c>
      <c r="H710" t="s">
        <v>5470</v>
      </c>
      <c r="I710" t="s">
        <v>29</v>
      </c>
      <c r="J710" t="s">
        <v>70</v>
      </c>
      <c r="K710">
        <v>7</v>
      </c>
      <c r="L710">
        <v>38</v>
      </c>
      <c r="M710">
        <v>59900</v>
      </c>
      <c r="N710">
        <v>6000</v>
      </c>
      <c r="O710">
        <v>53900</v>
      </c>
      <c r="P710">
        <v>41400</v>
      </c>
      <c r="Q710">
        <v>12500</v>
      </c>
      <c r="R710">
        <v>23.19</v>
      </c>
      <c r="S710" t="s">
        <v>39</v>
      </c>
      <c r="T710">
        <v>5600</v>
      </c>
      <c r="U710">
        <v>3.5</v>
      </c>
      <c r="V710" t="s">
        <v>114</v>
      </c>
    </row>
    <row r="711" spans="1:22" x14ac:dyDescent="0.3">
      <c r="A711" t="s">
        <v>4504</v>
      </c>
      <c r="B711" t="s">
        <v>2851</v>
      </c>
      <c r="C711" t="s">
        <v>2852</v>
      </c>
      <c r="D711" s="2">
        <v>46008</v>
      </c>
      <c r="E711" t="s">
        <v>26</v>
      </c>
      <c r="F711" t="s">
        <v>26</v>
      </c>
      <c r="G711" t="s">
        <v>27</v>
      </c>
      <c r="H711" t="s">
        <v>268</v>
      </c>
      <c r="I711" t="s">
        <v>29</v>
      </c>
      <c r="J711" t="s">
        <v>30</v>
      </c>
      <c r="K711">
        <v>9</v>
      </c>
      <c r="L711">
        <v>63</v>
      </c>
      <c r="M711">
        <v>133500</v>
      </c>
      <c r="N711">
        <v>6700</v>
      </c>
      <c r="O711">
        <v>126800</v>
      </c>
      <c r="P711">
        <v>101900</v>
      </c>
      <c r="Q711">
        <v>24900</v>
      </c>
      <c r="R711">
        <v>19.64</v>
      </c>
      <c r="S711" t="s">
        <v>58</v>
      </c>
      <c r="T711">
        <v>9700</v>
      </c>
      <c r="U711">
        <v>4</v>
      </c>
      <c r="V711" t="s">
        <v>42</v>
      </c>
    </row>
    <row r="712" spans="1:22" x14ac:dyDescent="0.3">
      <c r="A712" t="s">
        <v>3942</v>
      </c>
      <c r="B712" t="s">
        <v>1912</v>
      </c>
      <c r="C712" t="s">
        <v>1913</v>
      </c>
      <c r="D712" s="2">
        <v>46008</v>
      </c>
      <c r="E712" t="s">
        <v>188</v>
      </c>
      <c r="F712" t="s">
        <v>188</v>
      </c>
      <c r="G712" t="s">
        <v>67</v>
      </c>
      <c r="H712" t="s">
        <v>49</v>
      </c>
      <c r="I712" t="s">
        <v>69</v>
      </c>
      <c r="J712" t="s">
        <v>257</v>
      </c>
      <c r="K712">
        <v>6</v>
      </c>
      <c r="L712">
        <v>82</v>
      </c>
      <c r="M712">
        <v>15000</v>
      </c>
      <c r="N712">
        <v>2200</v>
      </c>
      <c r="O712">
        <v>12800</v>
      </c>
      <c r="P712">
        <v>8900</v>
      </c>
      <c r="Q712">
        <v>3900</v>
      </c>
      <c r="R712">
        <v>30.47</v>
      </c>
      <c r="S712" t="s">
        <v>97</v>
      </c>
      <c r="T712">
        <v>1000</v>
      </c>
      <c r="U712">
        <v>3.5</v>
      </c>
      <c r="V712" t="s">
        <v>82</v>
      </c>
    </row>
    <row r="713" spans="1:22" x14ac:dyDescent="0.3">
      <c r="A713" t="s">
        <v>2283</v>
      </c>
      <c r="B713" t="s">
        <v>1921</v>
      </c>
      <c r="C713" t="s">
        <v>1922</v>
      </c>
      <c r="D713" s="2">
        <v>46008</v>
      </c>
      <c r="E713" t="s">
        <v>26</v>
      </c>
      <c r="F713" t="s">
        <v>26</v>
      </c>
      <c r="G713" t="s">
        <v>27</v>
      </c>
      <c r="H713" t="s">
        <v>5470</v>
      </c>
      <c r="I713" t="s">
        <v>29</v>
      </c>
      <c r="J713" t="s">
        <v>162</v>
      </c>
      <c r="K713">
        <v>4</v>
      </c>
      <c r="L713">
        <v>41</v>
      </c>
      <c r="M713">
        <v>40100</v>
      </c>
      <c r="N713">
        <v>6000</v>
      </c>
      <c r="O713">
        <v>34100</v>
      </c>
      <c r="P713">
        <v>24100</v>
      </c>
      <c r="Q713">
        <v>10000</v>
      </c>
      <c r="R713">
        <v>29.33</v>
      </c>
      <c r="S713" t="s">
        <v>126</v>
      </c>
      <c r="T713">
        <v>3700</v>
      </c>
      <c r="U713">
        <v>3.1</v>
      </c>
      <c r="V713" t="s">
        <v>58</v>
      </c>
    </row>
    <row r="714" spans="1:22" x14ac:dyDescent="0.3">
      <c r="A714" t="s">
        <v>2560</v>
      </c>
      <c r="B714" t="s">
        <v>1468</v>
      </c>
      <c r="C714" t="s">
        <v>1469</v>
      </c>
      <c r="D714" s="2">
        <v>46009</v>
      </c>
      <c r="E714" t="s">
        <v>66</v>
      </c>
      <c r="F714" t="s">
        <v>66</v>
      </c>
      <c r="G714" t="s">
        <v>213</v>
      </c>
      <c r="H714" t="s">
        <v>28</v>
      </c>
      <c r="I714" t="s">
        <v>69</v>
      </c>
      <c r="J714" t="s">
        <v>30</v>
      </c>
      <c r="K714">
        <v>6</v>
      </c>
      <c r="L714">
        <v>34</v>
      </c>
      <c r="M714">
        <v>29500</v>
      </c>
      <c r="N714">
        <v>3000</v>
      </c>
      <c r="O714">
        <v>26500</v>
      </c>
      <c r="P714">
        <v>18100</v>
      </c>
      <c r="Q714">
        <v>8400</v>
      </c>
      <c r="R714">
        <v>31.7</v>
      </c>
      <c r="S714" t="s">
        <v>182</v>
      </c>
      <c r="T714">
        <v>2800</v>
      </c>
      <c r="U714">
        <v>3.6</v>
      </c>
      <c r="V714" t="s">
        <v>58</v>
      </c>
    </row>
    <row r="715" spans="1:22" x14ac:dyDescent="0.3">
      <c r="A715" t="s">
        <v>1935</v>
      </c>
      <c r="B715" t="s">
        <v>716</v>
      </c>
      <c r="C715" t="s">
        <v>717</v>
      </c>
      <c r="D715" s="2">
        <v>46009</v>
      </c>
      <c r="E715" t="s">
        <v>188</v>
      </c>
      <c r="F715" t="s">
        <v>188</v>
      </c>
      <c r="G715" t="s">
        <v>118</v>
      </c>
      <c r="H715" t="s">
        <v>214</v>
      </c>
      <c r="I715" t="s">
        <v>29</v>
      </c>
      <c r="J715" t="s">
        <v>70</v>
      </c>
      <c r="K715">
        <v>9</v>
      </c>
      <c r="L715">
        <v>24</v>
      </c>
      <c r="M715">
        <v>39800</v>
      </c>
      <c r="N715">
        <v>4000</v>
      </c>
      <c r="O715">
        <v>35800</v>
      </c>
      <c r="P715">
        <v>31500</v>
      </c>
      <c r="Q715">
        <v>4300</v>
      </c>
      <c r="R715">
        <v>12.01</v>
      </c>
      <c r="S715" t="s">
        <v>39</v>
      </c>
      <c r="T715">
        <v>5300</v>
      </c>
      <c r="U715">
        <v>3.9</v>
      </c>
      <c r="V715" t="s">
        <v>79</v>
      </c>
    </row>
    <row r="716" spans="1:22" x14ac:dyDescent="0.3">
      <c r="A716" t="s">
        <v>4000</v>
      </c>
      <c r="B716" t="s">
        <v>2240</v>
      </c>
      <c r="C716" t="s">
        <v>2241</v>
      </c>
      <c r="D716" s="2">
        <v>46009</v>
      </c>
      <c r="E716" t="s">
        <v>66</v>
      </c>
      <c r="F716" t="s">
        <v>66</v>
      </c>
      <c r="G716" t="s">
        <v>213</v>
      </c>
      <c r="H716" t="s">
        <v>88</v>
      </c>
      <c r="I716" t="s">
        <v>69</v>
      </c>
      <c r="J716" t="s">
        <v>30</v>
      </c>
      <c r="K716">
        <v>6</v>
      </c>
      <c r="L716">
        <v>49</v>
      </c>
      <c r="M716">
        <v>55100</v>
      </c>
      <c r="N716">
        <v>8300</v>
      </c>
      <c r="O716">
        <v>46800</v>
      </c>
      <c r="P716">
        <v>27300</v>
      </c>
      <c r="Q716">
        <v>19500</v>
      </c>
      <c r="R716">
        <v>41.67</v>
      </c>
      <c r="S716" t="s">
        <v>79</v>
      </c>
      <c r="T716">
        <v>2200</v>
      </c>
      <c r="U716">
        <v>4.8</v>
      </c>
      <c r="V716" t="s">
        <v>58</v>
      </c>
    </row>
    <row r="717" spans="1:22" x14ac:dyDescent="0.3">
      <c r="A717" t="s">
        <v>2821</v>
      </c>
      <c r="B717" t="s">
        <v>2822</v>
      </c>
      <c r="C717" t="s">
        <v>2823</v>
      </c>
      <c r="D717" s="2">
        <v>46009</v>
      </c>
      <c r="E717" t="s">
        <v>282</v>
      </c>
      <c r="F717" t="s">
        <v>282</v>
      </c>
      <c r="G717" t="s">
        <v>103</v>
      </c>
      <c r="H717" t="s">
        <v>28</v>
      </c>
      <c r="I717" t="s">
        <v>69</v>
      </c>
      <c r="J717" t="s">
        <v>30</v>
      </c>
      <c r="K717">
        <v>7</v>
      </c>
      <c r="L717">
        <v>5</v>
      </c>
      <c r="M717">
        <v>39100</v>
      </c>
      <c r="N717">
        <v>2000</v>
      </c>
      <c r="O717">
        <v>37100</v>
      </c>
      <c r="P717">
        <v>25100</v>
      </c>
      <c r="Q717">
        <v>12000</v>
      </c>
      <c r="R717">
        <v>32.35</v>
      </c>
      <c r="S717" t="s">
        <v>97</v>
      </c>
      <c r="T717">
        <v>3300</v>
      </c>
      <c r="U717">
        <v>3.5</v>
      </c>
      <c r="V717" t="s">
        <v>82</v>
      </c>
    </row>
    <row r="718" spans="1:22" x14ac:dyDescent="0.3">
      <c r="A718" t="s">
        <v>4002</v>
      </c>
      <c r="B718" t="s">
        <v>2057</v>
      </c>
      <c r="C718" t="s">
        <v>2058</v>
      </c>
      <c r="D718" s="2">
        <v>46010</v>
      </c>
      <c r="E718" t="s">
        <v>244</v>
      </c>
      <c r="F718" t="s">
        <v>244</v>
      </c>
      <c r="G718" t="s">
        <v>27</v>
      </c>
      <c r="H718" t="s">
        <v>229</v>
      </c>
      <c r="I718" t="s">
        <v>69</v>
      </c>
      <c r="J718" t="s">
        <v>257</v>
      </c>
      <c r="K718">
        <v>5</v>
      </c>
      <c r="L718">
        <v>43</v>
      </c>
      <c r="M718">
        <v>89100</v>
      </c>
      <c r="N718">
        <v>0</v>
      </c>
      <c r="O718">
        <v>89100</v>
      </c>
      <c r="P718">
        <v>49100</v>
      </c>
      <c r="Q718">
        <v>40000</v>
      </c>
      <c r="R718">
        <v>44.89</v>
      </c>
      <c r="S718" t="s">
        <v>79</v>
      </c>
      <c r="T718">
        <v>7100</v>
      </c>
      <c r="U718">
        <v>4.3</v>
      </c>
      <c r="V718" t="s">
        <v>79</v>
      </c>
    </row>
    <row r="719" spans="1:22" x14ac:dyDescent="0.3">
      <c r="A719" t="s">
        <v>1625</v>
      </c>
      <c r="B719" t="s">
        <v>1251</v>
      </c>
      <c r="C719" t="s">
        <v>1252</v>
      </c>
      <c r="D719" s="2">
        <v>46011</v>
      </c>
      <c r="E719" t="s">
        <v>161</v>
      </c>
      <c r="F719" t="s">
        <v>161</v>
      </c>
      <c r="G719" t="s">
        <v>27</v>
      </c>
      <c r="H719" t="s">
        <v>229</v>
      </c>
      <c r="I719" t="s">
        <v>69</v>
      </c>
      <c r="J719" t="s">
        <v>30</v>
      </c>
      <c r="K719">
        <v>4</v>
      </c>
      <c r="L719">
        <v>91</v>
      </c>
      <c r="M719">
        <v>35400</v>
      </c>
      <c r="N719">
        <v>3500</v>
      </c>
      <c r="O719">
        <v>31900</v>
      </c>
      <c r="P719">
        <v>20500</v>
      </c>
      <c r="Q719">
        <v>11400</v>
      </c>
      <c r="R719">
        <v>35.74</v>
      </c>
      <c r="S719" t="s">
        <v>58</v>
      </c>
      <c r="T719">
        <v>5200</v>
      </c>
      <c r="U719">
        <v>4.0999999999999996</v>
      </c>
      <c r="V719" t="s">
        <v>82</v>
      </c>
    </row>
    <row r="720" spans="1:22" x14ac:dyDescent="0.3">
      <c r="A720" t="s">
        <v>2567</v>
      </c>
      <c r="B720" t="s">
        <v>853</v>
      </c>
      <c r="C720" t="s">
        <v>854</v>
      </c>
      <c r="D720" s="2">
        <v>46011</v>
      </c>
      <c r="E720" t="s">
        <v>66</v>
      </c>
      <c r="F720" t="s">
        <v>66</v>
      </c>
      <c r="G720" t="s">
        <v>213</v>
      </c>
      <c r="H720" t="s">
        <v>229</v>
      </c>
      <c r="I720" t="s">
        <v>69</v>
      </c>
      <c r="J720" t="s">
        <v>257</v>
      </c>
      <c r="K720">
        <v>4</v>
      </c>
      <c r="L720">
        <v>22</v>
      </c>
      <c r="M720">
        <v>70100</v>
      </c>
      <c r="N720">
        <v>3500</v>
      </c>
      <c r="O720">
        <v>66600</v>
      </c>
      <c r="P720">
        <v>53200</v>
      </c>
      <c r="Q720">
        <v>13400</v>
      </c>
      <c r="R720">
        <v>20.12</v>
      </c>
      <c r="S720" t="s">
        <v>97</v>
      </c>
      <c r="T720">
        <v>8100</v>
      </c>
      <c r="U720">
        <v>4.3</v>
      </c>
      <c r="V720" t="s">
        <v>42</v>
      </c>
    </row>
    <row r="721" spans="1:22" x14ac:dyDescent="0.3">
      <c r="A721" t="s">
        <v>3853</v>
      </c>
      <c r="B721" t="s">
        <v>3854</v>
      </c>
      <c r="C721" t="s">
        <v>3855</v>
      </c>
      <c r="D721" s="2">
        <v>46011</v>
      </c>
      <c r="E721" t="s">
        <v>282</v>
      </c>
      <c r="F721" t="s">
        <v>282</v>
      </c>
      <c r="G721" t="s">
        <v>27</v>
      </c>
      <c r="H721" t="s">
        <v>88</v>
      </c>
      <c r="I721" t="s">
        <v>69</v>
      </c>
      <c r="J721" t="s">
        <v>70</v>
      </c>
      <c r="K721">
        <v>8</v>
      </c>
      <c r="L721">
        <v>43</v>
      </c>
      <c r="M721">
        <v>33500</v>
      </c>
      <c r="N721">
        <v>5000</v>
      </c>
      <c r="O721">
        <v>28500</v>
      </c>
      <c r="P721">
        <v>17800</v>
      </c>
      <c r="Q721">
        <v>10700</v>
      </c>
      <c r="R721">
        <v>37.54</v>
      </c>
      <c r="S721" t="s">
        <v>182</v>
      </c>
      <c r="T721">
        <v>4200</v>
      </c>
      <c r="U721">
        <v>4.5</v>
      </c>
      <c r="V721" t="s">
        <v>82</v>
      </c>
    </row>
    <row r="722" spans="1:22" x14ac:dyDescent="0.3">
      <c r="A722" t="s">
        <v>2156</v>
      </c>
      <c r="B722" t="s">
        <v>2157</v>
      </c>
      <c r="C722" t="s">
        <v>2158</v>
      </c>
      <c r="D722" s="2">
        <v>46012</v>
      </c>
      <c r="E722" t="s">
        <v>134</v>
      </c>
      <c r="F722" t="s">
        <v>134</v>
      </c>
      <c r="G722" t="s">
        <v>48</v>
      </c>
      <c r="H722" t="s">
        <v>268</v>
      </c>
      <c r="I722" t="s">
        <v>69</v>
      </c>
      <c r="J722" t="s">
        <v>257</v>
      </c>
      <c r="K722">
        <v>2</v>
      </c>
      <c r="L722">
        <v>5</v>
      </c>
      <c r="M722">
        <v>28400</v>
      </c>
      <c r="N722">
        <v>1400</v>
      </c>
      <c r="O722">
        <v>27000</v>
      </c>
      <c r="P722">
        <v>16900</v>
      </c>
      <c r="Q722">
        <v>10100</v>
      </c>
      <c r="R722">
        <v>37.409999999999997</v>
      </c>
      <c r="S722" t="s">
        <v>39</v>
      </c>
      <c r="T722">
        <v>1900</v>
      </c>
      <c r="U722">
        <v>4</v>
      </c>
      <c r="V722" t="s">
        <v>114</v>
      </c>
    </row>
    <row r="723" spans="1:22" x14ac:dyDescent="0.3">
      <c r="A723" t="s">
        <v>4777</v>
      </c>
      <c r="B723" t="s">
        <v>2808</v>
      </c>
      <c r="C723" t="s">
        <v>2809</v>
      </c>
      <c r="D723" s="2">
        <v>46012</v>
      </c>
      <c r="E723" t="s">
        <v>26</v>
      </c>
      <c r="F723" t="s">
        <v>26</v>
      </c>
      <c r="G723" t="s">
        <v>67</v>
      </c>
      <c r="H723" t="s">
        <v>5470</v>
      </c>
      <c r="I723" t="s">
        <v>29</v>
      </c>
      <c r="J723" t="s">
        <v>70</v>
      </c>
      <c r="K723">
        <v>8</v>
      </c>
      <c r="L723">
        <v>56</v>
      </c>
      <c r="M723">
        <v>65200</v>
      </c>
      <c r="N723">
        <v>3300</v>
      </c>
      <c r="O723">
        <v>61900</v>
      </c>
      <c r="P723">
        <v>27900</v>
      </c>
      <c r="Q723">
        <v>34000</v>
      </c>
      <c r="R723">
        <v>54.93</v>
      </c>
      <c r="S723" t="s">
        <v>79</v>
      </c>
      <c r="T723">
        <v>3100</v>
      </c>
      <c r="U723">
        <v>4.5</v>
      </c>
      <c r="V723" t="s">
        <v>114</v>
      </c>
    </row>
    <row r="724" spans="1:22" x14ac:dyDescent="0.3">
      <c r="A724" t="s">
        <v>3470</v>
      </c>
      <c r="B724" t="s">
        <v>787</v>
      </c>
      <c r="C724" t="s">
        <v>788</v>
      </c>
      <c r="D724" s="2">
        <v>46013</v>
      </c>
      <c r="E724" t="s">
        <v>228</v>
      </c>
      <c r="F724" t="s">
        <v>228</v>
      </c>
      <c r="G724" t="s">
        <v>67</v>
      </c>
      <c r="H724" t="s">
        <v>5471</v>
      </c>
      <c r="I724" t="s">
        <v>69</v>
      </c>
      <c r="J724" t="s">
        <v>30</v>
      </c>
      <c r="K724">
        <v>8</v>
      </c>
      <c r="L724">
        <v>40</v>
      </c>
      <c r="M724">
        <v>52900</v>
      </c>
      <c r="N724">
        <v>7900</v>
      </c>
      <c r="O724">
        <v>45000</v>
      </c>
      <c r="P724">
        <v>25200</v>
      </c>
      <c r="Q724">
        <v>19800</v>
      </c>
      <c r="R724">
        <v>44</v>
      </c>
      <c r="S724" t="s">
        <v>39</v>
      </c>
      <c r="T724">
        <v>2400</v>
      </c>
      <c r="U724">
        <v>4.2</v>
      </c>
      <c r="V724" t="s">
        <v>42</v>
      </c>
    </row>
    <row r="725" spans="1:22" x14ac:dyDescent="0.3">
      <c r="A725" t="s">
        <v>3068</v>
      </c>
      <c r="B725" t="s">
        <v>3069</v>
      </c>
      <c r="C725" t="s">
        <v>3070</v>
      </c>
      <c r="D725" s="2">
        <v>46013</v>
      </c>
      <c r="E725" t="s">
        <v>228</v>
      </c>
      <c r="F725" t="s">
        <v>228</v>
      </c>
      <c r="G725" t="s">
        <v>103</v>
      </c>
      <c r="H725" t="s">
        <v>268</v>
      </c>
      <c r="I725" t="s">
        <v>29</v>
      </c>
      <c r="J725" t="s">
        <v>30</v>
      </c>
      <c r="K725">
        <v>7</v>
      </c>
      <c r="L725">
        <v>42</v>
      </c>
      <c r="M725">
        <v>43600</v>
      </c>
      <c r="N725">
        <v>8700</v>
      </c>
      <c r="O725">
        <v>34900</v>
      </c>
      <c r="P725">
        <v>25400</v>
      </c>
      <c r="Q725">
        <v>9500</v>
      </c>
      <c r="R725">
        <v>27.22</v>
      </c>
      <c r="S725" t="s">
        <v>39</v>
      </c>
      <c r="T725">
        <v>4300</v>
      </c>
      <c r="U725">
        <v>4.9000000000000004</v>
      </c>
      <c r="V725" t="s">
        <v>82</v>
      </c>
    </row>
    <row r="726" spans="1:22" x14ac:dyDescent="0.3">
      <c r="A726" t="s">
        <v>1721</v>
      </c>
      <c r="B726" t="s">
        <v>1722</v>
      </c>
      <c r="C726" t="s">
        <v>1723</v>
      </c>
      <c r="D726" s="2">
        <v>46014</v>
      </c>
      <c r="E726" t="s">
        <v>228</v>
      </c>
      <c r="F726" t="s">
        <v>228</v>
      </c>
      <c r="G726" t="s">
        <v>213</v>
      </c>
      <c r="H726" t="s">
        <v>49</v>
      </c>
      <c r="I726" t="s">
        <v>69</v>
      </c>
      <c r="J726" t="s">
        <v>30</v>
      </c>
      <c r="K726">
        <v>3</v>
      </c>
      <c r="L726">
        <v>21</v>
      </c>
      <c r="M726">
        <v>21200</v>
      </c>
      <c r="N726">
        <v>0</v>
      </c>
      <c r="O726">
        <v>21200</v>
      </c>
      <c r="P726">
        <v>14200</v>
      </c>
      <c r="Q726">
        <v>7000</v>
      </c>
      <c r="R726">
        <v>33.020000000000003</v>
      </c>
      <c r="S726" t="s">
        <v>39</v>
      </c>
      <c r="T726">
        <v>2000</v>
      </c>
      <c r="U726">
        <v>4.9000000000000004</v>
      </c>
      <c r="V726" t="s">
        <v>42</v>
      </c>
    </row>
    <row r="727" spans="1:22" x14ac:dyDescent="0.3">
      <c r="A727" t="s">
        <v>4954</v>
      </c>
      <c r="B727" t="s">
        <v>339</v>
      </c>
      <c r="C727" t="s">
        <v>340</v>
      </c>
      <c r="D727" s="2">
        <v>46014</v>
      </c>
      <c r="E727" t="s">
        <v>161</v>
      </c>
      <c r="F727" t="s">
        <v>161</v>
      </c>
      <c r="G727" t="s">
        <v>580</v>
      </c>
      <c r="H727" t="s">
        <v>229</v>
      </c>
      <c r="I727" t="s">
        <v>69</v>
      </c>
      <c r="J727" t="s">
        <v>30</v>
      </c>
      <c r="K727">
        <v>4</v>
      </c>
      <c r="L727">
        <v>70</v>
      </c>
      <c r="M727">
        <v>20500</v>
      </c>
      <c r="N727">
        <v>0</v>
      </c>
      <c r="O727">
        <v>20500</v>
      </c>
      <c r="P727">
        <v>14500</v>
      </c>
      <c r="Q727">
        <v>6000</v>
      </c>
      <c r="R727">
        <v>29.27</v>
      </c>
      <c r="S727" t="s">
        <v>97</v>
      </c>
      <c r="T727">
        <v>1900</v>
      </c>
      <c r="U727">
        <v>2</v>
      </c>
      <c r="V727" t="s">
        <v>79</v>
      </c>
    </row>
    <row r="728" spans="1:22" x14ac:dyDescent="0.3">
      <c r="A728" t="s">
        <v>3036</v>
      </c>
      <c r="B728" t="s">
        <v>2089</v>
      </c>
      <c r="C728" t="s">
        <v>2090</v>
      </c>
      <c r="D728" s="2">
        <v>46014</v>
      </c>
      <c r="E728" t="s">
        <v>161</v>
      </c>
      <c r="F728" t="s">
        <v>161</v>
      </c>
      <c r="G728" t="s">
        <v>147</v>
      </c>
      <c r="H728" t="s">
        <v>268</v>
      </c>
      <c r="I728" t="s">
        <v>69</v>
      </c>
      <c r="J728" t="s">
        <v>30</v>
      </c>
      <c r="K728">
        <v>5</v>
      </c>
      <c r="L728">
        <v>48</v>
      </c>
      <c r="M728">
        <v>16600</v>
      </c>
      <c r="N728">
        <v>2500</v>
      </c>
      <c r="O728">
        <v>14100</v>
      </c>
      <c r="P728">
        <v>12300</v>
      </c>
      <c r="Q728">
        <v>1800</v>
      </c>
      <c r="R728">
        <v>12.77</v>
      </c>
      <c r="S728" t="s">
        <v>79</v>
      </c>
      <c r="T728">
        <v>1500</v>
      </c>
      <c r="U728">
        <v>3.6</v>
      </c>
      <c r="V728" t="s">
        <v>82</v>
      </c>
    </row>
    <row r="729" spans="1:22" x14ac:dyDescent="0.3">
      <c r="A729" t="s">
        <v>3752</v>
      </c>
      <c r="B729" t="s">
        <v>2453</v>
      </c>
      <c r="C729" t="s">
        <v>2454</v>
      </c>
      <c r="D729" s="2">
        <v>46015</v>
      </c>
      <c r="E729" t="s">
        <v>228</v>
      </c>
      <c r="F729" t="s">
        <v>228</v>
      </c>
      <c r="G729" t="s">
        <v>213</v>
      </c>
      <c r="H729" t="s">
        <v>68</v>
      </c>
      <c r="I729" t="s">
        <v>29</v>
      </c>
      <c r="J729" t="s">
        <v>30</v>
      </c>
      <c r="K729">
        <v>3</v>
      </c>
      <c r="L729">
        <v>53</v>
      </c>
      <c r="M729">
        <v>47700</v>
      </c>
      <c r="N729">
        <v>9500</v>
      </c>
      <c r="O729">
        <v>38200</v>
      </c>
      <c r="P729">
        <v>25900</v>
      </c>
      <c r="Q729">
        <v>12300</v>
      </c>
      <c r="R729">
        <v>32.200000000000003</v>
      </c>
      <c r="S729" t="s">
        <v>97</v>
      </c>
      <c r="T729">
        <v>5300</v>
      </c>
      <c r="U729">
        <v>4.3</v>
      </c>
      <c r="V729" t="s">
        <v>58</v>
      </c>
    </row>
    <row r="730" spans="1:22" x14ac:dyDescent="0.3">
      <c r="A730" t="s">
        <v>1256</v>
      </c>
      <c r="B730" t="s">
        <v>1257</v>
      </c>
      <c r="C730" t="s">
        <v>1258</v>
      </c>
      <c r="D730" s="2">
        <v>46015</v>
      </c>
      <c r="E730" t="s">
        <v>134</v>
      </c>
      <c r="F730" t="s">
        <v>134</v>
      </c>
      <c r="G730" t="s">
        <v>103</v>
      </c>
      <c r="H730" t="s">
        <v>5470</v>
      </c>
      <c r="I730" t="s">
        <v>69</v>
      </c>
      <c r="J730" t="s">
        <v>70</v>
      </c>
      <c r="K730">
        <v>7</v>
      </c>
      <c r="L730">
        <v>69</v>
      </c>
      <c r="M730">
        <v>22400</v>
      </c>
      <c r="N730">
        <v>2200</v>
      </c>
      <c r="O730">
        <v>20200</v>
      </c>
      <c r="P730">
        <v>12800</v>
      </c>
      <c r="Q730">
        <v>7400</v>
      </c>
      <c r="R730">
        <v>36.630000000000003</v>
      </c>
      <c r="S730" t="s">
        <v>79</v>
      </c>
      <c r="T730">
        <v>3200</v>
      </c>
      <c r="U730">
        <v>3.6</v>
      </c>
      <c r="V730" t="s">
        <v>82</v>
      </c>
    </row>
    <row r="731" spans="1:22" x14ac:dyDescent="0.3">
      <c r="A731" t="s">
        <v>1621</v>
      </c>
      <c r="B731" t="s">
        <v>1622</v>
      </c>
      <c r="C731" t="s">
        <v>1623</v>
      </c>
      <c r="D731" s="2">
        <v>46015</v>
      </c>
      <c r="E731" t="s">
        <v>188</v>
      </c>
      <c r="F731" t="s">
        <v>188</v>
      </c>
      <c r="G731" t="s">
        <v>67</v>
      </c>
      <c r="H731" t="s">
        <v>5471</v>
      </c>
      <c r="I731" t="s">
        <v>69</v>
      </c>
      <c r="J731" t="s">
        <v>162</v>
      </c>
      <c r="K731">
        <v>10</v>
      </c>
      <c r="L731">
        <v>5</v>
      </c>
      <c r="M731">
        <v>27000</v>
      </c>
      <c r="N731">
        <v>2700</v>
      </c>
      <c r="O731">
        <v>24300</v>
      </c>
      <c r="P731">
        <v>15300</v>
      </c>
      <c r="Q731">
        <v>9000</v>
      </c>
      <c r="R731">
        <v>37.04</v>
      </c>
      <c r="S731" t="s">
        <v>182</v>
      </c>
      <c r="T731">
        <v>2700</v>
      </c>
      <c r="U731">
        <v>4.7</v>
      </c>
      <c r="V731" t="s">
        <v>58</v>
      </c>
    </row>
    <row r="732" spans="1:22" x14ac:dyDescent="0.3">
      <c r="A732" t="s">
        <v>2604</v>
      </c>
      <c r="B732" t="s">
        <v>84</v>
      </c>
      <c r="C732" t="s">
        <v>85</v>
      </c>
      <c r="D732" s="2">
        <v>46015</v>
      </c>
      <c r="E732" t="s">
        <v>161</v>
      </c>
      <c r="F732" t="s">
        <v>161</v>
      </c>
      <c r="G732" t="s">
        <v>118</v>
      </c>
      <c r="H732" t="s">
        <v>229</v>
      </c>
      <c r="I732" t="s">
        <v>29</v>
      </c>
      <c r="J732" t="s">
        <v>162</v>
      </c>
      <c r="K732">
        <v>5</v>
      </c>
      <c r="L732">
        <v>56</v>
      </c>
      <c r="M732">
        <v>38900</v>
      </c>
      <c r="N732">
        <v>3900</v>
      </c>
      <c r="O732">
        <v>35000</v>
      </c>
      <c r="P732">
        <v>28500</v>
      </c>
      <c r="Q732">
        <v>6500</v>
      </c>
      <c r="R732">
        <v>18.57</v>
      </c>
      <c r="S732" t="s">
        <v>126</v>
      </c>
      <c r="T732">
        <v>4200</v>
      </c>
      <c r="U732">
        <v>3.1</v>
      </c>
      <c r="V732" t="s">
        <v>82</v>
      </c>
    </row>
    <row r="733" spans="1:22" x14ac:dyDescent="0.3">
      <c r="A733" t="s">
        <v>4328</v>
      </c>
      <c r="B733" t="s">
        <v>1869</v>
      </c>
      <c r="C733" t="s">
        <v>1870</v>
      </c>
      <c r="D733" s="2">
        <v>46016</v>
      </c>
      <c r="E733" t="s">
        <v>26</v>
      </c>
      <c r="F733" t="s">
        <v>26</v>
      </c>
      <c r="G733" t="s">
        <v>27</v>
      </c>
      <c r="H733" t="s">
        <v>28</v>
      </c>
      <c r="I733" t="s">
        <v>29</v>
      </c>
      <c r="J733" t="s">
        <v>30</v>
      </c>
      <c r="K733">
        <v>4</v>
      </c>
      <c r="L733">
        <v>25</v>
      </c>
      <c r="M733">
        <v>20600</v>
      </c>
      <c r="N733">
        <v>0</v>
      </c>
      <c r="O733">
        <v>20600</v>
      </c>
      <c r="P733">
        <v>9000</v>
      </c>
      <c r="Q733">
        <v>11600</v>
      </c>
      <c r="R733">
        <v>56.31</v>
      </c>
      <c r="S733" t="s">
        <v>58</v>
      </c>
      <c r="T733">
        <v>3700</v>
      </c>
      <c r="U733">
        <v>5</v>
      </c>
      <c r="V733" t="s">
        <v>114</v>
      </c>
    </row>
    <row r="734" spans="1:22" x14ac:dyDescent="0.3">
      <c r="A734" t="s">
        <v>4760</v>
      </c>
      <c r="B734" t="s">
        <v>980</v>
      </c>
      <c r="C734" t="s">
        <v>981</v>
      </c>
      <c r="D734" s="2">
        <v>46016</v>
      </c>
      <c r="E734" t="s">
        <v>134</v>
      </c>
      <c r="F734" t="s">
        <v>134</v>
      </c>
      <c r="G734" t="s">
        <v>147</v>
      </c>
      <c r="H734" t="s">
        <v>88</v>
      </c>
      <c r="I734" t="s">
        <v>69</v>
      </c>
      <c r="J734" t="s">
        <v>30</v>
      </c>
      <c r="K734">
        <v>8</v>
      </c>
      <c r="L734">
        <v>53</v>
      </c>
      <c r="M734">
        <v>48700</v>
      </c>
      <c r="N734">
        <v>0</v>
      </c>
      <c r="O734">
        <v>48700</v>
      </c>
      <c r="P734">
        <v>26700</v>
      </c>
      <c r="Q734">
        <v>22000</v>
      </c>
      <c r="R734">
        <v>45.17</v>
      </c>
      <c r="S734" t="s">
        <v>39</v>
      </c>
      <c r="T734">
        <v>7700</v>
      </c>
      <c r="U734">
        <v>4.4000000000000004</v>
      </c>
      <c r="V734" t="s">
        <v>114</v>
      </c>
    </row>
    <row r="735" spans="1:22" x14ac:dyDescent="0.3">
      <c r="A735" t="s">
        <v>3513</v>
      </c>
      <c r="B735" t="s">
        <v>951</v>
      </c>
      <c r="C735" t="s">
        <v>952</v>
      </c>
      <c r="D735" s="2">
        <v>46017</v>
      </c>
      <c r="E735" t="s">
        <v>66</v>
      </c>
      <c r="F735" t="s">
        <v>66</v>
      </c>
      <c r="G735" t="s">
        <v>27</v>
      </c>
      <c r="H735" t="s">
        <v>49</v>
      </c>
      <c r="I735" t="s">
        <v>69</v>
      </c>
      <c r="J735" t="s">
        <v>257</v>
      </c>
      <c r="K735">
        <v>6</v>
      </c>
      <c r="L735">
        <v>34</v>
      </c>
      <c r="M735">
        <v>17700</v>
      </c>
      <c r="N735">
        <v>900</v>
      </c>
      <c r="O735">
        <v>16800</v>
      </c>
      <c r="P735">
        <v>7700</v>
      </c>
      <c r="Q735">
        <v>9100</v>
      </c>
      <c r="R735">
        <v>54.17</v>
      </c>
      <c r="S735" t="s">
        <v>97</v>
      </c>
      <c r="T735">
        <v>1300</v>
      </c>
      <c r="U735">
        <v>4.5</v>
      </c>
      <c r="V735" t="s">
        <v>79</v>
      </c>
    </row>
    <row r="736" spans="1:22" x14ac:dyDescent="0.3">
      <c r="A736" t="s">
        <v>5338</v>
      </c>
      <c r="B736" t="s">
        <v>5339</v>
      </c>
      <c r="C736" t="s">
        <v>5340</v>
      </c>
      <c r="D736" s="2">
        <v>46017</v>
      </c>
      <c r="E736" t="s">
        <v>134</v>
      </c>
      <c r="F736" t="s">
        <v>134</v>
      </c>
      <c r="G736" t="s">
        <v>67</v>
      </c>
      <c r="H736" t="s">
        <v>88</v>
      </c>
      <c r="I736" t="s">
        <v>29</v>
      </c>
      <c r="J736" t="s">
        <v>30</v>
      </c>
      <c r="K736">
        <v>3</v>
      </c>
      <c r="L736">
        <v>45</v>
      </c>
      <c r="M736">
        <v>20800</v>
      </c>
      <c r="N736">
        <v>4200</v>
      </c>
      <c r="O736">
        <v>16600</v>
      </c>
      <c r="P736">
        <v>13000</v>
      </c>
      <c r="Q736">
        <v>3600</v>
      </c>
      <c r="R736">
        <v>21.69</v>
      </c>
      <c r="S736" t="s">
        <v>182</v>
      </c>
      <c r="T736">
        <v>1700</v>
      </c>
      <c r="U736">
        <v>3.8</v>
      </c>
      <c r="V736" t="s">
        <v>42</v>
      </c>
    </row>
    <row r="737" spans="1:22" x14ac:dyDescent="0.3">
      <c r="A737" t="s">
        <v>4836</v>
      </c>
      <c r="B737" t="s">
        <v>116</v>
      </c>
      <c r="C737" t="s">
        <v>117</v>
      </c>
      <c r="D737" s="2">
        <v>46018</v>
      </c>
      <c r="E737" t="s">
        <v>188</v>
      </c>
      <c r="F737" t="s">
        <v>188</v>
      </c>
      <c r="G737" t="s">
        <v>580</v>
      </c>
      <c r="H737" t="s">
        <v>49</v>
      </c>
      <c r="I737" t="s">
        <v>29</v>
      </c>
      <c r="J737" t="s">
        <v>30</v>
      </c>
      <c r="K737">
        <v>10</v>
      </c>
      <c r="L737">
        <v>24</v>
      </c>
      <c r="M737">
        <v>27500</v>
      </c>
      <c r="N737">
        <v>4100</v>
      </c>
      <c r="O737">
        <v>23400</v>
      </c>
      <c r="P737">
        <v>12000</v>
      </c>
      <c r="Q737">
        <v>11400</v>
      </c>
      <c r="R737">
        <v>48.72</v>
      </c>
      <c r="S737" t="s">
        <v>58</v>
      </c>
      <c r="T737">
        <v>4200</v>
      </c>
      <c r="U737">
        <v>3.6</v>
      </c>
      <c r="V737" t="s">
        <v>79</v>
      </c>
    </row>
    <row r="738" spans="1:22" x14ac:dyDescent="0.3">
      <c r="A738" t="s">
        <v>4650</v>
      </c>
      <c r="B738" t="s">
        <v>1318</v>
      </c>
      <c r="C738" t="s">
        <v>1319</v>
      </c>
      <c r="D738" s="2">
        <v>46018</v>
      </c>
      <c r="E738" t="s">
        <v>244</v>
      </c>
      <c r="F738" t="s">
        <v>244</v>
      </c>
      <c r="G738" t="s">
        <v>103</v>
      </c>
      <c r="H738" t="s">
        <v>214</v>
      </c>
      <c r="I738" t="s">
        <v>69</v>
      </c>
      <c r="J738" t="s">
        <v>30</v>
      </c>
      <c r="K738">
        <v>9</v>
      </c>
      <c r="L738">
        <v>70</v>
      </c>
      <c r="M738">
        <v>24300</v>
      </c>
      <c r="N738">
        <v>0</v>
      </c>
      <c r="O738">
        <v>24300</v>
      </c>
      <c r="P738">
        <v>14500</v>
      </c>
      <c r="Q738">
        <v>9800</v>
      </c>
      <c r="R738">
        <v>40.33</v>
      </c>
      <c r="S738" t="s">
        <v>39</v>
      </c>
      <c r="T738">
        <v>2000</v>
      </c>
      <c r="U738">
        <v>3.9</v>
      </c>
      <c r="V738" t="s">
        <v>42</v>
      </c>
    </row>
    <row r="739" spans="1:22" x14ac:dyDescent="0.3">
      <c r="A739" t="s">
        <v>4530</v>
      </c>
      <c r="B739" t="s">
        <v>2504</v>
      </c>
      <c r="C739" t="s">
        <v>2505</v>
      </c>
      <c r="D739" s="2">
        <v>46018</v>
      </c>
      <c r="E739" t="s">
        <v>161</v>
      </c>
      <c r="F739" t="s">
        <v>161</v>
      </c>
      <c r="G739" t="s">
        <v>118</v>
      </c>
      <c r="H739" t="s">
        <v>5470</v>
      </c>
      <c r="I739" t="s">
        <v>69</v>
      </c>
      <c r="J739" t="s">
        <v>70</v>
      </c>
      <c r="K739">
        <v>7</v>
      </c>
      <c r="L739">
        <v>29</v>
      </c>
      <c r="M739">
        <v>68200</v>
      </c>
      <c r="N739">
        <v>13600</v>
      </c>
      <c r="O739">
        <v>54600</v>
      </c>
      <c r="P739">
        <v>33200</v>
      </c>
      <c r="Q739">
        <v>21400</v>
      </c>
      <c r="R739">
        <v>39.19</v>
      </c>
      <c r="S739" t="s">
        <v>79</v>
      </c>
      <c r="T739">
        <v>8500</v>
      </c>
      <c r="U739">
        <v>4.2</v>
      </c>
      <c r="V739" t="s">
        <v>79</v>
      </c>
    </row>
    <row r="740" spans="1:22" x14ac:dyDescent="0.3">
      <c r="A740" t="s">
        <v>1398</v>
      </c>
      <c r="B740" t="s">
        <v>1399</v>
      </c>
      <c r="C740" t="s">
        <v>1400</v>
      </c>
      <c r="D740" s="2">
        <v>46019</v>
      </c>
      <c r="E740" t="s">
        <v>244</v>
      </c>
      <c r="F740" t="s">
        <v>244</v>
      </c>
      <c r="G740" t="s">
        <v>27</v>
      </c>
      <c r="H740" t="s">
        <v>229</v>
      </c>
      <c r="I740" t="s">
        <v>69</v>
      </c>
      <c r="J740" t="s">
        <v>30</v>
      </c>
      <c r="K740">
        <v>5</v>
      </c>
      <c r="L740">
        <v>48</v>
      </c>
      <c r="M740">
        <v>28500</v>
      </c>
      <c r="N740">
        <v>2800</v>
      </c>
      <c r="O740">
        <v>25700</v>
      </c>
      <c r="P740">
        <v>15800</v>
      </c>
      <c r="Q740">
        <v>9900</v>
      </c>
      <c r="R740">
        <v>38.520000000000003</v>
      </c>
      <c r="S740" t="s">
        <v>39</v>
      </c>
      <c r="T740">
        <v>3700</v>
      </c>
      <c r="U740">
        <v>4</v>
      </c>
      <c r="V740" t="s">
        <v>58</v>
      </c>
    </row>
    <row r="741" spans="1:22" x14ac:dyDescent="0.3">
      <c r="A741" t="s">
        <v>3280</v>
      </c>
      <c r="B741" t="s">
        <v>738</v>
      </c>
      <c r="C741" t="s">
        <v>739</v>
      </c>
      <c r="D741" s="2">
        <v>46019</v>
      </c>
      <c r="E741" t="s">
        <v>188</v>
      </c>
      <c r="F741" t="s">
        <v>188</v>
      </c>
      <c r="G741" t="s">
        <v>67</v>
      </c>
      <c r="H741" t="s">
        <v>268</v>
      </c>
      <c r="I741" t="s">
        <v>69</v>
      </c>
      <c r="J741" t="s">
        <v>30</v>
      </c>
      <c r="K741">
        <v>6</v>
      </c>
      <c r="L741">
        <v>18</v>
      </c>
      <c r="M741">
        <v>71300</v>
      </c>
      <c r="N741">
        <v>7100</v>
      </c>
      <c r="O741">
        <v>64200</v>
      </c>
      <c r="P741">
        <v>52500</v>
      </c>
      <c r="Q741">
        <v>11700</v>
      </c>
      <c r="R741">
        <v>18.22</v>
      </c>
      <c r="S741" t="s">
        <v>39</v>
      </c>
      <c r="T741">
        <v>8600</v>
      </c>
      <c r="U741">
        <v>4.3</v>
      </c>
      <c r="V741" t="s">
        <v>79</v>
      </c>
    </row>
    <row r="742" spans="1:22" x14ac:dyDescent="0.3">
      <c r="A742" t="s">
        <v>4713</v>
      </c>
      <c r="B742" t="s">
        <v>2687</v>
      </c>
      <c r="C742" t="s">
        <v>2688</v>
      </c>
      <c r="D742" s="2">
        <v>46021</v>
      </c>
      <c r="E742" t="s">
        <v>282</v>
      </c>
      <c r="F742" t="s">
        <v>282</v>
      </c>
      <c r="G742" t="s">
        <v>580</v>
      </c>
      <c r="H742" t="s">
        <v>268</v>
      </c>
      <c r="I742" t="s">
        <v>29</v>
      </c>
      <c r="J742" t="s">
        <v>30</v>
      </c>
      <c r="K742">
        <v>4</v>
      </c>
      <c r="L742">
        <v>45</v>
      </c>
      <c r="M742">
        <v>68700</v>
      </c>
      <c r="N742">
        <v>6900</v>
      </c>
      <c r="O742">
        <v>61800</v>
      </c>
      <c r="P742">
        <v>33500</v>
      </c>
      <c r="Q742">
        <v>28300</v>
      </c>
      <c r="R742">
        <v>45.79</v>
      </c>
      <c r="S742" t="s">
        <v>39</v>
      </c>
      <c r="T742">
        <v>9900</v>
      </c>
      <c r="U742">
        <v>3.8</v>
      </c>
      <c r="V742" t="s">
        <v>114</v>
      </c>
    </row>
    <row r="743" spans="1:22" x14ac:dyDescent="0.3">
      <c r="A743" t="s">
        <v>4267</v>
      </c>
      <c r="B743" t="s">
        <v>1546</v>
      </c>
      <c r="C743" t="s">
        <v>1547</v>
      </c>
      <c r="D743" s="2">
        <v>46022</v>
      </c>
      <c r="E743" t="s">
        <v>244</v>
      </c>
      <c r="F743" t="s">
        <v>244</v>
      </c>
      <c r="G743" t="s">
        <v>27</v>
      </c>
      <c r="H743" t="s">
        <v>229</v>
      </c>
      <c r="I743" t="s">
        <v>29</v>
      </c>
      <c r="J743" t="s">
        <v>30</v>
      </c>
      <c r="K743">
        <v>9</v>
      </c>
      <c r="M743">
        <v>60900</v>
      </c>
      <c r="N743">
        <v>12200</v>
      </c>
      <c r="O743">
        <v>48700</v>
      </c>
      <c r="P743">
        <v>40400</v>
      </c>
      <c r="Q743">
        <v>8300</v>
      </c>
      <c r="R743">
        <v>17.04</v>
      </c>
      <c r="S743" t="s">
        <v>182</v>
      </c>
      <c r="T743">
        <v>3300</v>
      </c>
      <c r="U743">
        <v>4.9000000000000004</v>
      </c>
      <c r="V743" t="s">
        <v>79</v>
      </c>
    </row>
    <row r="744" spans="1:22" x14ac:dyDescent="0.3">
      <c r="A744" t="s">
        <v>3218</v>
      </c>
      <c r="B744" t="s">
        <v>746</v>
      </c>
      <c r="C744" t="s">
        <v>747</v>
      </c>
      <c r="D744" s="2">
        <v>46022</v>
      </c>
      <c r="E744" t="s">
        <v>282</v>
      </c>
      <c r="F744" t="s">
        <v>282</v>
      </c>
      <c r="G744" t="s">
        <v>27</v>
      </c>
      <c r="H744" t="s">
        <v>214</v>
      </c>
      <c r="I744" t="s">
        <v>69</v>
      </c>
      <c r="J744" t="s">
        <v>30</v>
      </c>
      <c r="K744">
        <v>6</v>
      </c>
      <c r="L744">
        <v>5</v>
      </c>
      <c r="M744">
        <v>30800</v>
      </c>
      <c r="N744">
        <v>1500</v>
      </c>
      <c r="O744">
        <v>29300</v>
      </c>
      <c r="P744">
        <v>16800</v>
      </c>
      <c r="Q744">
        <v>12500</v>
      </c>
      <c r="R744">
        <v>42.66</v>
      </c>
      <c r="S744" t="s">
        <v>182</v>
      </c>
      <c r="T744">
        <v>1500</v>
      </c>
      <c r="U744">
        <v>4</v>
      </c>
      <c r="V744" t="s">
        <v>114</v>
      </c>
    </row>
    <row r="745" spans="1:22" x14ac:dyDescent="0.3">
      <c r="A745" t="s">
        <v>2395</v>
      </c>
      <c r="B745" t="s">
        <v>130</v>
      </c>
      <c r="C745" t="s">
        <v>131</v>
      </c>
      <c r="D745" s="2">
        <v>46025</v>
      </c>
      <c r="E745" t="s">
        <v>282</v>
      </c>
      <c r="F745" t="s">
        <v>282</v>
      </c>
      <c r="G745" t="s">
        <v>213</v>
      </c>
      <c r="H745" t="s">
        <v>268</v>
      </c>
      <c r="I745" t="s">
        <v>69</v>
      </c>
      <c r="J745" t="s">
        <v>30</v>
      </c>
      <c r="K745">
        <v>10</v>
      </c>
      <c r="L745">
        <v>38</v>
      </c>
      <c r="M745">
        <v>63500</v>
      </c>
      <c r="N745">
        <v>6400</v>
      </c>
      <c r="O745">
        <v>57100</v>
      </c>
      <c r="P745">
        <v>29000</v>
      </c>
      <c r="Q745">
        <v>28100</v>
      </c>
      <c r="R745">
        <v>49.21</v>
      </c>
      <c r="S745" t="s">
        <v>39</v>
      </c>
      <c r="T745">
        <v>9200</v>
      </c>
      <c r="U745">
        <v>2.9</v>
      </c>
      <c r="V745" t="s">
        <v>79</v>
      </c>
    </row>
    <row r="746" spans="1:22" x14ac:dyDescent="0.3">
      <c r="A746" t="s">
        <v>2212</v>
      </c>
      <c r="B746" t="s">
        <v>2213</v>
      </c>
      <c r="C746" t="s">
        <v>2214</v>
      </c>
      <c r="D746" s="2">
        <v>46025</v>
      </c>
      <c r="E746" t="s">
        <v>244</v>
      </c>
      <c r="F746" t="s">
        <v>244</v>
      </c>
      <c r="G746" t="s">
        <v>118</v>
      </c>
      <c r="H746" t="s">
        <v>229</v>
      </c>
      <c r="I746" t="s">
        <v>69</v>
      </c>
      <c r="J746" t="s">
        <v>30</v>
      </c>
      <c r="K746">
        <v>9</v>
      </c>
      <c r="L746">
        <v>45</v>
      </c>
      <c r="M746">
        <v>38800</v>
      </c>
      <c r="N746">
        <v>1900</v>
      </c>
      <c r="O746">
        <v>36900</v>
      </c>
      <c r="P746">
        <v>26700</v>
      </c>
      <c r="Q746">
        <v>10200</v>
      </c>
      <c r="R746">
        <v>27.64</v>
      </c>
      <c r="S746" t="s">
        <v>58</v>
      </c>
      <c r="T746">
        <v>2000</v>
      </c>
      <c r="U746">
        <v>3</v>
      </c>
      <c r="V746" t="s">
        <v>82</v>
      </c>
    </row>
    <row r="747" spans="1:22" x14ac:dyDescent="0.3">
      <c r="A747" t="s">
        <v>2437</v>
      </c>
      <c r="B747" t="s">
        <v>2438</v>
      </c>
      <c r="C747" t="s">
        <v>2439</v>
      </c>
      <c r="D747" s="2">
        <v>46025</v>
      </c>
      <c r="E747" t="s">
        <v>188</v>
      </c>
      <c r="F747" t="s">
        <v>188</v>
      </c>
      <c r="G747" t="s">
        <v>147</v>
      </c>
      <c r="H747" t="s">
        <v>49</v>
      </c>
      <c r="I747" t="s">
        <v>69</v>
      </c>
      <c r="J747" t="s">
        <v>30</v>
      </c>
      <c r="K747">
        <v>5</v>
      </c>
      <c r="L747">
        <v>24</v>
      </c>
      <c r="M747">
        <v>29100</v>
      </c>
      <c r="N747">
        <v>5800</v>
      </c>
      <c r="O747">
        <v>23300</v>
      </c>
      <c r="P747">
        <v>21600</v>
      </c>
      <c r="Q747">
        <v>1700</v>
      </c>
      <c r="R747">
        <v>7.3</v>
      </c>
      <c r="S747" t="s">
        <v>79</v>
      </c>
      <c r="T747">
        <v>1400</v>
      </c>
      <c r="U747">
        <v>3.5</v>
      </c>
      <c r="V747" t="s">
        <v>114</v>
      </c>
    </row>
    <row r="748" spans="1:22" x14ac:dyDescent="0.3">
      <c r="A748" t="s">
        <v>4292</v>
      </c>
      <c r="B748" t="s">
        <v>3118</v>
      </c>
      <c r="C748" t="s">
        <v>3119</v>
      </c>
      <c r="D748" s="2">
        <v>46025</v>
      </c>
      <c r="E748" t="s">
        <v>134</v>
      </c>
      <c r="F748" t="s">
        <v>134</v>
      </c>
      <c r="G748" t="s">
        <v>27</v>
      </c>
      <c r="H748" t="s">
        <v>268</v>
      </c>
      <c r="I748" t="s">
        <v>69</v>
      </c>
      <c r="J748" t="s">
        <v>30</v>
      </c>
      <c r="K748">
        <v>6</v>
      </c>
      <c r="L748">
        <v>5</v>
      </c>
      <c r="M748">
        <v>37000</v>
      </c>
      <c r="N748">
        <v>5600</v>
      </c>
      <c r="O748">
        <v>31400</v>
      </c>
      <c r="P748">
        <v>19200</v>
      </c>
      <c r="Q748">
        <v>12200</v>
      </c>
      <c r="R748">
        <v>38.85</v>
      </c>
      <c r="S748" t="s">
        <v>126</v>
      </c>
      <c r="T748">
        <v>4200</v>
      </c>
      <c r="U748">
        <v>4.9000000000000004</v>
      </c>
      <c r="V748" t="s">
        <v>79</v>
      </c>
    </row>
    <row r="749" spans="1:22" x14ac:dyDescent="0.3">
      <c r="A749" t="s">
        <v>1783</v>
      </c>
      <c r="B749" t="s">
        <v>396</v>
      </c>
      <c r="C749" t="s">
        <v>397</v>
      </c>
      <c r="D749" s="2">
        <v>46026</v>
      </c>
      <c r="E749" t="s">
        <v>66</v>
      </c>
      <c r="F749" t="s">
        <v>66</v>
      </c>
      <c r="G749" t="s">
        <v>27</v>
      </c>
      <c r="H749" t="s">
        <v>214</v>
      </c>
      <c r="I749" t="s">
        <v>29</v>
      </c>
      <c r="J749" t="s">
        <v>162</v>
      </c>
      <c r="K749">
        <v>10</v>
      </c>
      <c r="L749">
        <v>15</v>
      </c>
      <c r="M749">
        <v>30300</v>
      </c>
      <c r="N749">
        <v>0</v>
      </c>
      <c r="O749">
        <v>30300</v>
      </c>
      <c r="P749">
        <v>22200</v>
      </c>
      <c r="Q749">
        <v>8100</v>
      </c>
      <c r="R749">
        <v>26.73</v>
      </c>
      <c r="S749" t="s">
        <v>126</v>
      </c>
      <c r="T749">
        <v>4300</v>
      </c>
      <c r="U749">
        <v>4.4000000000000004</v>
      </c>
      <c r="V749" t="s">
        <v>114</v>
      </c>
    </row>
    <row r="750" spans="1:22" x14ac:dyDescent="0.3">
      <c r="A750" t="s">
        <v>2836</v>
      </c>
      <c r="B750" t="s">
        <v>2837</v>
      </c>
      <c r="C750" t="s">
        <v>2838</v>
      </c>
      <c r="D750" s="2">
        <v>46026</v>
      </c>
      <c r="E750" t="s">
        <v>66</v>
      </c>
      <c r="F750" t="s">
        <v>66</v>
      </c>
      <c r="G750" t="s">
        <v>118</v>
      </c>
      <c r="H750" t="s">
        <v>88</v>
      </c>
      <c r="I750" t="s">
        <v>69</v>
      </c>
      <c r="J750" t="s">
        <v>30</v>
      </c>
      <c r="K750">
        <v>10</v>
      </c>
      <c r="L750">
        <v>33</v>
      </c>
      <c r="M750">
        <v>36800</v>
      </c>
      <c r="N750">
        <v>7400</v>
      </c>
      <c r="O750">
        <v>29400</v>
      </c>
      <c r="P750">
        <v>20000</v>
      </c>
      <c r="Q750">
        <v>9400</v>
      </c>
      <c r="R750">
        <v>31.97</v>
      </c>
      <c r="S750" t="s">
        <v>58</v>
      </c>
      <c r="T750">
        <v>2300</v>
      </c>
      <c r="U750">
        <v>4.9000000000000004</v>
      </c>
      <c r="V750" t="s">
        <v>42</v>
      </c>
    </row>
    <row r="751" spans="1:22" x14ac:dyDescent="0.3">
      <c r="A751" t="s">
        <v>3508</v>
      </c>
      <c r="B751" t="s">
        <v>3509</v>
      </c>
      <c r="C751" t="s">
        <v>3510</v>
      </c>
      <c r="D751" s="2">
        <v>46027</v>
      </c>
      <c r="E751" t="s">
        <v>244</v>
      </c>
      <c r="F751" t="s">
        <v>244</v>
      </c>
      <c r="G751" t="s">
        <v>118</v>
      </c>
      <c r="H751" t="s">
        <v>28</v>
      </c>
      <c r="I751" t="s">
        <v>69</v>
      </c>
      <c r="J751" t="s">
        <v>30</v>
      </c>
      <c r="K751">
        <v>8</v>
      </c>
      <c r="L751">
        <v>16</v>
      </c>
      <c r="M751">
        <v>31600</v>
      </c>
      <c r="N751">
        <v>1600</v>
      </c>
      <c r="O751">
        <v>30000</v>
      </c>
      <c r="P751">
        <v>16100</v>
      </c>
      <c r="Q751">
        <v>13900</v>
      </c>
      <c r="R751">
        <v>46.33</v>
      </c>
      <c r="S751" t="s">
        <v>126</v>
      </c>
      <c r="T751">
        <v>4700</v>
      </c>
      <c r="U751">
        <v>3.4</v>
      </c>
      <c r="V751" t="s">
        <v>42</v>
      </c>
    </row>
    <row r="752" spans="1:22" x14ac:dyDescent="0.3">
      <c r="A752" t="s">
        <v>4834</v>
      </c>
      <c r="B752" t="s">
        <v>1960</v>
      </c>
      <c r="C752" t="s">
        <v>1961</v>
      </c>
      <c r="D752" s="2">
        <v>46028</v>
      </c>
      <c r="E752" t="s">
        <v>134</v>
      </c>
      <c r="F752" t="s">
        <v>134</v>
      </c>
      <c r="G752" t="s">
        <v>103</v>
      </c>
      <c r="H752" t="s">
        <v>214</v>
      </c>
      <c r="I752" t="s">
        <v>69</v>
      </c>
      <c r="J752" t="s">
        <v>30</v>
      </c>
      <c r="K752">
        <v>5</v>
      </c>
      <c r="L752">
        <v>25</v>
      </c>
      <c r="M752">
        <v>47300</v>
      </c>
      <c r="N752">
        <v>0</v>
      </c>
      <c r="O752">
        <v>47300</v>
      </c>
      <c r="P752">
        <v>37500</v>
      </c>
      <c r="Q752">
        <v>9800</v>
      </c>
      <c r="R752">
        <v>20.72</v>
      </c>
      <c r="S752" t="s">
        <v>97</v>
      </c>
      <c r="T752">
        <v>1900</v>
      </c>
      <c r="U752">
        <v>4.4000000000000004</v>
      </c>
      <c r="V752" t="s">
        <v>79</v>
      </c>
    </row>
    <row r="753" spans="1:22" x14ac:dyDescent="0.3">
      <c r="A753" t="s">
        <v>5026</v>
      </c>
      <c r="B753" t="s">
        <v>2971</v>
      </c>
      <c r="C753" t="s">
        <v>2972</v>
      </c>
      <c r="D753" s="2">
        <v>46028</v>
      </c>
      <c r="E753" t="s">
        <v>134</v>
      </c>
      <c r="F753" t="s">
        <v>134</v>
      </c>
      <c r="G753" t="s">
        <v>48</v>
      </c>
      <c r="H753" t="s">
        <v>5470</v>
      </c>
      <c r="I753" t="s">
        <v>69</v>
      </c>
      <c r="J753" t="s">
        <v>30</v>
      </c>
      <c r="K753">
        <v>7</v>
      </c>
      <c r="L753">
        <v>55</v>
      </c>
      <c r="M753">
        <v>35400</v>
      </c>
      <c r="N753">
        <v>5300</v>
      </c>
      <c r="O753">
        <v>30100</v>
      </c>
      <c r="P753">
        <v>15000</v>
      </c>
      <c r="Q753">
        <v>15100</v>
      </c>
      <c r="R753">
        <v>50.17</v>
      </c>
      <c r="S753" t="s">
        <v>97</v>
      </c>
      <c r="T753">
        <v>3400</v>
      </c>
      <c r="U753">
        <v>4.8</v>
      </c>
      <c r="V753" t="s">
        <v>114</v>
      </c>
    </row>
    <row r="754" spans="1:22" x14ac:dyDescent="0.3">
      <c r="A754" t="s">
        <v>1244</v>
      </c>
      <c r="B754" t="s">
        <v>1245</v>
      </c>
      <c r="C754" t="s">
        <v>1246</v>
      </c>
      <c r="D754" s="2">
        <v>46028</v>
      </c>
      <c r="E754" t="s">
        <v>282</v>
      </c>
      <c r="F754" t="s">
        <v>282</v>
      </c>
      <c r="G754" t="s">
        <v>103</v>
      </c>
      <c r="H754" t="s">
        <v>28</v>
      </c>
      <c r="I754" t="s">
        <v>69</v>
      </c>
      <c r="J754" t="s">
        <v>30</v>
      </c>
      <c r="K754">
        <v>3</v>
      </c>
      <c r="L754">
        <v>49</v>
      </c>
      <c r="M754">
        <v>44700</v>
      </c>
      <c r="N754">
        <v>4500</v>
      </c>
      <c r="O754">
        <v>40200</v>
      </c>
      <c r="P754">
        <v>33200</v>
      </c>
      <c r="Q754">
        <v>7000</v>
      </c>
      <c r="R754">
        <v>17.41</v>
      </c>
      <c r="S754" t="s">
        <v>182</v>
      </c>
      <c r="T754">
        <v>6900</v>
      </c>
      <c r="U754">
        <v>4.0999999999999996</v>
      </c>
      <c r="V754" t="s">
        <v>79</v>
      </c>
    </row>
    <row r="755" spans="1:22" x14ac:dyDescent="0.3">
      <c r="A755" t="s">
        <v>2736</v>
      </c>
      <c r="B755" t="s">
        <v>890</v>
      </c>
      <c r="C755" t="s">
        <v>891</v>
      </c>
      <c r="D755" s="2">
        <v>46028</v>
      </c>
      <c r="E755" t="s">
        <v>188</v>
      </c>
      <c r="F755" t="s">
        <v>188</v>
      </c>
      <c r="G755" t="s">
        <v>67</v>
      </c>
      <c r="H755" t="s">
        <v>28</v>
      </c>
      <c r="I755" t="s">
        <v>69</v>
      </c>
      <c r="J755" t="s">
        <v>30</v>
      </c>
      <c r="K755">
        <v>3</v>
      </c>
      <c r="L755">
        <v>82</v>
      </c>
      <c r="M755">
        <v>66700</v>
      </c>
      <c r="N755">
        <v>13300</v>
      </c>
      <c r="O755">
        <v>53400</v>
      </c>
      <c r="P755">
        <v>42700</v>
      </c>
      <c r="Q755">
        <v>10700</v>
      </c>
      <c r="R755">
        <v>20.04</v>
      </c>
      <c r="S755" t="s">
        <v>182</v>
      </c>
      <c r="T755">
        <v>9400</v>
      </c>
      <c r="U755">
        <v>5</v>
      </c>
      <c r="V755" t="s">
        <v>82</v>
      </c>
    </row>
    <row r="756" spans="1:22" x14ac:dyDescent="0.3">
      <c r="A756" t="s">
        <v>3669</v>
      </c>
      <c r="B756" t="s">
        <v>3670</v>
      </c>
      <c r="C756" t="s">
        <v>3671</v>
      </c>
      <c r="D756" s="2">
        <v>46030</v>
      </c>
      <c r="E756" t="s">
        <v>26</v>
      </c>
      <c r="F756" t="s">
        <v>26</v>
      </c>
      <c r="G756" t="s">
        <v>103</v>
      </c>
      <c r="H756" t="s">
        <v>5470</v>
      </c>
      <c r="I756" t="s">
        <v>69</v>
      </c>
      <c r="J756" t="s">
        <v>30</v>
      </c>
      <c r="K756">
        <v>3</v>
      </c>
      <c r="L756">
        <v>57</v>
      </c>
      <c r="M756">
        <v>45200</v>
      </c>
      <c r="N756">
        <v>9000</v>
      </c>
      <c r="O756">
        <v>36200</v>
      </c>
      <c r="P756">
        <v>34000</v>
      </c>
      <c r="Q756">
        <v>2200</v>
      </c>
      <c r="R756">
        <v>6.08</v>
      </c>
      <c r="S756" t="s">
        <v>182</v>
      </c>
      <c r="T756">
        <v>3400</v>
      </c>
      <c r="U756">
        <v>5</v>
      </c>
      <c r="V756" t="s">
        <v>58</v>
      </c>
    </row>
    <row r="757" spans="1:22" x14ac:dyDescent="0.3">
      <c r="A757" t="s">
        <v>4528</v>
      </c>
      <c r="B757" t="s">
        <v>414</v>
      </c>
      <c r="C757" t="s">
        <v>415</v>
      </c>
      <c r="D757" s="2">
        <v>46030</v>
      </c>
      <c r="E757" t="s">
        <v>244</v>
      </c>
      <c r="F757" t="s">
        <v>244</v>
      </c>
      <c r="G757" t="s">
        <v>27</v>
      </c>
      <c r="H757" t="s">
        <v>214</v>
      </c>
      <c r="I757" t="s">
        <v>69</v>
      </c>
      <c r="J757" t="s">
        <v>30</v>
      </c>
      <c r="K757">
        <v>2</v>
      </c>
      <c r="L757">
        <v>16</v>
      </c>
      <c r="M757">
        <v>20400</v>
      </c>
      <c r="N757">
        <v>4100</v>
      </c>
      <c r="O757">
        <v>16300</v>
      </c>
      <c r="P757">
        <v>13500</v>
      </c>
      <c r="Q757">
        <v>2800</v>
      </c>
      <c r="R757">
        <v>17.18</v>
      </c>
      <c r="S757" t="s">
        <v>97</v>
      </c>
      <c r="T757">
        <v>2100</v>
      </c>
      <c r="U757">
        <v>4</v>
      </c>
      <c r="V757" t="s">
        <v>79</v>
      </c>
    </row>
    <row r="758" spans="1:22" x14ac:dyDescent="0.3">
      <c r="A758" t="s">
        <v>2945</v>
      </c>
      <c r="B758" t="s">
        <v>1007</v>
      </c>
      <c r="C758" t="s">
        <v>1008</v>
      </c>
      <c r="D758" s="2">
        <v>46030</v>
      </c>
      <c r="E758" t="s">
        <v>244</v>
      </c>
      <c r="F758" t="s">
        <v>244</v>
      </c>
      <c r="G758" t="s">
        <v>48</v>
      </c>
      <c r="H758" t="s">
        <v>49</v>
      </c>
      <c r="I758" t="s">
        <v>69</v>
      </c>
      <c r="J758" t="s">
        <v>30</v>
      </c>
      <c r="K758">
        <v>5</v>
      </c>
      <c r="L758">
        <v>35</v>
      </c>
      <c r="M758">
        <v>53300</v>
      </c>
      <c r="N758">
        <v>8000</v>
      </c>
      <c r="O758">
        <v>45300</v>
      </c>
      <c r="P758">
        <v>29100</v>
      </c>
      <c r="Q758">
        <v>16200</v>
      </c>
      <c r="R758">
        <v>35.76</v>
      </c>
      <c r="S758" t="s">
        <v>182</v>
      </c>
      <c r="T758">
        <v>3300</v>
      </c>
      <c r="U758">
        <v>5</v>
      </c>
      <c r="V758" t="s">
        <v>79</v>
      </c>
    </row>
    <row r="759" spans="1:22" x14ac:dyDescent="0.3">
      <c r="A759" t="s">
        <v>4576</v>
      </c>
      <c r="B759" t="s">
        <v>2191</v>
      </c>
      <c r="C759" t="s">
        <v>2192</v>
      </c>
      <c r="D759" s="2">
        <v>46031</v>
      </c>
      <c r="E759" t="s">
        <v>228</v>
      </c>
      <c r="F759" t="s">
        <v>228</v>
      </c>
      <c r="G759" t="s">
        <v>118</v>
      </c>
      <c r="H759" t="s">
        <v>68</v>
      </c>
      <c r="I759" t="s">
        <v>29</v>
      </c>
      <c r="J759" t="s">
        <v>162</v>
      </c>
      <c r="K759">
        <v>3</v>
      </c>
      <c r="L759">
        <v>45</v>
      </c>
      <c r="M759">
        <v>38100</v>
      </c>
      <c r="N759">
        <v>5700</v>
      </c>
      <c r="O759">
        <v>32400</v>
      </c>
      <c r="P759">
        <v>16100</v>
      </c>
      <c r="Q759">
        <v>16300</v>
      </c>
      <c r="R759">
        <v>50.31</v>
      </c>
      <c r="S759" t="s">
        <v>79</v>
      </c>
      <c r="T759">
        <v>5800</v>
      </c>
      <c r="U759">
        <v>4</v>
      </c>
      <c r="V759" t="s">
        <v>42</v>
      </c>
    </row>
    <row r="760" spans="1:22" x14ac:dyDescent="0.3">
      <c r="A760" t="s">
        <v>3625</v>
      </c>
      <c r="B760" t="s">
        <v>1501</v>
      </c>
      <c r="C760" t="s">
        <v>1502</v>
      </c>
      <c r="D760" s="2">
        <v>46033</v>
      </c>
      <c r="E760" t="s">
        <v>244</v>
      </c>
      <c r="F760" t="s">
        <v>244</v>
      </c>
      <c r="G760" t="s">
        <v>118</v>
      </c>
      <c r="H760" t="s">
        <v>28</v>
      </c>
      <c r="I760" t="s">
        <v>29</v>
      </c>
      <c r="J760" t="s">
        <v>70</v>
      </c>
      <c r="K760">
        <v>7</v>
      </c>
      <c r="L760">
        <v>20</v>
      </c>
      <c r="M760">
        <v>16400</v>
      </c>
      <c r="N760">
        <v>2500</v>
      </c>
      <c r="O760">
        <v>13900</v>
      </c>
      <c r="P760">
        <v>12300</v>
      </c>
      <c r="Q760">
        <v>1600</v>
      </c>
      <c r="R760">
        <v>11.51</v>
      </c>
      <c r="S760" t="s">
        <v>39</v>
      </c>
      <c r="T760">
        <v>1000</v>
      </c>
      <c r="U760">
        <v>4.2</v>
      </c>
      <c r="V760" t="s">
        <v>79</v>
      </c>
    </row>
    <row r="761" spans="1:22" x14ac:dyDescent="0.3">
      <c r="A761" t="s">
        <v>4971</v>
      </c>
      <c r="B761" t="s">
        <v>1019</v>
      </c>
      <c r="C761" t="s">
        <v>1020</v>
      </c>
      <c r="D761" s="2">
        <v>46033</v>
      </c>
      <c r="E761" t="s">
        <v>228</v>
      </c>
      <c r="F761" t="s">
        <v>228</v>
      </c>
      <c r="G761" t="s">
        <v>48</v>
      </c>
      <c r="H761" t="s">
        <v>88</v>
      </c>
      <c r="I761" t="s">
        <v>69</v>
      </c>
      <c r="J761" t="s">
        <v>30</v>
      </c>
      <c r="K761">
        <v>10</v>
      </c>
      <c r="L761">
        <v>34</v>
      </c>
      <c r="M761">
        <v>26800</v>
      </c>
      <c r="N761">
        <v>0</v>
      </c>
      <c r="O761">
        <v>26800</v>
      </c>
      <c r="P761">
        <v>19500</v>
      </c>
      <c r="Q761">
        <v>7300</v>
      </c>
      <c r="R761">
        <v>27.24</v>
      </c>
      <c r="S761" t="s">
        <v>39</v>
      </c>
      <c r="T761">
        <v>1500</v>
      </c>
      <c r="U761">
        <v>4</v>
      </c>
      <c r="V761" t="s">
        <v>114</v>
      </c>
    </row>
    <row r="762" spans="1:22" x14ac:dyDescent="0.3">
      <c r="A762" t="s">
        <v>2060</v>
      </c>
      <c r="B762" t="s">
        <v>1787</v>
      </c>
      <c r="C762" t="s">
        <v>1788</v>
      </c>
      <c r="D762" s="2">
        <v>46034</v>
      </c>
      <c r="E762" t="s">
        <v>26</v>
      </c>
      <c r="F762" t="s">
        <v>26</v>
      </c>
      <c r="G762" t="s">
        <v>213</v>
      </c>
      <c r="H762" t="s">
        <v>5470</v>
      </c>
      <c r="I762" t="s">
        <v>29</v>
      </c>
      <c r="J762" t="s">
        <v>30</v>
      </c>
      <c r="K762">
        <v>6</v>
      </c>
      <c r="L762">
        <v>28</v>
      </c>
      <c r="M762">
        <v>42800</v>
      </c>
      <c r="N762">
        <v>8600</v>
      </c>
      <c r="O762">
        <v>34200</v>
      </c>
      <c r="P762">
        <v>21000</v>
      </c>
      <c r="Q762">
        <v>13200</v>
      </c>
      <c r="R762">
        <v>38.6</v>
      </c>
      <c r="S762" t="s">
        <v>182</v>
      </c>
      <c r="T762">
        <v>6100</v>
      </c>
      <c r="U762">
        <v>5</v>
      </c>
      <c r="V762" t="s">
        <v>58</v>
      </c>
    </row>
    <row r="763" spans="1:22" x14ac:dyDescent="0.3">
      <c r="A763" t="s">
        <v>1190</v>
      </c>
      <c r="B763" t="s">
        <v>1180</v>
      </c>
      <c r="C763" t="s">
        <v>1181</v>
      </c>
      <c r="D763" s="2">
        <v>46034</v>
      </c>
      <c r="E763" t="s">
        <v>188</v>
      </c>
      <c r="F763" t="s">
        <v>188</v>
      </c>
      <c r="G763" t="s">
        <v>48</v>
      </c>
      <c r="H763" t="s">
        <v>5471</v>
      </c>
      <c r="I763" t="s">
        <v>69</v>
      </c>
      <c r="J763" t="s">
        <v>70</v>
      </c>
      <c r="K763">
        <v>3</v>
      </c>
      <c r="L763">
        <v>37</v>
      </c>
      <c r="M763">
        <v>34800</v>
      </c>
      <c r="N763">
        <v>7000</v>
      </c>
      <c r="O763">
        <v>27800</v>
      </c>
      <c r="P763">
        <v>27300</v>
      </c>
      <c r="Q763">
        <v>500</v>
      </c>
      <c r="R763">
        <v>1.8</v>
      </c>
      <c r="S763" t="s">
        <v>182</v>
      </c>
      <c r="T763">
        <v>1800</v>
      </c>
      <c r="U763">
        <v>4.2</v>
      </c>
      <c r="V763" t="s">
        <v>82</v>
      </c>
    </row>
    <row r="764" spans="1:22" x14ac:dyDescent="0.3">
      <c r="A764" t="s">
        <v>3273</v>
      </c>
      <c r="B764" t="s">
        <v>2288</v>
      </c>
      <c r="C764" t="s">
        <v>2289</v>
      </c>
      <c r="D764" s="2">
        <v>46035</v>
      </c>
      <c r="E764" t="s">
        <v>282</v>
      </c>
      <c r="F764" t="s">
        <v>282</v>
      </c>
      <c r="G764" t="s">
        <v>27</v>
      </c>
      <c r="H764" t="s">
        <v>68</v>
      </c>
      <c r="I764" t="s">
        <v>69</v>
      </c>
      <c r="J764" t="s">
        <v>30</v>
      </c>
      <c r="K764">
        <v>3</v>
      </c>
      <c r="L764">
        <v>11</v>
      </c>
      <c r="M764">
        <v>51500</v>
      </c>
      <c r="N764">
        <v>7700</v>
      </c>
      <c r="O764">
        <v>43800</v>
      </c>
      <c r="P764">
        <v>25900</v>
      </c>
      <c r="Q764">
        <v>17900</v>
      </c>
      <c r="R764">
        <v>40.869999999999997</v>
      </c>
      <c r="S764" t="s">
        <v>97</v>
      </c>
      <c r="T764">
        <v>6400</v>
      </c>
      <c r="U764">
        <v>4</v>
      </c>
      <c r="V764" t="s">
        <v>58</v>
      </c>
    </row>
    <row r="765" spans="1:22" x14ac:dyDescent="0.3">
      <c r="A765" t="s">
        <v>1204</v>
      </c>
      <c r="B765" t="s">
        <v>1205</v>
      </c>
      <c r="C765" t="s">
        <v>1206</v>
      </c>
      <c r="D765" s="2">
        <v>46036</v>
      </c>
      <c r="E765" t="s">
        <v>188</v>
      </c>
      <c r="F765" t="s">
        <v>188</v>
      </c>
      <c r="G765" t="s">
        <v>147</v>
      </c>
      <c r="H765" t="s">
        <v>68</v>
      </c>
      <c r="I765" t="s">
        <v>29</v>
      </c>
      <c r="J765" t="s">
        <v>70</v>
      </c>
      <c r="K765">
        <v>6</v>
      </c>
      <c r="L765">
        <v>23</v>
      </c>
      <c r="M765">
        <v>40500</v>
      </c>
      <c r="N765">
        <v>0</v>
      </c>
      <c r="O765">
        <v>40500</v>
      </c>
      <c r="P765">
        <v>33200</v>
      </c>
      <c r="Q765">
        <v>7300</v>
      </c>
      <c r="R765">
        <v>18.02</v>
      </c>
      <c r="S765" t="s">
        <v>79</v>
      </c>
      <c r="T765">
        <v>3300</v>
      </c>
      <c r="U765">
        <v>3.5</v>
      </c>
      <c r="V765" t="s">
        <v>58</v>
      </c>
    </row>
    <row r="766" spans="1:22" x14ac:dyDescent="0.3">
      <c r="A766" t="s">
        <v>3883</v>
      </c>
      <c r="B766" t="s">
        <v>1708</v>
      </c>
      <c r="C766" t="s">
        <v>1709</v>
      </c>
      <c r="D766" s="2">
        <v>46036</v>
      </c>
      <c r="E766" t="s">
        <v>228</v>
      </c>
      <c r="F766" t="s">
        <v>228</v>
      </c>
      <c r="G766" t="s">
        <v>27</v>
      </c>
      <c r="H766" t="s">
        <v>5470</v>
      </c>
      <c r="I766" t="s">
        <v>69</v>
      </c>
      <c r="J766" t="s">
        <v>30</v>
      </c>
      <c r="K766">
        <v>3</v>
      </c>
      <c r="L766">
        <v>36</v>
      </c>
      <c r="M766">
        <v>40900</v>
      </c>
      <c r="N766">
        <v>6100</v>
      </c>
      <c r="O766">
        <v>34800</v>
      </c>
      <c r="P766">
        <v>18900</v>
      </c>
      <c r="Q766">
        <v>15900</v>
      </c>
      <c r="R766">
        <v>45.69</v>
      </c>
      <c r="S766" t="s">
        <v>126</v>
      </c>
      <c r="T766">
        <v>3900</v>
      </c>
      <c r="U766">
        <v>4.9000000000000004</v>
      </c>
      <c r="V766" t="s">
        <v>58</v>
      </c>
    </row>
    <row r="767" spans="1:22" x14ac:dyDescent="0.3">
      <c r="A767" t="s">
        <v>3482</v>
      </c>
      <c r="B767" t="s">
        <v>396</v>
      </c>
      <c r="C767" t="s">
        <v>397</v>
      </c>
      <c r="D767" s="2">
        <v>46036</v>
      </c>
      <c r="E767" t="s">
        <v>282</v>
      </c>
      <c r="F767" t="s">
        <v>282</v>
      </c>
      <c r="G767" t="s">
        <v>147</v>
      </c>
      <c r="H767" t="s">
        <v>229</v>
      </c>
      <c r="I767" t="s">
        <v>29</v>
      </c>
      <c r="J767" t="s">
        <v>30</v>
      </c>
      <c r="K767">
        <v>4</v>
      </c>
      <c r="L767">
        <v>59</v>
      </c>
      <c r="M767">
        <v>31400</v>
      </c>
      <c r="N767">
        <v>4700</v>
      </c>
      <c r="O767">
        <v>26700</v>
      </c>
      <c r="P767">
        <v>25700</v>
      </c>
      <c r="Q767">
        <v>1000</v>
      </c>
      <c r="R767">
        <v>3.75</v>
      </c>
      <c r="S767" t="s">
        <v>126</v>
      </c>
      <c r="T767">
        <v>3600</v>
      </c>
      <c r="U767">
        <v>5</v>
      </c>
      <c r="V767" t="s">
        <v>114</v>
      </c>
    </row>
    <row r="768" spans="1:22" x14ac:dyDescent="0.3">
      <c r="A768" t="s">
        <v>2309</v>
      </c>
      <c r="B768" t="s">
        <v>1804</v>
      </c>
      <c r="C768" t="s">
        <v>1805</v>
      </c>
      <c r="D768" s="2">
        <v>46037</v>
      </c>
      <c r="E768" t="s">
        <v>161</v>
      </c>
      <c r="F768" t="s">
        <v>161</v>
      </c>
      <c r="G768" t="s">
        <v>147</v>
      </c>
      <c r="H768" t="s">
        <v>268</v>
      </c>
      <c r="I768" t="s">
        <v>29</v>
      </c>
      <c r="J768" t="s">
        <v>30</v>
      </c>
      <c r="K768">
        <v>8</v>
      </c>
      <c r="L768">
        <v>54</v>
      </c>
      <c r="M768">
        <v>34000</v>
      </c>
      <c r="N768">
        <v>0</v>
      </c>
      <c r="O768">
        <v>34000</v>
      </c>
      <c r="P768">
        <v>17800</v>
      </c>
      <c r="Q768">
        <v>16200</v>
      </c>
      <c r="R768">
        <v>47.65</v>
      </c>
      <c r="S768" t="s">
        <v>58</v>
      </c>
      <c r="T768">
        <v>4200</v>
      </c>
      <c r="U768">
        <v>4.2</v>
      </c>
      <c r="V768" t="s">
        <v>79</v>
      </c>
    </row>
    <row r="769" spans="1:22" x14ac:dyDescent="0.3">
      <c r="A769" t="s">
        <v>2750</v>
      </c>
      <c r="B769" t="s">
        <v>2751</v>
      </c>
      <c r="C769" t="s">
        <v>2752</v>
      </c>
      <c r="D769" s="2">
        <v>46037</v>
      </c>
      <c r="E769" t="s">
        <v>66</v>
      </c>
      <c r="F769" t="s">
        <v>66</v>
      </c>
      <c r="G769" t="s">
        <v>48</v>
      </c>
      <c r="H769" t="s">
        <v>28</v>
      </c>
      <c r="I769" t="s">
        <v>29</v>
      </c>
      <c r="J769" t="s">
        <v>30</v>
      </c>
      <c r="K769">
        <v>3</v>
      </c>
      <c r="L769">
        <v>10</v>
      </c>
      <c r="M769">
        <v>58900</v>
      </c>
      <c r="N769">
        <v>0</v>
      </c>
      <c r="O769">
        <v>58900</v>
      </c>
      <c r="P769">
        <v>35300</v>
      </c>
      <c r="Q769">
        <v>23600</v>
      </c>
      <c r="R769">
        <v>40.07</v>
      </c>
      <c r="S769" t="s">
        <v>182</v>
      </c>
      <c r="T769">
        <v>4200</v>
      </c>
      <c r="U769">
        <v>4.5999999999999996</v>
      </c>
      <c r="V769" t="s">
        <v>58</v>
      </c>
    </row>
    <row r="770" spans="1:22" x14ac:dyDescent="0.3">
      <c r="A770" t="s">
        <v>4209</v>
      </c>
      <c r="B770" t="s">
        <v>4210</v>
      </c>
      <c r="C770" t="s">
        <v>4211</v>
      </c>
      <c r="D770" s="2">
        <v>46037</v>
      </c>
      <c r="E770" t="s">
        <v>161</v>
      </c>
      <c r="F770" t="s">
        <v>161</v>
      </c>
      <c r="G770" t="s">
        <v>118</v>
      </c>
      <c r="H770" t="s">
        <v>28</v>
      </c>
      <c r="I770" t="s">
        <v>69</v>
      </c>
      <c r="J770" t="s">
        <v>257</v>
      </c>
      <c r="K770">
        <v>7</v>
      </c>
      <c r="L770">
        <v>31</v>
      </c>
      <c r="M770">
        <v>50100</v>
      </c>
      <c r="N770">
        <v>0</v>
      </c>
      <c r="O770">
        <v>50100</v>
      </c>
      <c r="P770">
        <v>21600</v>
      </c>
      <c r="Q770">
        <v>28500</v>
      </c>
      <c r="R770">
        <v>56.89</v>
      </c>
      <c r="S770" t="s">
        <v>58</v>
      </c>
      <c r="T770">
        <v>6400</v>
      </c>
      <c r="U770">
        <v>4.2</v>
      </c>
      <c r="V770" t="s">
        <v>58</v>
      </c>
    </row>
    <row r="771" spans="1:22" x14ac:dyDescent="0.3">
      <c r="A771" t="s">
        <v>2169</v>
      </c>
      <c r="B771" t="s">
        <v>869</v>
      </c>
      <c r="C771" t="s">
        <v>870</v>
      </c>
      <c r="D771" s="2">
        <v>46039</v>
      </c>
      <c r="E771" t="s">
        <v>161</v>
      </c>
      <c r="F771" t="s">
        <v>161</v>
      </c>
      <c r="G771" t="s">
        <v>27</v>
      </c>
      <c r="H771" t="s">
        <v>68</v>
      </c>
      <c r="I771" t="s">
        <v>69</v>
      </c>
      <c r="J771" t="s">
        <v>257</v>
      </c>
      <c r="K771">
        <v>9</v>
      </c>
      <c r="L771">
        <v>13</v>
      </c>
      <c r="M771">
        <v>15000</v>
      </c>
      <c r="N771">
        <v>0</v>
      </c>
      <c r="O771">
        <v>15000</v>
      </c>
      <c r="P771">
        <v>9600</v>
      </c>
      <c r="Q771">
        <v>5400</v>
      </c>
      <c r="R771">
        <v>36</v>
      </c>
      <c r="S771" t="s">
        <v>97</v>
      </c>
      <c r="T771">
        <v>1300</v>
      </c>
      <c r="U771">
        <v>4.8</v>
      </c>
      <c r="V771" t="s">
        <v>79</v>
      </c>
    </row>
    <row r="772" spans="1:22" x14ac:dyDescent="0.3">
      <c r="A772" t="s">
        <v>3842</v>
      </c>
      <c r="B772" t="s">
        <v>860</v>
      </c>
      <c r="C772" t="s">
        <v>861</v>
      </c>
      <c r="D772" s="2">
        <v>46039</v>
      </c>
      <c r="E772" t="s">
        <v>26</v>
      </c>
      <c r="F772" t="s">
        <v>26</v>
      </c>
      <c r="G772" t="s">
        <v>213</v>
      </c>
      <c r="H772" t="s">
        <v>28</v>
      </c>
      <c r="I772" t="s">
        <v>29</v>
      </c>
      <c r="J772" t="s">
        <v>30</v>
      </c>
      <c r="K772">
        <v>8</v>
      </c>
      <c r="L772">
        <v>34</v>
      </c>
      <c r="M772">
        <v>37300</v>
      </c>
      <c r="N772">
        <v>3700</v>
      </c>
      <c r="O772">
        <v>33600</v>
      </c>
      <c r="P772">
        <v>18000</v>
      </c>
      <c r="Q772">
        <v>15600</v>
      </c>
      <c r="R772">
        <v>46.43</v>
      </c>
      <c r="S772" t="s">
        <v>79</v>
      </c>
      <c r="T772">
        <v>1600</v>
      </c>
      <c r="U772">
        <v>4.4000000000000004</v>
      </c>
      <c r="V772" t="s">
        <v>114</v>
      </c>
    </row>
    <row r="773" spans="1:22" x14ac:dyDescent="0.3">
      <c r="A773" t="s">
        <v>4296</v>
      </c>
      <c r="B773" t="s">
        <v>3867</v>
      </c>
      <c r="C773" t="s">
        <v>3868</v>
      </c>
      <c r="D773" s="2">
        <v>46039</v>
      </c>
      <c r="E773" t="s">
        <v>134</v>
      </c>
      <c r="F773" t="s">
        <v>134</v>
      </c>
      <c r="G773" t="s">
        <v>213</v>
      </c>
      <c r="H773" t="s">
        <v>229</v>
      </c>
      <c r="I773" t="s">
        <v>69</v>
      </c>
      <c r="J773" t="s">
        <v>30</v>
      </c>
      <c r="K773">
        <v>10</v>
      </c>
      <c r="L773">
        <v>32</v>
      </c>
      <c r="M773">
        <v>100700</v>
      </c>
      <c r="N773">
        <v>0</v>
      </c>
      <c r="O773">
        <v>100700</v>
      </c>
      <c r="P773">
        <v>60300</v>
      </c>
      <c r="Q773">
        <v>40400</v>
      </c>
      <c r="R773">
        <v>40.119999999999997</v>
      </c>
      <c r="S773" t="s">
        <v>58</v>
      </c>
      <c r="T773">
        <v>10500</v>
      </c>
      <c r="U773">
        <v>4.2</v>
      </c>
      <c r="V773" t="s">
        <v>79</v>
      </c>
    </row>
    <row r="774" spans="1:22" x14ac:dyDescent="0.3">
      <c r="A774" t="s">
        <v>5342</v>
      </c>
      <c r="B774" t="s">
        <v>1912</v>
      </c>
      <c r="C774" t="s">
        <v>1913</v>
      </c>
      <c r="D774" s="2">
        <v>46040</v>
      </c>
      <c r="E774" t="s">
        <v>244</v>
      </c>
      <c r="F774" t="s">
        <v>244</v>
      </c>
      <c r="G774" t="s">
        <v>147</v>
      </c>
      <c r="H774" t="s">
        <v>229</v>
      </c>
      <c r="I774" t="s">
        <v>69</v>
      </c>
      <c r="J774" t="s">
        <v>30</v>
      </c>
      <c r="K774">
        <v>3</v>
      </c>
      <c r="L774">
        <v>9</v>
      </c>
      <c r="M774">
        <v>139400</v>
      </c>
      <c r="N774">
        <v>20900</v>
      </c>
      <c r="O774">
        <v>118500</v>
      </c>
      <c r="P774">
        <v>95800</v>
      </c>
      <c r="Q774">
        <v>22700</v>
      </c>
      <c r="R774">
        <v>19.16</v>
      </c>
      <c r="S774" t="s">
        <v>58</v>
      </c>
      <c r="T774">
        <v>19300</v>
      </c>
      <c r="U774">
        <v>3.9</v>
      </c>
      <c r="V774" t="s">
        <v>82</v>
      </c>
    </row>
    <row r="775" spans="1:22" x14ac:dyDescent="0.3">
      <c r="A775" t="s">
        <v>5179</v>
      </c>
      <c r="B775" t="s">
        <v>3775</v>
      </c>
      <c r="C775" t="s">
        <v>3776</v>
      </c>
      <c r="D775" s="2">
        <v>46040</v>
      </c>
      <c r="E775" t="s">
        <v>244</v>
      </c>
      <c r="F775" t="s">
        <v>244</v>
      </c>
      <c r="G775" t="s">
        <v>118</v>
      </c>
      <c r="H775" t="s">
        <v>214</v>
      </c>
      <c r="I775" t="s">
        <v>69</v>
      </c>
      <c r="J775" t="s">
        <v>30</v>
      </c>
      <c r="K775">
        <v>2</v>
      </c>
      <c r="L775">
        <v>5</v>
      </c>
      <c r="M775">
        <v>21500</v>
      </c>
      <c r="N775">
        <v>0</v>
      </c>
      <c r="O775">
        <v>21500</v>
      </c>
      <c r="P775">
        <v>13600</v>
      </c>
      <c r="Q775">
        <v>7900</v>
      </c>
      <c r="R775">
        <v>36.74</v>
      </c>
      <c r="S775" t="s">
        <v>126</v>
      </c>
      <c r="T775">
        <v>2600</v>
      </c>
      <c r="U775">
        <v>4.2</v>
      </c>
      <c r="V775" t="s">
        <v>58</v>
      </c>
    </row>
    <row r="776" spans="1:22" x14ac:dyDescent="0.3">
      <c r="A776" t="s">
        <v>3417</v>
      </c>
      <c r="B776" t="s">
        <v>3056</v>
      </c>
      <c r="C776" t="s">
        <v>3057</v>
      </c>
      <c r="D776" s="2">
        <v>46040</v>
      </c>
      <c r="E776" t="s">
        <v>228</v>
      </c>
      <c r="F776" t="s">
        <v>228</v>
      </c>
      <c r="G776" t="s">
        <v>118</v>
      </c>
      <c r="H776" t="s">
        <v>268</v>
      </c>
      <c r="I776" t="s">
        <v>69</v>
      </c>
      <c r="J776" t="s">
        <v>30</v>
      </c>
      <c r="K776">
        <v>4</v>
      </c>
      <c r="L776">
        <v>46</v>
      </c>
      <c r="M776">
        <v>162600</v>
      </c>
      <c r="N776">
        <v>0</v>
      </c>
      <c r="O776">
        <v>162600</v>
      </c>
      <c r="P776">
        <v>89000</v>
      </c>
      <c r="Q776">
        <v>73600</v>
      </c>
      <c r="R776">
        <v>45.26</v>
      </c>
      <c r="S776" t="s">
        <v>79</v>
      </c>
      <c r="T776">
        <v>25400</v>
      </c>
      <c r="U776">
        <v>4.0999999999999996</v>
      </c>
      <c r="V776" t="s">
        <v>82</v>
      </c>
    </row>
    <row r="777" spans="1:22" x14ac:dyDescent="0.3">
      <c r="A777" t="s">
        <v>2614</v>
      </c>
      <c r="B777" t="s">
        <v>279</v>
      </c>
      <c r="C777" t="s">
        <v>280</v>
      </c>
      <c r="D777" s="2">
        <v>46041</v>
      </c>
      <c r="E777" t="s">
        <v>244</v>
      </c>
      <c r="F777" t="s">
        <v>244</v>
      </c>
      <c r="G777" t="s">
        <v>580</v>
      </c>
      <c r="H777" t="s">
        <v>88</v>
      </c>
      <c r="I777" t="s">
        <v>69</v>
      </c>
      <c r="J777" t="s">
        <v>70</v>
      </c>
      <c r="K777">
        <v>10</v>
      </c>
      <c r="L777">
        <v>27</v>
      </c>
      <c r="M777">
        <v>19900</v>
      </c>
      <c r="N777">
        <v>3000</v>
      </c>
      <c r="O777">
        <v>16900</v>
      </c>
      <c r="P777">
        <v>15500</v>
      </c>
      <c r="Q777">
        <v>1400</v>
      </c>
      <c r="R777">
        <v>8.2799999999999994</v>
      </c>
      <c r="S777" t="s">
        <v>126</v>
      </c>
      <c r="T777">
        <v>1000</v>
      </c>
      <c r="U777">
        <v>3.6</v>
      </c>
      <c r="V777" t="s">
        <v>114</v>
      </c>
    </row>
    <row r="778" spans="1:22" x14ac:dyDescent="0.3">
      <c r="A778" t="s">
        <v>4273</v>
      </c>
      <c r="B778" t="s">
        <v>1722</v>
      </c>
      <c r="C778" t="s">
        <v>1723</v>
      </c>
      <c r="D778" s="2">
        <v>46042</v>
      </c>
      <c r="E778" t="s">
        <v>228</v>
      </c>
      <c r="F778" t="s">
        <v>228</v>
      </c>
      <c r="G778" t="s">
        <v>67</v>
      </c>
      <c r="H778" t="s">
        <v>214</v>
      </c>
      <c r="I778" t="s">
        <v>69</v>
      </c>
      <c r="J778" t="s">
        <v>70</v>
      </c>
      <c r="K778">
        <v>3</v>
      </c>
      <c r="L778">
        <v>34</v>
      </c>
      <c r="M778">
        <v>46500</v>
      </c>
      <c r="N778">
        <v>0</v>
      </c>
      <c r="O778">
        <v>46500</v>
      </c>
      <c r="P778">
        <v>21100</v>
      </c>
      <c r="Q778">
        <v>25400</v>
      </c>
      <c r="R778">
        <v>54.62</v>
      </c>
      <c r="S778" t="s">
        <v>126</v>
      </c>
      <c r="T778">
        <v>2800</v>
      </c>
      <c r="U778">
        <v>3.5</v>
      </c>
      <c r="V778" t="s">
        <v>42</v>
      </c>
    </row>
    <row r="779" spans="1:22" x14ac:dyDescent="0.3">
      <c r="A779" t="s">
        <v>1903</v>
      </c>
      <c r="B779" t="s">
        <v>1904</v>
      </c>
      <c r="C779" t="s">
        <v>1905</v>
      </c>
      <c r="D779" s="2">
        <v>46043</v>
      </c>
      <c r="E779" t="s">
        <v>134</v>
      </c>
      <c r="F779" t="s">
        <v>134</v>
      </c>
      <c r="G779" t="s">
        <v>118</v>
      </c>
      <c r="H779" t="s">
        <v>5470</v>
      </c>
      <c r="I779" t="s">
        <v>29</v>
      </c>
      <c r="J779" t="s">
        <v>70</v>
      </c>
      <c r="K779">
        <v>6</v>
      </c>
      <c r="L779">
        <v>15</v>
      </c>
      <c r="M779">
        <v>62600</v>
      </c>
      <c r="N779">
        <v>6300</v>
      </c>
      <c r="O779">
        <v>56300</v>
      </c>
      <c r="P779">
        <v>32100</v>
      </c>
      <c r="Q779">
        <v>24200</v>
      </c>
      <c r="R779">
        <v>42.98</v>
      </c>
      <c r="S779" t="s">
        <v>182</v>
      </c>
      <c r="T779">
        <v>4700</v>
      </c>
      <c r="U779">
        <v>4.4000000000000004</v>
      </c>
      <c r="V779" t="s">
        <v>114</v>
      </c>
    </row>
    <row r="780" spans="1:22" x14ac:dyDescent="0.3">
      <c r="A780" t="s">
        <v>3948</v>
      </c>
      <c r="B780" t="s">
        <v>3949</v>
      </c>
      <c r="C780" t="s">
        <v>3950</v>
      </c>
      <c r="D780" s="2">
        <v>46043</v>
      </c>
      <c r="E780" t="s">
        <v>26</v>
      </c>
      <c r="F780" t="s">
        <v>26</v>
      </c>
      <c r="G780" t="s">
        <v>27</v>
      </c>
      <c r="H780" t="s">
        <v>214</v>
      </c>
      <c r="I780" t="s">
        <v>69</v>
      </c>
      <c r="J780" t="s">
        <v>30</v>
      </c>
      <c r="K780">
        <v>7</v>
      </c>
      <c r="L780">
        <v>33</v>
      </c>
      <c r="M780">
        <v>17700</v>
      </c>
      <c r="N780">
        <v>0</v>
      </c>
      <c r="O780">
        <v>17700</v>
      </c>
      <c r="P780">
        <v>8400</v>
      </c>
      <c r="Q780">
        <v>9300</v>
      </c>
      <c r="R780">
        <v>52.54</v>
      </c>
      <c r="S780" t="s">
        <v>126</v>
      </c>
      <c r="T780">
        <v>1800</v>
      </c>
      <c r="U780">
        <v>3.8</v>
      </c>
      <c r="V780" t="s">
        <v>114</v>
      </c>
    </row>
    <row r="781" spans="1:22" x14ac:dyDescent="0.3">
      <c r="A781" t="s">
        <v>2380</v>
      </c>
      <c r="B781" t="s">
        <v>2057</v>
      </c>
      <c r="C781" t="s">
        <v>2058</v>
      </c>
      <c r="D781" s="2">
        <v>46043</v>
      </c>
      <c r="E781" t="s">
        <v>66</v>
      </c>
      <c r="F781" t="s">
        <v>66</v>
      </c>
      <c r="G781" t="s">
        <v>580</v>
      </c>
      <c r="H781" t="s">
        <v>268</v>
      </c>
      <c r="I781" t="s">
        <v>69</v>
      </c>
      <c r="J781" t="s">
        <v>30</v>
      </c>
      <c r="K781">
        <v>7</v>
      </c>
      <c r="L781">
        <v>29</v>
      </c>
      <c r="M781">
        <v>15000</v>
      </c>
      <c r="N781">
        <v>2200</v>
      </c>
      <c r="O781">
        <v>12800</v>
      </c>
      <c r="P781">
        <v>9800</v>
      </c>
      <c r="Q781">
        <v>3000</v>
      </c>
      <c r="R781">
        <v>23.44</v>
      </c>
      <c r="S781" t="s">
        <v>97</v>
      </c>
      <c r="T781">
        <v>1300</v>
      </c>
      <c r="U781">
        <v>4.5999999999999996</v>
      </c>
      <c r="V781" t="s">
        <v>58</v>
      </c>
    </row>
    <row r="782" spans="1:22" x14ac:dyDescent="0.3">
      <c r="A782" t="s">
        <v>4046</v>
      </c>
      <c r="B782" t="s">
        <v>2000</v>
      </c>
      <c r="C782" t="s">
        <v>2001</v>
      </c>
      <c r="D782" s="2">
        <v>46044</v>
      </c>
      <c r="E782" t="s">
        <v>66</v>
      </c>
      <c r="F782" t="s">
        <v>66</v>
      </c>
      <c r="G782" t="s">
        <v>67</v>
      </c>
      <c r="H782" t="s">
        <v>5470</v>
      </c>
      <c r="I782" t="s">
        <v>69</v>
      </c>
      <c r="J782" t="s">
        <v>162</v>
      </c>
      <c r="K782">
        <v>4</v>
      </c>
      <c r="L782">
        <v>31</v>
      </c>
      <c r="M782">
        <v>34200</v>
      </c>
      <c r="N782">
        <v>0</v>
      </c>
      <c r="O782">
        <v>34200</v>
      </c>
      <c r="P782">
        <v>26500</v>
      </c>
      <c r="Q782">
        <v>7700</v>
      </c>
      <c r="R782">
        <v>22.51</v>
      </c>
      <c r="S782" t="s">
        <v>79</v>
      </c>
      <c r="T782">
        <v>1900</v>
      </c>
      <c r="U782">
        <v>3.9</v>
      </c>
      <c r="V782" t="s">
        <v>42</v>
      </c>
    </row>
    <row r="783" spans="1:22" x14ac:dyDescent="0.3">
      <c r="A783" t="s">
        <v>3866</v>
      </c>
      <c r="B783" t="s">
        <v>3867</v>
      </c>
      <c r="C783" t="s">
        <v>3868</v>
      </c>
      <c r="D783" s="2">
        <v>46044</v>
      </c>
      <c r="E783" t="s">
        <v>228</v>
      </c>
      <c r="F783" t="s">
        <v>228</v>
      </c>
      <c r="G783" t="s">
        <v>118</v>
      </c>
      <c r="H783" t="s">
        <v>49</v>
      </c>
      <c r="I783" t="s">
        <v>69</v>
      </c>
      <c r="J783" t="s">
        <v>70</v>
      </c>
      <c r="K783">
        <v>10</v>
      </c>
      <c r="L783">
        <v>20</v>
      </c>
      <c r="M783">
        <v>47100</v>
      </c>
      <c r="N783">
        <v>2400</v>
      </c>
      <c r="O783">
        <v>44700</v>
      </c>
      <c r="P783">
        <v>21300</v>
      </c>
      <c r="Q783">
        <v>23400</v>
      </c>
      <c r="R783">
        <v>52.35</v>
      </c>
      <c r="S783" t="s">
        <v>126</v>
      </c>
      <c r="T783">
        <v>6400</v>
      </c>
      <c r="U783">
        <v>3.7</v>
      </c>
      <c r="V783" t="s">
        <v>79</v>
      </c>
    </row>
    <row r="784" spans="1:22" x14ac:dyDescent="0.3">
      <c r="A784" t="s">
        <v>3623</v>
      </c>
      <c r="B784" t="s">
        <v>3118</v>
      </c>
      <c r="C784" t="s">
        <v>3119</v>
      </c>
      <c r="D784" s="2">
        <v>46044</v>
      </c>
      <c r="E784" t="s">
        <v>282</v>
      </c>
      <c r="F784" t="s">
        <v>282</v>
      </c>
      <c r="G784" t="s">
        <v>118</v>
      </c>
      <c r="H784" t="s">
        <v>88</v>
      </c>
      <c r="I784" t="s">
        <v>69</v>
      </c>
      <c r="J784" t="s">
        <v>70</v>
      </c>
      <c r="K784">
        <v>7</v>
      </c>
      <c r="L784">
        <v>29</v>
      </c>
      <c r="M784">
        <v>40600</v>
      </c>
      <c r="N784">
        <v>6100</v>
      </c>
      <c r="O784">
        <v>34500</v>
      </c>
      <c r="P784">
        <v>20400</v>
      </c>
      <c r="Q784">
        <v>14100</v>
      </c>
      <c r="R784">
        <v>40.869999999999997</v>
      </c>
      <c r="S784" t="s">
        <v>39</v>
      </c>
      <c r="T784">
        <v>5500</v>
      </c>
      <c r="U784">
        <v>4.2</v>
      </c>
      <c r="V784" t="s">
        <v>58</v>
      </c>
    </row>
    <row r="785" spans="1:22" x14ac:dyDescent="0.3">
      <c r="A785" t="s">
        <v>4033</v>
      </c>
      <c r="B785" t="s">
        <v>3204</v>
      </c>
      <c r="C785" t="s">
        <v>3205</v>
      </c>
      <c r="D785" s="2">
        <v>46045</v>
      </c>
      <c r="E785" t="s">
        <v>134</v>
      </c>
      <c r="F785" t="s">
        <v>134</v>
      </c>
      <c r="G785" t="s">
        <v>103</v>
      </c>
      <c r="H785" t="s">
        <v>88</v>
      </c>
      <c r="I785" t="s">
        <v>69</v>
      </c>
      <c r="J785" t="s">
        <v>30</v>
      </c>
      <c r="K785">
        <v>7</v>
      </c>
      <c r="L785">
        <v>8</v>
      </c>
      <c r="M785">
        <v>37800</v>
      </c>
      <c r="N785">
        <v>0</v>
      </c>
      <c r="O785">
        <v>37800</v>
      </c>
      <c r="P785">
        <v>29200</v>
      </c>
      <c r="Q785">
        <v>8600</v>
      </c>
      <c r="R785">
        <v>22.75</v>
      </c>
      <c r="S785" t="s">
        <v>182</v>
      </c>
      <c r="T785">
        <v>2100</v>
      </c>
      <c r="U785">
        <v>4.5</v>
      </c>
      <c r="V785" t="s">
        <v>58</v>
      </c>
    </row>
    <row r="786" spans="1:22" x14ac:dyDescent="0.3">
      <c r="A786" t="s">
        <v>3586</v>
      </c>
      <c r="B786" t="s">
        <v>474</v>
      </c>
      <c r="C786" t="s">
        <v>475</v>
      </c>
      <c r="D786" s="2">
        <v>46046</v>
      </c>
      <c r="E786" t="s">
        <v>228</v>
      </c>
      <c r="F786" t="s">
        <v>228</v>
      </c>
      <c r="G786" t="s">
        <v>48</v>
      </c>
      <c r="H786" t="s">
        <v>5470</v>
      </c>
      <c r="I786" t="s">
        <v>69</v>
      </c>
      <c r="J786" t="s">
        <v>30</v>
      </c>
      <c r="K786">
        <v>8</v>
      </c>
      <c r="L786">
        <v>37</v>
      </c>
      <c r="M786">
        <v>41300</v>
      </c>
      <c r="N786">
        <v>8300</v>
      </c>
      <c r="O786">
        <v>33000</v>
      </c>
      <c r="P786">
        <v>18700</v>
      </c>
      <c r="Q786">
        <v>14300</v>
      </c>
      <c r="R786">
        <v>43.33</v>
      </c>
      <c r="S786" t="s">
        <v>126</v>
      </c>
      <c r="T786">
        <v>4400</v>
      </c>
      <c r="U786">
        <v>4.5999999999999996</v>
      </c>
      <c r="V786" t="s">
        <v>42</v>
      </c>
    </row>
    <row r="787" spans="1:22" x14ac:dyDescent="0.3">
      <c r="A787" t="s">
        <v>1829</v>
      </c>
      <c r="B787" t="s">
        <v>1830</v>
      </c>
      <c r="C787" t="s">
        <v>1831</v>
      </c>
      <c r="D787" s="2">
        <v>46046</v>
      </c>
      <c r="E787" t="s">
        <v>26</v>
      </c>
      <c r="F787" t="s">
        <v>26</v>
      </c>
      <c r="G787" t="s">
        <v>147</v>
      </c>
      <c r="H787" t="s">
        <v>68</v>
      </c>
      <c r="I787" t="s">
        <v>69</v>
      </c>
      <c r="J787" t="s">
        <v>30</v>
      </c>
      <c r="K787">
        <v>8</v>
      </c>
      <c r="L787">
        <v>61</v>
      </c>
      <c r="M787">
        <v>65000</v>
      </c>
      <c r="N787">
        <v>0</v>
      </c>
      <c r="O787">
        <v>65000</v>
      </c>
      <c r="P787">
        <v>31700</v>
      </c>
      <c r="Q787">
        <v>33300</v>
      </c>
      <c r="R787">
        <v>51.23</v>
      </c>
      <c r="S787" t="s">
        <v>39</v>
      </c>
      <c r="T787">
        <v>3500</v>
      </c>
      <c r="U787">
        <v>5</v>
      </c>
      <c r="V787" t="s">
        <v>79</v>
      </c>
    </row>
    <row r="788" spans="1:22" x14ac:dyDescent="0.3">
      <c r="A788" t="s">
        <v>5393</v>
      </c>
      <c r="B788" t="s">
        <v>2675</v>
      </c>
      <c r="C788" t="s">
        <v>2676</v>
      </c>
      <c r="D788" s="2">
        <v>46047</v>
      </c>
      <c r="E788" t="s">
        <v>244</v>
      </c>
      <c r="F788" t="s">
        <v>244</v>
      </c>
      <c r="G788" t="s">
        <v>103</v>
      </c>
      <c r="H788" t="s">
        <v>68</v>
      </c>
      <c r="I788" t="s">
        <v>69</v>
      </c>
      <c r="J788" t="s">
        <v>162</v>
      </c>
      <c r="K788">
        <v>4</v>
      </c>
      <c r="L788">
        <v>20</v>
      </c>
      <c r="M788">
        <v>85000</v>
      </c>
      <c r="N788">
        <v>8500</v>
      </c>
      <c r="O788">
        <v>76500</v>
      </c>
      <c r="P788">
        <v>46500</v>
      </c>
      <c r="Q788">
        <v>30000</v>
      </c>
      <c r="R788">
        <v>39.22</v>
      </c>
      <c r="S788" t="s">
        <v>97</v>
      </c>
      <c r="T788">
        <v>12600</v>
      </c>
      <c r="U788">
        <v>3.8</v>
      </c>
      <c r="V788" t="s">
        <v>114</v>
      </c>
    </row>
    <row r="789" spans="1:22" x14ac:dyDescent="0.3">
      <c r="A789" t="s">
        <v>4243</v>
      </c>
      <c r="B789" t="s">
        <v>1787</v>
      </c>
      <c r="C789" t="s">
        <v>1788</v>
      </c>
      <c r="D789" s="2">
        <v>46047</v>
      </c>
      <c r="E789" t="s">
        <v>228</v>
      </c>
      <c r="F789" t="s">
        <v>228</v>
      </c>
      <c r="G789" t="s">
        <v>48</v>
      </c>
      <c r="H789" t="s">
        <v>28</v>
      </c>
      <c r="I789" t="s">
        <v>29</v>
      </c>
      <c r="J789" t="s">
        <v>30</v>
      </c>
      <c r="K789">
        <v>2</v>
      </c>
      <c r="L789">
        <v>28</v>
      </c>
      <c r="M789">
        <v>195100</v>
      </c>
      <c r="N789">
        <v>29300</v>
      </c>
      <c r="O789">
        <v>165800</v>
      </c>
      <c r="P789">
        <v>83100</v>
      </c>
      <c r="Q789">
        <v>82700</v>
      </c>
      <c r="R789">
        <v>49.88</v>
      </c>
      <c r="S789" t="s">
        <v>126</v>
      </c>
      <c r="T789">
        <v>25200</v>
      </c>
      <c r="U789">
        <v>4.5999999999999996</v>
      </c>
      <c r="V789" t="s">
        <v>82</v>
      </c>
    </row>
    <row r="790" spans="1:22" x14ac:dyDescent="0.3">
      <c r="A790" t="s">
        <v>83</v>
      </c>
      <c r="B790" t="s">
        <v>84</v>
      </c>
      <c r="C790" t="s">
        <v>85</v>
      </c>
      <c r="D790" s="2">
        <v>46047</v>
      </c>
      <c r="E790" t="s">
        <v>26</v>
      </c>
      <c r="F790" t="s">
        <v>26</v>
      </c>
      <c r="G790" t="s">
        <v>67</v>
      </c>
      <c r="H790" t="s">
        <v>88</v>
      </c>
      <c r="I790" t="s">
        <v>29</v>
      </c>
      <c r="J790" t="s">
        <v>30</v>
      </c>
      <c r="K790">
        <v>3</v>
      </c>
      <c r="L790">
        <v>48</v>
      </c>
      <c r="M790">
        <v>38600</v>
      </c>
      <c r="N790">
        <v>3900</v>
      </c>
      <c r="O790">
        <v>34700</v>
      </c>
      <c r="P790">
        <v>25800</v>
      </c>
      <c r="Q790">
        <v>8900</v>
      </c>
      <c r="R790">
        <v>25.65</v>
      </c>
      <c r="S790" t="s">
        <v>97</v>
      </c>
      <c r="T790">
        <v>3900</v>
      </c>
      <c r="U790">
        <v>4</v>
      </c>
      <c r="V790" t="s">
        <v>79</v>
      </c>
    </row>
    <row r="791" spans="1:22" x14ac:dyDescent="0.3">
      <c r="A791" t="s">
        <v>3937</v>
      </c>
      <c r="B791" t="s">
        <v>1269</v>
      </c>
      <c r="C791" t="s">
        <v>1270</v>
      </c>
      <c r="D791" s="2">
        <v>46047</v>
      </c>
      <c r="E791" t="s">
        <v>66</v>
      </c>
      <c r="F791" t="s">
        <v>66</v>
      </c>
      <c r="G791" t="s">
        <v>67</v>
      </c>
      <c r="H791" t="s">
        <v>88</v>
      </c>
      <c r="I791" t="s">
        <v>69</v>
      </c>
      <c r="J791" t="s">
        <v>162</v>
      </c>
      <c r="K791">
        <v>7</v>
      </c>
      <c r="L791">
        <v>36</v>
      </c>
      <c r="M791">
        <v>86800</v>
      </c>
      <c r="N791">
        <v>4300</v>
      </c>
      <c r="O791">
        <v>82500</v>
      </c>
      <c r="P791">
        <v>63100</v>
      </c>
      <c r="Q791">
        <v>19400</v>
      </c>
      <c r="R791">
        <v>23.52</v>
      </c>
      <c r="S791" t="s">
        <v>79</v>
      </c>
      <c r="T791">
        <v>12700</v>
      </c>
      <c r="U791">
        <v>3.4</v>
      </c>
      <c r="V791" t="s">
        <v>58</v>
      </c>
    </row>
    <row r="792" spans="1:22" x14ac:dyDescent="0.3">
      <c r="A792" t="s">
        <v>1024</v>
      </c>
      <c r="B792" t="s">
        <v>1025</v>
      </c>
      <c r="C792" t="s">
        <v>1026</v>
      </c>
      <c r="D792" s="2">
        <v>46048</v>
      </c>
      <c r="E792" t="s">
        <v>26</v>
      </c>
      <c r="F792" t="s">
        <v>26</v>
      </c>
      <c r="G792" t="s">
        <v>147</v>
      </c>
      <c r="H792" t="s">
        <v>28</v>
      </c>
      <c r="I792" t="s">
        <v>29</v>
      </c>
      <c r="J792" t="s">
        <v>30</v>
      </c>
      <c r="K792">
        <v>7</v>
      </c>
      <c r="L792">
        <v>5</v>
      </c>
      <c r="M792">
        <v>64600</v>
      </c>
      <c r="N792">
        <v>12900</v>
      </c>
      <c r="O792">
        <v>51700</v>
      </c>
      <c r="P792">
        <v>52500</v>
      </c>
      <c r="Q792">
        <v>-800</v>
      </c>
      <c r="R792">
        <v>-1.55</v>
      </c>
      <c r="S792" t="s">
        <v>126</v>
      </c>
      <c r="T792">
        <v>4900</v>
      </c>
      <c r="U792">
        <v>3.7</v>
      </c>
      <c r="V792" t="s">
        <v>42</v>
      </c>
    </row>
    <row r="793" spans="1:22" x14ac:dyDescent="0.3">
      <c r="A793" t="s">
        <v>2407</v>
      </c>
      <c r="B793" t="s">
        <v>1269</v>
      </c>
      <c r="C793" t="s">
        <v>1270</v>
      </c>
      <c r="D793" s="2">
        <v>46048</v>
      </c>
      <c r="E793" t="s">
        <v>26</v>
      </c>
      <c r="F793" t="s">
        <v>26</v>
      </c>
      <c r="G793" t="s">
        <v>213</v>
      </c>
      <c r="H793" t="s">
        <v>68</v>
      </c>
      <c r="I793" t="s">
        <v>69</v>
      </c>
      <c r="J793" t="s">
        <v>30</v>
      </c>
      <c r="K793">
        <v>10</v>
      </c>
      <c r="L793">
        <v>19</v>
      </c>
      <c r="M793">
        <v>28700</v>
      </c>
      <c r="N793">
        <v>1400</v>
      </c>
      <c r="O793">
        <v>27300</v>
      </c>
      <c r="P793">
        <v>15600</v>
      </c>
      <c r="Q793">
        <v>11700</v>
      </c>
      <c r="R793">
        <v>42.86</v>
      </c>
      <c r="S793" t="s">
        <v>79</v>
      </c>
      <c r="T793">
        <v>2800</v>
      </c>
      <c r="U793">
        <v>5</v>
      </c>
      <c r="V793" t="s">
        <v>82</v>
      </c>
    </row>
    <row r="794" spans="1:22" x14ac:dyDescent="0.3">
      <c r="A794" t="s">
        <v>5267</v>
      </c>
      <c r="B794" t="s">
        <v>1298</v>
      </c>
      <c r="C794" t="s">
        <v>1299</v>
      </c>
      <c r="D794" s="2">
        <v>46048</v>
      </c>
      <c r="E794" t="s">
        <v>66</v>
      </c>
      <c r="F794" t="s">
        <v>66</v>
      </c>
      <c r="G794" t="s">
        <v>48</v>
      </c>
      <c r="H794" t="s">
        <v>68</v>
      </c>
      <c r="I794" t="s">
        <v>29</v>
      </c>
      <c r="J794" t="s">
        <v>30</v>
      </c>
      <c r="K794">
        <v>6</v>
      </c>
      <c r="L794">
        <v>72</v>
      </c>
      <c r="M794">
        <v>41700</v>
      </c>
      <c r="N794">
        <v>0</v>
      </c>
      <c r="O794">
        <v>41700</v>
      </c>
      <c r="P794">
        <v>26100</v>
      </c>
      <c r="Q794">
        <v>15600</v>
      </c>
      <c r="R794">
        <v>37.409999999999997</v>
      </c>
      <c r="S794" t="s">
        <v>97</v>
      </c>
      <c r="T794">
        <v>4300</v>
      </c>
      <c r="U794">
        <v>5</v>
      </c>
      <c r="V794" t="s">
        <v>79</v>
      </c>
    </row>
    <row r="795" spans="1:22" x14ac:dyDescent="0.3">
      <c r="A795" t="s">
        <v>4560</v>
      </c>
      <c r="B795" t="s">
        <v>1881</v>
      </c>
      <c r="C795" t="s">
        <v>1882</v>
      </c>
      <c r="D795" s="2">
        <v>46049</v>
      </c>
      <c r="E795" t="s">
        <v>26</v>
      </c>
      <c r="F795" t="s">
        <v>26</v>
      </c>
      <c r="G795" t="s">
        <v>580</v>
      </c>
      <c r="H795" t="s">
        <v>229</v>
      </c>
      <c r="I795" t="s">
        <v>69</v>
      </c>
      <c r="J795" t="s">
        <v>70</v>
      </c>
      <c r="K795">
        <v>2</v>
      </c>
      <c r="L795">
        <v>18</v>
      </c>
      <c r="M795">
        <v>33200</v>
      </c>
      <c r="N795">
        <v>0</v>
      </c>
      <c r="O795">
        <v>33200</v>
      </c>
      <c r="P795">
        <v>20200</v>
      </c>
      <c r="Q795">
        <v>13000</v>
      </c>
      <c r="R795">
        <v>39.159999999999997</v>
      </c>
      <c r="S795" t="s">
        <v>79</v>
      </c>
      <c r="T795">
        <v>3600</v>
      </c>
      <c r="U795">
        <v>4.7</v>
      </c>
      <c r="V795" t="s">
        <v>114</v>
      </c>
    </row>
    <row r="796" spans="1:22" x14ac:dyDescent="0.3">
      <c r="A796" t="s">
        <v>3077</v>
      </c>
      <c r="B796" t="s">
        <v>3078</v>
      </c>
      <c r="C796" t="s">
        <v>3079</v>
      </c>
      <c r="D796" s="2">
        <v>46049</v>
      </c>
      <c r="E796" t="s">
        <v>26</v>
      </c>
      <c r="F796" t="s">
        <v>26</v>
      </c>
      <c r="G796" t="s">
        <v>48</v>
      </c>
      <c r="H796" t="s">
        <v>49</v>
      </c>
      <c r="I796" t="s">
        <v>69</v>
      </c>
      <c r="J796" t="s">
        <v>257</v>
      </c>
      <c r="K796">
        <v>10</v>
      </c>
      <c r="L796">
        <v>59</v>
      </c>
      <c r="M796">
        <v>47300</v>
      </c>
      <c r="N796">
        <v>7100</v>
      </c>
      <c r="O796">
        <v>40200</v>
      </c>
      <c r="P796">
        <v>35900</v>
      </c>
      <c r="Q796">
        <v>4300</v>
      </c>
      <c r="R796">
        <v>10.7</v>
      </c>
      <c r="S796" t="s">
        <v>182</v>
      </c>
      <c r="T796">
        <v>2600</v>
      </c>
      <c r="U796">
        <v>3.6</v>
      </c>
      <c r="V796" t="s">
        <v>114</v>
      </c>
    </row>
    <row r="797" spans="1:22" x14ac:dyDescent="0.3">
      <c r="A797" t="s">
        <v>5293</v>
      </c>
      <c r="B797" t="s">
        <v>2317</v>
      </c>
      <c r="C797" t="s">
        <v>2318</v>
      </c>
      <c r="D797" s="2">
        <v>46049</v>
      </c>
      <c r="E797" t="s">
        <v>228</v>
      </c>
      <c r="F797" t="s">
        <v>228</v>
      </c>
      <c r="G797" t="s">
        <v>118</v>
      </c>
      <c r="H797" t="s">
        <v>229</v>
      </c>
      <c r="I797" t="s">
        <v>69</v>
      </c>
      <c r="J797" t="s">
        <v>30</v>
      </c>
      <c r="K797">
        <v>5</v>
      </c>
      <c r="L797">
        <v>37</v>
      </c>
      <c r="M797">
        <v>19200</v>
      </c>
      <c r="N797">
        <v>1000</v>
      </c>
      <c r="O797">
        <v>18200</v>
      </c>
      <c r="P797">
        <v>10200</v>
      </c>
      <c r="Q797">
        <v>8000</v>
      </c>
      <c r="R797">
        <v>43.96</v>
      </c>
      <c r="S797" t="s">
        <v>58</v>
      </c>
      <c r="T797">
        <v>1200</v>
      </c>
      <c r="U797">
        <v>3.5</v>
      </c>
      <c r="V797" t="s">
        <v>82</v>
      </c>
    </row>
    <row r="798" spans="1:22" x14ac:dyDescent="0.3">
      <c r="A798" t="s">
        <v>2129</v>
      </c>
      <c r="B798" t="s">
        <v>2130</v>
      </c>
      <c r="C798" t="s">
        <v>2131</v>
      </c>
      <c r="D798" s="2">
        <v>46050</v>
      </c>
      <c r="E798" t="s">
        <v>282</v>
      </c>
      <c r="F798" t="s">
        <v>282</v>
      </c>
      <c r="G798" t="s">
        <v>48</v>
      </c>
      <c r="H798" t="s">
        <v>5471</v>
      </c>
      <c r="I798" t="s">
        <v>69</v>
      </c>
      <c r="J798" t="s">
        <v>30</v>
      </c>
      <c r="K798">
        <v>4</v>
      </c>
      <c r="L798">
        <v>5</v>
      </c>
      <c r="M798">
        <v>25500</v>
      </c>
      <c r="N798">
        <v>5100</v>
      </c>
      <c r="O798">
        <v>20400</v>
      </c>
      <c r="P798">
        <v>17300</v>
      </c>
      <c r="Q798">
        <v>3100</v>
      </c>
      <c r="R798">
        <v>15.2</v>
      </c>
      <c r="S798" t="s">
        <v>126</v>
      </c>
      <c r="T798">
        <v>1600</v>
      </c>
      <c r="U798">
        <v>3.9</v>
      </c>
      <c r="V798" t="s">
        <v>114</v>
      </c>
    </row>
    <row r="799" spans="1:22" x14ac:dyDescent="0.3">
      <c r="A799" t="s">
        <v>4588</v>
      </c>
      <c r="B799" t="s">
        <v>1034</v>
      </c>
      <c r="C799" t="s">
        <v>1035</v>
      </c>
      <c r="D799" s="2">
        <v>46050</v>
      </c>
      <c r="E799" t="s">
        <v>26</v>
      </c>
      <c r="F799" t="s">
        <v>26</v>
      </c>
      <c r="G799" t="s">
        <v>118</v>
      </c>
      <c r="H799" t="s">
        <v>5470</v>
      </c>
      <c r="I799" t="s">
        <v>69</v>
      </c>
      <c r="J799" t="s">
        <v>30</v>
      </c>
      <c r="K799">
        <v>8</v>
      </c>
      <c r="L799">
        <v>28</v>
      </c>
      <c r="M799">
        <v>15000</v>
      </c>
      <c r="N799">
        <v>0</v>
      </c>
      <c r="O799">
        <v>15000</v>
      </c>
      <c r="P799">
        <v>6700</v>
      </c>
      <c r="Q799">
        <v>8300</v>
      </c>
      <c r="R799">
        <v>55.33</v>
      </c>
      <c r="S799" t="s">
        <v>58</v>
      </c>
      <c r="T799">
        <v>1600</v>
      </c>
      <c r="U799">
        <v>4.4000000000000004</v>
      </c>
      <c r="V799" t="s">
        <v>114</v>
      </c>
    </row>
    <row r="800" spans="1:22" x14ac:dyDescent="0.3">
      <c r="A800" t="s">
        <v>3591</v>
      </c>
      <c r="B800" t="s">
        <v>2775</v>
      </c>
      <c r="C800" t="s">
        <v>2776</v>
      </c>
      <c r="D800" s="2">
        <v>46052</v>
      </c>
      <c r="E800" t="s">
        <v>282</v>
      </c>
      <c r="F800" t="s">
        <v>282</v>
      </c>
      <c r="G800" t="s">
        <v>67</v>
      </c>
      <c r="H800" t="s">
        <v>214</v>
      </c>
      <c r="I800" t="s">
        <v>29</v>
      </c>
      <c r="J800" t="s">
        <v>30</v>
      </c>
      <c r="K800">
        <v>6</v>
      </c>
      <c r="L800">
        <v>24</v>
      </c>
      <c r="M800">
        <v>48900</v>
      </c>
      <c r="N800">
        <v>2400</v>
      </c>
      <c r="O800">
        <v>46500</v>
      </c>
      <c r="P800">
        <v>33200</v>
      </c>
      <c r="Q800">
        <v>13300</v>
      </c>
      <c r="R800">
        <v>28.6</v>
      </c>
      <c r="S800" t="s">
        <v>79</v>
      </c>
      <c r="T800">
        <v>7500</v>
      </c>
      <c r="U800">
        <v>4</v>
      </c>
      <c r="V800" t="s">
        <v>58</v>
      </c>
    </row>
    <row r="801" spans="1:22" x14ac:dyDescent="0.3">
      <c r="A801" t="s">
        <v>4951</v>
      </c>
      <c r="B801" t="s">
        <v>100</v>
      </c>
      <c r="C801" t="s">
        <v>101</v>
      </c>
      <c r="D801" s="2">
        <v>46052</v>
      </c>
      <c r="E801" t="s">
        <v>161</v>
      </c>
      <c r="F801" t="s">
        <v>161</v>
      </c>
      <c r="G801" t="s">
        <v>118</v>
      </c>
      <c r="H801" t="s">
        <v>5470</v>
      </c>
      <c r="I801" t="s">
        <v>69</v>
      </c>
      <c r="J801" t="s">
        <v>30</v>
      </c>
      <c r="K801">
        <v>9</v>
      </c>
      <c r="L801">
        <v>47</v>
      </c>
      <c r="M801">
        <v>50300</v>
      </c>
      <c r="N801">
        <v>2500</v>
      </c>
      <c r="O801">
        <v>47800</v>
      </c>
      <c r="P801">
        <v>37700</v>
      </c>
      <c r="Q801">
        <v>10100</v>
      </c>
      <c r="R801">
        <v>21.13</v>
      </c>
      <c r="S801" t="s">
        <v>182</v>
      </c>
      <c r="T801">
        <v>8200</v>
      </c>
      <c r="U801">
        <v>3</v>
      </c>
      <c r="V801" t="s">
        <v>114</v>
      </c>
    </row>
    <row r="802" spans="1:22" x14ac:dyDescent="0.3">
      <c r="A802" t="s">
        <v>5402</v>
      </c>
      <c r="B802" t="s">
        <v>1417</v>
      </c>
      <c r="C802" t="s">
        <v>1418</v>
      </c>
      <c r="D802" s="2">
        <v>46054</v>
      </c>
      <c r="E802" t="s">
        <v>244</v>
      </c>
      <c r="F802" t="s">
        <v>244</v>
      </c>
      <c r="G802" t="s">
        <v>27</v>
      </c>
      <c r="H802" t="s">
        <v>88</v>
      </c>
      <c r="I802" t="s">
        <v>69</v>
      </c>
      <c r="J802" t="s">
        <v>162</v>
      </c>
      <c r="K802">
        <v>3</v>
      </c>
      <c r="L802">
        <v>53</v>
      </c>
      <c r="M802">
        <v>17700</v>
      </c>
      <c r="N802">
        <v>900</v>
      </c>
      <c r="O802">
        <v>16800</v>
      </c>
      <c r="P802">
        <v>12000</v>
      </c>
      <c r="Q802">
        <v>4800</v>
      </c>
      <c r="R802">
        <v>28.57</v>
      </c>
      <c r="S802" t="s">
        <v>97</v>
      </c>
      <c r="T802">
        <v>1000</v>
      </c>
      <c r="U802">
        <v>5</v>
      </c>
      <c r="V802" t="s">
        <v>79</v>
      </c>
    </row>
    <row r="803" spans="1:22" x14ac:dyDescent="0.3">
      <c r="A803" t="s">
        <v>1962</v>
      </c>
      <c r="B803" t="s">
        <v>197</v>
      </c>
      <c r="C803" t="s">
        <v>198</v>
      </c>
      <c r="D803" s="2">
        <v>46055</v>
      </c>
      <c r="E803" t="s">
        <v>188</v>
      </c>
      <c r="F803" t="s">
        <v>188</v>
      </c>
      <c r="G803" t="s">
        <v>118</v>
      </c>
      <c r="H803" t="s">
        <v>214</v>
      </c>
      <c r="I803" t="s">
        <v>69</v>
      </c>
      <c r="J803" t="s">
        <v>30</v>
      </c>
      <c r="K803">
        <v>8</v>
      </c>
      <c r="L803">
        <v>24</v>
      </c>
      <c r="M803">
        <v>20300</v>
      </c>
      <c r="N803">
        <v>0</v>
      </c>
      <c r="O803">
        <v>20300</v>
      </c>
      <c r="P803">
        <v>10200</v>
      </c>
      <c r="Q803">
        <v>10100</v>
      </c>
      <c r="R803">
        <v>49.75</v>
      </c>
      <c r="S803" t="s">
        <v>182</v>
      </c>
      <c r="T803">
        <v>1500</v>
      </c>
      <c r="U803">
        <v>5</v>
      </c>
      <c r="V803" t="s">
        <v>114</v>
      </c>
    </row>
    <row r="804" spans="1:22" x14ac:dyDescent="0.3">
      <c r="A804" t="s">
        <v>4790</v>
      </c>
      <c r="B804" t="s">
        <v>2146</v>
      </c>
      <c r="C804" t="s">
        <v>2147</v>
      </c>
      <c r="D804" s="2">
        <v>46055</v>
      </c>
      <c r="E804" t="s">
        <v>26</v>
      </c>
      <c r="F804" t="s">
        <v>26</v>
      </c>
      <c r="G804" t="s">
        <v>48</v>
      </c>
      <c r="H804" t="s">
        <v>268</v>
      </c>
      <c r="I804" t="s">
        <v>69</v>
      </c>
      <c r="J804" t="s">
        <v>162</v>
      </c>
      <c r="K804">
        <v>6</v>
      </c>
      <c r="L804">
        <v>17</v>
      </c>
      <c r="M804">
        <v>24300</v>
      </c>
      <c r="N804">
        <v>0</v>
      </c>
      <c r="O804">
        <v>24300</v>
      </c>
      <c r="P804">
        <v>18300</v>
      </c>
      <c r="Q804">
        <v>6000</v>
      </c>
      <c r="R804">
        <v>24.69</v>
      </c>
      <c r="S804" t="s">
        <v>79</v>
      </c>
      <c r="T804">
        <v>3500</v>
      </c>
      <c r="U804">
        <v>3.4</v>
      </c>
      <c r="V804" t="s">
        <v>79</v>
      </c>
    </row>
    <row r="805" spans="1:22" x14ac:dyDescent="0.3">
      <c r="A805" t="s">
        <v>2393</v>
      </c>
      <c r="B805" t="s">
        <v>1830</v>
      </c>
      <c r="C805" t="s">
        <v>1831</v>
      </c>
      <c r="D805" s="2">
        <v>46055</v>
      </c>
      <c r="E805" t="s">
        <v>161</v>
      </c>
      <c r="F805" t="s">
        <v>161</v>
      </c>
      <c r="G805" t="s">
        <v>103</v>
      </c>
      <c r="H805" t="s">
        <v>229</v>
      </c>
      <c r="I805" t="s">
        <v>69</v>
      </c>
      <c r="J805" t="s">
        <v>30</v>
      </c>
      <c r="K805">
        <v>2</v>
      </c>
      <c r="L805">
        <v>69</v>
      </c>
      <c r="M805">
        <v>36400</v>
      </c>
      <c r="N805">
        <v>3600</v>
      </c>
      <c r="O805">
        <v>32800</v>
      </c>
      <c r="P805">
        <v>26900</v>
      </c>
      <c r="Q805">
        <v>5900</v>
      </c>
      <c r="R805">
        <v>17.989999999999998</v>
      </c>
      <c r="S805" t="s">
        <v>97</v>
      </c>
      <c r="T805">
        <v>3500</v>
      </c>
      <c r="U805">
        <v>4.3</v>
      </c>
      <c r="V805" t="s">
        <v>114</v>
      </c>
    </row>
    <row r="806" spans="1:22" x14ac:dyDescent="0.3">
      <c r="A806" t="s">
        <v>5387</v>
      </c>
      <c r="B806" t="s">
        <v>494</v>
      </c>
      <c r="C806" t="s">
        <v>495</v>
      </c>
      <c r="D806" s="2">
        <v>46055</v>
      </c>
      <c r="E806" t="s">
        <v>134</v>
      </c>
      <c r="F806" t="s">
        <v>134</v>
      </c>
      <c r="G806" t="s">
        <v>103</v>
      </c>
      <c r="H806" t="s">
        <v>28</v>
      </c>
      <c r="I806" t="s">
        <v>29</v>
      </c>
      <c r="J806" t="s">
        <v>30</v>
      </c>
      <c r="K806">
        <v>4</v>
      </c>
      <c r="L806">
        <v>75</v>
      </c>
      <c r="M806">
        <v>42300</v>
      </c>
      <c r="N806">
        <v>2100</v>
      </c>
      <c r="O806">
        <v>40200</v>
      </c>
      <c r="P806">
        <v>33400</v>
      </c>
      <c r="Q806">
        <v>6800</v>
      </c>
      <c r="R806">
        <v>16.920000000000002</v>
      </c>
      <c r="S806" t="s">
        <v>182</v>
      </c>
      <c r="T806">
        <v>5600</v>
      </c>
      <c r="U806">
        <v>4</v>
      </c>
      <c r="V806" t="s">
        <v>82</v>
      </c>
    </row>
    <row r="807" spans="1:22" x14ac:dyDescent="0.3">
      <c r="A807" t="s">
        <v>5449</v>
      </c>
      <c r="B807" t="s">
        <v>679</v>
      </c>
      <c r="C807" t="s">
        <v>680</v>
      </c>
      <c r="D807" s="2">
        <v>46055</v>
      </c>
      <c r="E807" t="s">
        <v>282</v>
      </c>
      <c r="F807" t="s">
        <v>282</v>
      </c>
      <c r="G807" t="s">
        <v>48</v>
      </c>
      <c r="H807" t="s">
        <v>229</v>
      </c>
      <c r="I807" t="s">
        <v>69</v>
      </c>
      <c r="J807" t="s">
        <v>70</v>
      </c>
      <c r="K807">
        <v>2</v>
      </c>
      <c r="L807">
        <v>36</v>
      </c>
      <c r="M807">
        <v>82500</v>
      </c>
      <c r="N807">
        <v>16500</v>
      </c>
      <c r="O807">
        <v>66000</v>
      </c>
      <c r="P807">
        <v>61100</v>
      </c>
      <c r="Q807">
        <v>4900</v>
      </c>
      <c r="R807">
        <v>7.42</v>
      </c>
      <c r="S807" t="s">
        <v>126</v>
      </c>
      <c r="T807">
        <v>4800</v>
      </c>
      <c r="V807" t="s">
        <v>58</v>
      </c>
    </row>
    <row r="808" spans="1:22" x14ac:dyDescent="0.3">
      <c r="A808" t="s">
        <v>2748</v>
      </c>
      <c r="B808" t="s">
        <v>2470</v>
      </c>
      <c r="C808" t="s">
        <v>2471</v>
      </c>
      <c r="D808" s="2">
        <v>46056</v>
      </c>
      <c r="E808" t="s">
        <v>244</v>
      </c>
      <c r="F808" t="s">
        <v>244</v>
      </c>
      <c r="G808" t="s">
        <v>580</v>
      </c>
      <c r="H808" t="s">
        <v>28</v>
      </c>
      <c r="I808" t="s">
        <v>29</v>
      </c>
      <c r="J808" t="s">
        <v>70</v>
      </c>
      <c r="K808">
        <v>2</v>
      </c>
      <c r="L808">
        <v>20</v>
      </c>
      <c r="M808">
        <v>20000</v>
      </c>
      <c r="N808">
        <v>0</v>
      </c>
      <c r="O808">
        <v>20000</v>
      </c>
      <c r="P808">
        <v>8800</v>
      </c>
      <c r="Q808">
        <v>11200</v>
      </c>
      <c r="R808">
        <v>56</v>
      </c>
      <c r="S808" t="s">
        <v>39</v>
      </c>
      <c r="T808">
        <v>1000</v>
      </c>
      <c r="U808">
        <v>5</v>
      </c>
      <c r="V808" t="s">
        <v>42</v>
      </c>
    </row>
    <row r="809" spans="1:22" x14ac:dyDescent="0.3">
      <c r="A809" t="s">
        <v>3339</v>
      </c>
      <c r="B809" t="s">
        <v>2047</v>
      </c>
      <c r="C809" t="s">
        <v>2048</v>
      </c>
      <c r="D809" s="2">
        <v>46057</v>
      </c>
      <c r="E809" t="s">
        <v>244</v>
      </c>
      <c r="F809" t="s">
        <v>244</v>
      </c>
      <c r="G809" t="s">
        <v>48</v>
      </c>
      <c r="H809" t="s">
        <v>88</v>
      </c>
      <c r="I809" t="s">
        <v>69</v>
      </c>
      <c r="J809" t="s">
        <v>30</v>
      </c>
      <c r="K809">
        <v>6</v>
      </c>
      <c r="L809">
        <v>5</v>
      </c>
      <c r="M809">
        <v>64600</v>
      </c>
      <c r="N809">
        <v>3200</v>
      </c>
      <c r="O809">
        <v>61400</v>
      </c>
      <c r="P809">
        <v>43800</v>
      </c>
      <c r="Q809">
        <v>17600</v>
      </c>
      <c r="R809">
        <v>28.66</v>
      </c>
      <c r="S809" t="s">
        <v>182</v>
      </c>
      <c r="T809">
        <v>5000</v>
      </c>
      <c r="U809">
        <v>3.9</v>
      </c>
      <c r="V809" t="s">
        <v>79</v>
      </c>
    </row>
    <row r="810" spans="1:22" x14ac:dyDescent="0.3">
      <c r="A810" t="s">
        <v>649</v>
      </c>
      <c r="B810" t="s">
        <v>650</v>
      </c>
      <c r="C810" t="s">
        <v>651</v>
      </c>
      <c r="D810" s="2">
        <v>46057</v>
      </c>
      <c r="E810" t="s">
        <v>66</v>
      </c>
      <c r="F810" t="s">
        <v>66</v>
      </c>
      <c r="G810" t="s">
        <v>103</v>
      </c>
      <c r="H810" t="s">
        <v>214</v>
      </c>
      <c r="I810" t="s">
        <v>69</v>
      </c>
      <c r="J810" t="s">
        <v>30</v>
      </c>
      <c r="K810">
        <v>8</v>
      </c>
      <c r="L810">
        <v>70</v>
      </c>
      <c r="M810">
        <v>50300</v>
      </c>
      <c r="N810">
        <v>5000</v>
      </c>
      <c r="O810">
        <v>45300</v>
      </c>
      <c r="P810">
        <v>37600</v>
      </c>
      <c r="Q810">
        <v>7700</v>
      </c>
      <c r="R810">
        <v>17</v>
      </c>
      <c r="S810" t="s">
        <v>79</v>
      </c>
      <c r="T810">
        <v>4300</v>
      </c>
      <c r="U810">
        <v>3.9</v>
      </c>
      <c r="V810" t="s">
        <v>82</v>
      </c>
    </row>
    <row r="811" spans="1:22" x14ac:dyDescent="0.3">
      <c r="A811" t="s">
        <v>4380</v>
      </c>
      <c r="B811" t="s">
        <v>454</v>
      </c>
      <c r="C811" t="s">
        <v>455</v>
      </c>
      <c r="D811" s="2">
        <v>46057</v>
      </c>
      <c r="E811" t="s">
        <v>161</v>
      </c>
      <c r="F811" t="s">
        <v>161</v>
      </c>
      <c r="G811" t="s">
        <v>213</v>
      </c>
      <c r="H811" t="s">
        <v>88</v>
      </c>
      <c r="I811" t="s">
        <v>69</v>
      </c>
      <c r="J811" t="s">
        <v>30</v>
      </c>
      <c r="K811">
        <v>8</v>
      </c>
      <c r="L811">
        <v>14</v>
      </c>
      <c r="M811">
        <v>60000</v>
      </c>
      <c r="N811">
        <v>0</v>
      </c>
      <c r="O811">
        <v>60000</v>
      </c>
      <c r="P811">
        <v>40000</v>
      </c>
      <c r="Q811">
        <v>20000</v>
      </c>
      <c r="R811">
        <v>33.33</v>
      </c>
      <c r="S811" t="s">
        <v>79</v>
      </c>
      <c r="T811">
        <v>8700</v>
      </c>
      <c r="U811">
        <v>3.5</v>
      </c>
      <c r="V811" t="s">
        <v>58</v>
      </c>
    </row>
    <row r="812" spans="1:22" x14ac:dyDescent="0.3">
      <c r="A812" t="s">
        <v>5188</v>
      </c>
      <c r="B812" t="s">
        <v>1153</v>
      </c>
      <c r="C812" t="s">
        <v>1154</v>
      </c>
      <c r="D812" s="2">
        <v>46057</v>
      </c>
      <c r="E812" t="s">
        <v>244</v>
      </c>
      <c r="F812" t="s">
        <v>244</v>
      </c>
      <c r="G812" t="s">
        <v>48</v>
      </c>
      <c r="H812" t="s">
        <v>68</v>
      </c>
      <c r="I812" t="s">
        <v>69</v>
      </c>
      <c r="J812" t="s">
        <v>30</v>
      </c>
      <c r="K812">
        <v>2</v>
      </c>
      <c r="L812">
        <v>40</v>
      </c>
      <c r="M812">
        <v>44000</v>
      </c>
      <c r="N812">
        <v>4400</v>
      </c>
      <c r="O812">
        <v>39600</v>
      </c>
      <c r="P812">
        <v>25900</v>
      </c>
      <c r="Q812">
        <v>13700</v>
      </c>
      <c r="R812">
        <v>34.6</v>
      </c>
      <c r="S812" t="s">
        <v>126</v>
      </c>
      <c r="T812">
        <v>2200</v>
      </c>
      <c r="V812" t="s">
        <v>114</v>
      </c>
    </row>
    <row r="813" spans="1:22" x14ac:dyDescent="0.3">
      <c r="A813" t="s">
        <v>4257</v>
      </c>
      <c r="B813" t="s">
        <v>2317</v>
      </c>
      <c r="C813" t="s">
        <v>2318</v>
      </c>
      <c r="D813" s="2">
        <v>46058</v>
      </c>
      <c r="E813" t="s">
        <v>188</v>
      </c>
      <c r="F813" t="s">
        <v>188</v>
      </c>
      <c r="G813" t="s">
        <v>67</v>
      </c>
      <c r="H813" t="s">
        <v>49</v>
      </c>
      <c r="I813" t="s">
        <v>69</v>
      </c>
      <c r="J813" t="s">
        <v>30</v>
      </c>
      <c r="K813">
        <v>8</v>
      </c>
      <c r="L813">
        <v>40</v>
      </c>
      <c r="M813">
        <v>25900</v>
      </c>
      <c r="N813">
        <v>2600</v>
      </c>
      <c r="O813">
        <v>23300</v>
      </c>
      <c r="P813">
        <v>12100</v>
      </c>
      <c r="Q813">
        <v>11200</v>
      </c>
      <c r="R813">
        <v>48.07</v>
      </c>
      <c r="S813" t="s">
        <v>97</v>
      </c>
      <c r="T813">
        <v>2700</v>
      </c>
      <c r="U813">
        <v>3.3</v>
      </c>
      <c r="V813" t="s">
        <v>58</v>
      </c>
    </row>
    <row r="814" spans="1:22" x14ac:dyDescent="0.3">
      <c r="A814" t="s">
        <v>2910</v>
      </c>
      <c r="B814" t="s">
        <v>1257</v>
      </c>
      <c r="C814" t="s">
        <v>1258</v>
      </c>
      <c r="D814" s="2">
        <v>46059</v>
      </c>
      <c r="E814" t="s">
        <v>66</v>
      </c>
      <c r="F814" t="s">
        <v>66</v>
      </c>
      <c r="G814" t="s">
        <v>103</v>
      </c>
      <c r="H814" t="s">
        <v>268</v>
      </c>
      <c r="I814" t="s">
        <v>69</v>
      </c>
      <c r="J814" t="s">
        <v>30</v>
      </c>
      <c r="K814">
        <v>3</v>
      </c>
      <c r="L814">
        <v>62</v>
      </c>
      <c r="M814">
        <v>16800</v>
      </c>
      <c r="N814">
        <v>2500</v>
      </c>
      <c r="O814">
        <v>14300</v>
      </c>
      <c r="P814">
        <v>8300</v>
      </c>
      <c r="Q814">
        <v>6000</v>
      </c>
      <c r="R814">
        <v>41.96</v>
      </c>
      <c r="S814" t="s">
        <v>58</v>
      </c>
      <c r="T814">
        <v>1000</v>
      </c>
      <c r="U814">
        <v>4.7</v>
      </c>
      <c r="V814" t="s">
        <v>42</v>
      </c>
    </row>
    <row r="815" spans="1:22" x14ac:dyDescent="0.3">
      <c r="A815" t="s">
        <v>2079</v>
      </c>
      <c r="B815" t="s">
        <v>2080</v>
      </c>
      <c r="C815" t="s">
        <v>2081</v>
      </c>
      <c r="D815" s="2">
        <v>46059</v>
      </c>
      <c r="E815" t="s">
        <v>134</v>
      </c>
      <c r="F815" t="s">
        <v>134</v>
      </c>
      <c r="G815" t="s">
        <v>580</v>
      </c>
      <c r="H815" t="s">
        <v>28</v>
      </c>
      <c r="I815" t="s">
        <v>69</v>
      </c>
      <c r="J815" t="s">
        <v>70</v>
      </c>
      <c r="K815">
        <v>6</v>
      </c>
      <c r="L815">
        <v>5</v>
      </c>
      <c r="M815">
        <v>43700</v>
      </c>
      <c r="N815">
        <v>0</v>
      </c>
      <c r="O815">
        <v>43700</v>
      </c>
      <c r="P815">
        <v>26000</v>
      </c>
      <c r="Q815">
        <v>17700</v>
      </c>
      <c r="R815">
        <v>40.5</v>
      </c>
      <c r="S815" t="s">
        <v>39</v>
      </c>
      <c r="T815">
        <v>1800</v>
      </c>
      <c r="U815">
        <v>5</v>
      </c>
      <c r="V815" t="s">
        <v>114</v>
      </c>
    </row>
    <row r="816" spans="1:22" x14ac:dyDescent="0.3">
      <c r="A816" t="s">
        <v>1586</v>
      </c>
      <c r="B816" t="s">
        <v>1587</v>
      </c>
      <c r="C816" t="s">
        <v>1588</v>
      </c>
      <c r="D816" s="2">
        <v>46060</v>
      </c>
      <c r="E816" t="s">
        <v>188</v>
      </c>
      <c r="F816" t="s">
        <v>188</v>
      </c>
      <c r="G816" t="s">
        <v>67</v>
      </c>
      <c r="H816" t="s">
        <v>214</v>
      </c>
      <c r="I816" t="s">
        <v>29</v>
      </c>
      <c r="J816" t="s">
        <v>30</v>
      </c>
      <c r="K816">
        <v>6</v>
      </c>
      <c r="L816">
        <v>62</v>
      </c>
      <c r="M816">
        <v>19100</v>
      </c>
      <c r="N816">
        <v>0</v>
      </c>
      <c r="O816">
        <v>19100</v>
      </c>
      <c r="P816">
        <v>15200</v>
      </c>
      <c r="Q816">
        <v>3900</v>
      </c>
      <c r="R816">
        <v>20.420000000000002</v>
      </c>
      <c r="S816" t="s">
        <v>39</v>
      </c>
      <c r="T816">
        <v>2400</v>
      </c>
      <c r="U816">
        <v>4.7</v>
      </c>
      <c r="V816" t="s">
        <v>82</v>
      </c>
    </row>
    <row r="817" spans="1:22" x14ac:dyDescent="0.3">
      <c r="A817" t="s">
        <v>3738</v>
      </c>
      <c r="B817" t="s">
        <v>809</v>
      </c>
      <c r="C817" t="s">
        <v>810</v>
      </c>
      <c r="D817" s="2">
        <v>46062</v>
      </c>
      <c r="E817" t="s">
        <v>161</v>
      </c>
      <c r="F817" t="s">
        <v>161</v>
      </c>
      <c r="G817" t="s">
        <v>147</v>
      </c>
      <c r="H817" t="s">
        <v>68</v>
      </c>
      <c r="I817" t="s">
        <v>29</v>
      </c>
      <c r="J817" t="s">
        <v>30</v>
      </c>
      <c r="K817">
        <v>7</v>
      </c>
      <c r="L817">
        <v>16</v>
      </c>
      <c r="M817">
        <v>25500</v>
      </c>
      <c r="N817">
        <v>2600</v>
      </c>
      <c r="O817">
        <v>22900</v>
      </c>
      <c r="P817">
        <v>18200</v>
      </c>
      <c r="Q817">
        <v>4700</v>
      </c>
      <c r="R817">
        <v>20.52</v>
      </c>
      <c r="S817" t="s">
        <v>126</v>
      </c>
      <c r="T817">
        <v>3300</v>
      </c>
      <c r="U817">
        <v>3.9</v>
      </c>
      <c r="V817" t="s">
        <v>114</v>
      </c>
    </row>
    <row r="818" spans="1:22" x14ac:dyDescent="0.3">
      <c r="A818" t="s">
        <v>4334</v>
      </c>
      <c r="B818" t="s">
        <v>688</v>
      </c>
      <c r="C818" t="s">
        <v>689</v>
      </c>
      <c r="D818" s="2">
        <v>46062</v>
      </c>
      <c r="E818" t="s">
        <v>134</v>
      </c>
      <c r="F818" t="s">
        <v>134</v>
      </c>
      <c r="G818" t="s">
        <v>213</v>
      </c>
      <c r="H818" t="s">
        <v>268</v>
      </c>
      <c r="I818" t="s">
        <v>69</v>
      </c>
      <c r="J818" t="s">
        <v>30</v>
      </c>
      <c r="K818">
        <v>7</v>
      </c>
      <c r="L818">
        <v>25</v>
      </c>
      <c r="M818">
        <v>65400</v>
      </c>
      <c r="N818">
        <v>13100</v>
      </c>
      <c r="O818">
        <v>52300</v>
      </c>
      <c r="P818">
        <v>49000</v>
      </c>
      <c r="Q818">
        <v>3300</v>
      </c>
      <c r="R818">
        <v>6.31</v>
      </c>
      <c r="S818" t="s">
        <v>39</v>
      </c>
      <c r="T818">
        <v>7900</v>
      </c>
      <c r="U818">
        <v>4.9000000000000004</v>
      </c>
      <c r="V818" t="s">
        <v>79</v>
      </c>
    </row>
    <row r="819" spans="1:22" x14ac:dyDescent="0.3">
      <c r="A819" t="s">
        <v>1220</v>
      </c>
      <c r="B819" t="s">
        <v>185</v>
      </c>
      <c r="C819" t="s">
        <v>186</v>
      </c>
      <c r="D819" s="2">
        <v>46062</v>
      </c>
      <c r="E819" t="s">
        <v>244</v>
      </c>
      <c r="F819" t="s">
        <v>244</v>
      </c>
      <c r="G819" t="s">
        <v>103</v>
      </c>
      <c r="H819" t="s">
        <v>68</v>
      </c>
      <c r="I819" t="s">
        <v>29</v>
      </c>
      <c r="J819" t="s">
        <v>30</v>
      </c>
      <c r="K819">
        <v>2</v>
      </c>
      <c r="L819">
        <v>70</v>
      </c>
      <c r="M819">
        <v>19100</v>
      </c>
      <c r="N819">
        <v>1000</v>
      </c>
      <c r="O819">
        <v>18100</v>
      </c>
      <c r="P819">
        <v>11800</v>
      </c>
      <c r="Q819">
        <v>6300</v>
      </c>
      <c r="R819">
        <v>34.81</v>
      </c>
      <c r="S819" t="s">
        <v>126</v>
      </c>
      <c r="T819">
        <v>1100</v>
      </c>
      <c r="U819">
        <v>5</v>
      </c>
      <c r="V819" t="s">
        <v>82</v>
      </c>
    </row>
    <row r="820" spans="1:22" x14ac:dyDescent="0.3">
      <c r="A820" t="s">
        <v>4456</v>
      </c>
      <c r="B820" t="s">
        <v>4016</v>
      </c>
      <c r="C820" t="s">
        <v>4017</v>
      </c>
      <c r="D820" s="2">
        <v>46063</v>
      </c>
      <c r="E820" t="s">
        <v>228</v>
      </c>
      <c r="F820" t="s">
        <v>228</v>
      </c>
      <c r="G820" t="s">
        <v>67</v>
      </c>
      <c r="H820" t="s">
        <v>268</v>
      </c>
      <c r="I820" t="s">
        <v>29</v>
      </c>
      <c r="J820" t="s">
        <v>70</v>
      </c>
      <c r="K820">
        <v>8</v>
      </c>
      <c r="L820">
        <v>45</v>
      </c>
      <c r="M820">
        <v>68900</v>
      </c>
      <c r="N820">
        <v>0</v>
      </c>
      <c r="O820">
        <v>68900</v>
      </c>
      <c r="P820">
        <v>32700</v>
      </c>
      <c r="Q820">
        <v>36200</v>
      </c>
      <c r="R820">
        <v>52.54</v>
      </c>
      <c r="S820" t="s">
        <v>97</v>
      </c>
      <c r="T820">
        <v>7400</v>
      </c>
      <c r="U820">
        <v>3</v>
      </c>
      <c r="V820" t="s">
        <v>114</v>
      </c>
    </row>
    <row r="821" spans="1:22" x14ac:dyDescent="0.3">
      <c r="A821" t="s">
        <v>2860</v>
      </c>
      <c r="B821" t="s">
        <v>2277</v>
      </c>
      <c r="C821" t="s">
        <v>2278</v>
      </c>
      <c r="D821" s="2">
        <v>46064</v>
      </c>
      <c r="E821" t="s">
        <v>134</v>
      </c>
      <c r="F821" t="s">
        <v>134</v>
      </c>
      <c r="G821" t="s">
        <v>147</v>
      </c>
      <c r="H821" t="s">
        <v>5471</v>
      </c>
      <c r="I821" t="s">
        <v>29</v>
      </c>
      <c r="J821" t="s">
        <v>30</v>
      </c>
      <c r="K821">
        <v>3</v>
      </c>
      <c r="L821">
        <v>45</v>
      </c>
      <c r="M821">
        <v>71300</v>
      </c>
      <c r="N821">
        <v>10700</v>
      </c>
      <c r="O821">
        <v>60600</v>
      </c>
      <c r="P821">
        <v>41600</v>
      </c>
      <c r="Q821">
        <v>19000</v>
      </c>
      <c r="R821">
        <v>31.35</v>
      </c>
      <c r="S821" t="s">
        <v>58</v>
      </c>
      <c r="T821">
        <v>7800</v>
      </c>
      <c r="U821">
        <v>3.4</v>
      </c>
      <c r="V821" t="s">
        <v>58</v>
      </c>
    </row>
    <row r="822" spans="1:22" x14ac:dyDescent="0.3">
      <c r="A822" t="s">
        <v>1231</v>
      </c>
      <c r="B822" t="s">
        <v>1232</v>
      </c>
      <c r="C822" t="s">
        <v>1233</v>
      </c>
      <c r="D822" s="2">
        <v>46064</v>
      </c>
      <c r="E822" t="s">
        <v>188</v>
      </c>
      <c r="F822" t="s">
        <v>188</v>
      </c>
      <c r="G822" t="s">
        <v>27</v>
      </c>
      <c r="H822" t="s">
        <v>229</v>
      </c>
      <c r="I822" t="s">
        <v>29</v>
      </c>
      <c r="J822" t="s">
        <v>30</v>
      </c>
      <c r="K822">
        <v>2</v>
      </c>
      <c r="L822">
        <v>69</v>
      </c>
      <c r="M822">
        <v>74200</v>
      </c>
      <c r="N822">
        <v>3700</v>
      </c>
      <c r="O822">
        <v>70500</v>
      </c>
      <c r="P822">
        <v>32000</v>
      </c>
      <c r="Q822">
        <v>38500</v>
      </c>
      <c r="R822">
        <v>54.61</v>
      </c>
      <c r="S822" t="s">
        <v>182</v>
      </c>
      <c r="T822">
        <v>5100</v>
      </c>
      <c r="U822">
        <v>4.9000000000000004</v>
      </c>
      <c r="V822" t="s">
        <v>79</v>
      </c>
    </row>
    <row r="823" spans="1:22" x14ac:dyDescent="0.3">
      <c r="A823" t="s">
        <v>2739</v>
      </c>
      <c r="B823" t="s">
        <v>1269</v>
      </c>
      <c r="C823" t="s">
        <v>1270</v>
      </c>
      <c r="D823" s="2">
        <v>46064</v>
      </c>
      <c r="E823" t="s">
        <v>66</v>
      </c>
      <c r="F823" t="s">
        <v>66</v>
      </c>
      <c r="G823" t="s">
        <v>580</v>
      </c>
      <c r="H823" t="s">
        <v>68</v>
      </c>
      <c r="I823" t="s">
        <v>69</v>
      </c>
      <c r="J823" t="s">
        <v>30</v>
      </c>
      <c r="K823">
        <v>5</v>
      </c>
      <c r="L823">
        <v>25</v>
      </c>
      <c r="M823">
        <v>48900</v>
      </c>
      <c r="N823">
        <v>9800</v>
      </c>
      <c r="O823">
        <v>39100</v>
      </c>
      <c r="P823">
        <v>22000</v>
      </c>
      <c r="Q823">
        <v>17100</v>
      </c>
      <c r="R823">
        <v>43.73</v>
      </c>
      <c r="S823" t="s">
        <v>126</v>
      </c>
      <c r="T823">
        <v>1900</v>
      </c>
      <c r="U823">
        <v>5</v>
      </c>
      <c r="V823" t="s">
        <v>58</v>
      </c>
    </row>
    <row r="824" spans="1:22" x14ac:dyDescent="0.3">
      <c r="A824" t="s">
        <v>3733</v>
      </c>
      <c r="B824" t="s">
        <v>1437</v>
      </c>
      <c r="C824" t="s">
        <v>1438</v>
      </c>
      <c r="D824" s="2">
        <v>46065</v>
      </c>
      <c r="E824" t="s">
        <v>188</v>
      </c>
      <c r="F824" t="s">
        <v>188</v>
      </c>
      <c r="G824" t="s">
        <v>67</v>
      </c>
      <c r="H824" t="s">
        <v>5470</v>
      </c>
      <c r="I824" t="s">
        <v>69</v>
      </c>
      <c r="J824" t="s">
        <v>70</v>
      </c>
      <c r="K824">
        <v>5</v>
      </c>
      <c r="L824">
        <v>5</v>
      </c>
      <c r="M824">
        <v>45800</v>
      </c>
      <c r="N824">
        <v>9200</v>
      </c>
      <c r="O824">
        <v>36600</v>
      </c>
      <c r="P824">
        <v>32200</v>
      </c>
      <c r="Q824">
        <v>4400</v>
      </c>
      <c r="R824">
        <v>12.02</v>
      </c>
      <c r="S824" t="s">
        <v>39</v>
      </c>
      <c r="T824">
        <v>3800</v>
      </c>
      <c r="V824" t="s">
        <v>58</v>
      </c>
    </row>
    <row r="825" spans="1:22" x14ac:dyDescent="0.3">
      <c r="A825" t="s">
        <v>3768</v>
      </c>
      <c r="B825" t="s">
        <v>2117</v>
      </c>
      <c r="C825" t="s">
        <v>2118</v>
      </c>
      <c r="D825" s="2">
        <v>46066</v>
      </c>
      <c r="E825" t="s">
        <v>134</v>
      </c>
      <c r="F825" t="s">
        <v>134</v>
      </c>
      <c r="G825" t="s">
        <v>213</v>
      </c>
      <c r="H825" t="s">
        <v>28</v>
      </c>
      <c r="I825" t="s">
        <v>69</v>
      </c>
      <c r="J825" t="s">
        <v>30</v>
      </c>
      <c r="K825">
        <v>3</v>
      </c>
      <c r="L825">
        <v>24</v>
      </c>
      <c r="M825">
        <v>17500</v>
      </c>
      <c r="N825">
        <v>0</v>
      </c>
      <c r="O825">
        <v>17500</v>
      </c>
      <c r="P825">
        <v>11300</v>
      </c>
      <c r="Q825">
        <v>6200</v>
      </c>
      <c r="R825">
        <v>35.43</v>
      </c>
      <c r="S825" t="s">
        <v>58</v>
      </c>
      <c r="T825">
        <v>1000</v>
      </c>
      <c r="U825">
        <v>3.8</v>
      </c>
      <c r="V825" t="s">
        <v>82</v>
      </c>
    </row>
    <row r="826" spans="1:22" x14ac:dyDescent="0.3">
      <c r="A826" t="s">
        <v>4105</v>
      </c>
      <c r="B826" t="s">
        <v>3295</v>
      </c>
      <c r="C826" t="s">
        <v>3296</v>
      </c>
      <c r="D826" s="2">
        <v>46066</v>
      </c>
      <c r="E826" t="s">
        <v>161</v>
      </c>
      <c r="F826" t="s">
        <v>161</v>
      </c>
      <c r="G826" t="s">
        <v>67</v>
      </c>
      <c r="H826" t="s">
        <v>5470</v>
      </c>
      <c r="I826" t="s">
        <v>69</v>
      </c>
      <c r="J826" t="s">
        <v>30</v>
      </c>
      <c r="K826">
        <v>5</v>
      </c>
      <c r="L826">
        <v>34</v>
      </c>
      <c r="M826">
        <v>54300</v>
      </c>
      <c r="N826">
        <v>2700</v>
      </c>
      <c r="O826">
        <v>51600</v>
      </c>
      <c r="P826">
        <v>34400</v>
      </c>
      <c r="Q826">
        <v>17200</v>
      </c>
      <c r="R826">
        <v>33.33</v>
      </c>
      <c r="S826" t="s">
        <v>97</v>
      </c>
      <c r="T826">
        <v>6700</v>
      </c>
      <c r="U826">
        <v>4</v>
      </c>
      <c r="V826" t="s">
        <v>114</v>
      </c>
    </row>
    <row r="827" spans="1:22" x14ac:dyDescent="0.3">
      <c r="A827" t="s">
        <v>4890</v>
      </c>
      <c r="B827" t="s">
        <v>2000</v>
      </c>
      <c r="C827" t="s">
        <v>2001</v>
      </c>
      <c r="D827" s="2">
        <v>46066</v>
      </c>
      <c r="E827" t="s">
        <v>282</v>
      </c>
      <c r="F827" t="s">
        <v>282</v>
      </c>
      <c r="G827" t="s">
        <v>580</v>
      </c>
      <c r="H827" t="s">
        <v>49</v>
      </c>
      <c r="I827" t="s">
        <v>69</v>
      </c>
      <c r="J827" t="s">
        <v>162</v>
      </c>
      <c r="K827">
        <v>6</v>
      </c>
      <c r="L827">
        <v>52</v>
      </c>
      <c r="M827">
        <v>72800</v>
      </c>
      <c r="N827">
        <v>10900</v>
      </c>
      <c r="O827">
        <v>61900</v>
      </c>
      <c r="P827">
        <v>51200</v>
      </c>
      <c r="Q827">
        <v>10700</v>
      </c>
      <c r="R827">
        <v>17.29</v>
      </c>
      <c r="S827" t="s">
        <v>126</v>
      </c>
      <c r="T827">
        <v>4300</v>
      </c>
      <c r="U827">
        <v>3.4</v>
      </c>
      <c r="V827" t="s">
        <v>42</v>
      </c>
    </row>
    <row r="828" spans="1:22" x14ac:dyDescent="0.3">
      <c r="A828" t="s">
        <v>4583</v>
      </c>
      <c r="B828" t="s">
        <v>3775</v>
      </c>
      <c r="C828" t="s">
        <v>3776</v>
      </c>
      <c r="D828" s="2">
        <v>46067</v>
      </c>
      <c r="E828" t="s">
        <v>161</v>
      </c>
      <c r="F828" t="s">
        <v>161</v>
      </c>
      <c r="G828" t="s">
        <v>67</v>
      </c>
      <c r="H828" t="s">
        <v>28</v>
      </c>
      <c r="I828" t="s">
        <v>69</v>
      </c>
      <c r="J828" t="s">
        <v>30</v>
      </c>
      <c r="K828">
        <v>5</v>
      </c>
      <c r="L828">
        <v>34</v>
      </c>
      <c r="M828">
        <v>67700</v>
      </c>
      <c r="N828">
        <v>6800</v>
      </c>
      <c r="O828">
        <v>60900</v>
      </c>
      <c r="P828">
        <v>33600</v>
      </c>
      <c r="Q828">
        <v>27300</v>
      </c>
      <c r="R828">
        <v>44.83</v>
      </c>
      <c r="S828" t="s">
        <v>39</v>
      </c>
      <c r="T828">
        <v>9200</v>
      </c>
      <c r="U828">
        <v>3.4</v>
      </c>
      <c r="V828" t="s">
        <v>58</v>
      </c>
    </row>
    <row r="829" spans="1:22" x14ac:dyDescent="0.3">
      <c r="A829" t="s">
        <v>5087</v>
      </c>
      <c r="B829" t="s">
        <v>595</v>
      </c>
      <c r="C829" t="s">
        <v>596</v>
      </c>
      <c r="D829" s="2">
        <v>46067</v>
      </c>
      <c r="E829" t="s">
        <v>228</v>
      </c>
      <c r="F829" t="s">
        <v>228</v>
      </c>
      <c r="G829" t="s">
        <v>580</v>
      </c>
      <c r="H829" t="s">
        <v>68</v>
      </c>
      <c r="I829" t="s">
        <v>29</v>
      </c>
      <c r="J829" t="s">
        <v>30</v>
      </c>
      <c r="K829">
        <v>6</v>
      </c>
      <c r="L829">
        <v>67</v>
      </c>
      <c r="M829">
        <v>96500</v>
      </c>
      <c r="N829">
        <v>9600</v>
      </c>
      <c r="O829">
        <v>86900</v>
      </c>
      <c r="P829">
        <v>55000</v>
      </c>
      <c r="Q829">
        <v>31900</v>
      </c>
      <c r="R829">
        <v>36.71</v>
      </c>
      <c r="S829" t="s">
        <v>97</v>
      </c>
      <c r="T829">
        <v>4900</v>
      </c>
      <c r="U829">
        <v>4.0999999999999996</v>
      </c>
      <c r="V829" t="s">
        <v>42</v>
      </c>
    </row>
    <row r="830" spans="1:22" x14ac:dyDescent="0.3">
      <c r="A830" t="s">
        <v>5106</v>
      </c>
      <c r="B830" t="s">
        <v>2130</v>
      </c>
      <c r="C830" t="s">
        <v>2131</v>
      </c>
      <c r="D830" s="2">
        <v>46067</v>
      </c>
      <c r="E830" t="s">
        <v>244</v>
      </c>
      <c r="F830" t="s">
        <v>244</v>
      </c>
      <c r="G830" t="s">
        <v>48</v>
      </c>
      <c r="H830" t="s">
        <v>5470</v>
      </c>
      <c r="I830" t="s">
        <v>69</v>
      </c>
      <c r="J830" t="s">
        <v>70</v>
      </c>
      <c r="K830">
        <v>10</v>
      </c>
      <c r="L830">
        <v>50</v>
      </c>
      <c r="M830">
        <v>59900</v>
      </c>
      <c r="N830">
        <v>0</v>
      </c>
      <c r="O830">
        <v>59900</v>
      </c>
      <c r="P830">
        <v>46200</v>
      </c>
      <c r="Q830">
        <v>13700</v>
      </c>
      <c r="R830">
        <v>22.87</v>
      </c>
      <c r="S830" t="s">
        <v>39</v>
      </c>
      <c r="T830">
        <v>5800</v>
      </c>
      <c r="U830">
        <v>3.4</v>
      </c>
      <c r="V830" t="s">
        <v>114</v>
      </c>
    </row>
    <row r="831" spans="1:22" x14ac:dyDescent="0.3">
      <c r="A831" t="s">
        <v>5286</v>
      </c>
      <c r="B831" t="s">
        <v>1945</v>
      </c>
      <c r="C831" t="s">
        <v>1946</v>
      </c>
      <c r="D831" s="2">
        <v>46068</v>
      </c>
      <c r="E831" t="s">
        <v>188</v>
      </c>
      <c r="F831" t="s">
        <v>188</v>
      </c>
      <c r="G831" t="s">
        <v>580</v>
      </c>
      <c r="H831" t="s">
        <v>5470</v>
      </c>
      <c r="I831" t="s">
        <v>69</v>
      </c>
      <c r="J831" t="s">
        <v>70</v>
      </c>
      <c r="K831">
        <v>7</v>
      </c>
      <c r="L831">
        <v>46</v>
      </c>
      <c r="M831">
        <v>81300</v>
      </c>
      <c r="N831">
        <v>12200</v>
      </c>
      <c r="O831">
        <v>69100</v>
      </c>
      <c r="P831">
        <v>44200</v>
      </c>
      <c r="Q831">
        <v>24900</v>
      </c>
      <c r="R831">
        <v>36.03</v>
      </c>
      <c r="S831" t="s">
        <v>126</v>
      </c>
      <c r="T831">
        <v>11800</v>
      </c>
      <c r="U831">
        <v>5</v>
      </c>
      <c r="V831" t="s">
        <v>82</v>
      </c>
    </row>
    <row r="832" spans="1:22" x14ac:dyDescent="0.3">
      <c r="A832" t="s">
        <v>900</v>
      </c>
      <c r="B832" t="s">
        <v>539</v>
      </c>
      <c r="C832" t="s">
        <v>540</v>
      </c>
      <c r="D832" s="2">
        <v>46068</v>
      </c>
      <c r="E832" t="s">
        <v>66</v>
      </c>
      <c r="F832" t="s">
        <v>66</v>
      </c>
      <c r="G832" t="s">
        <v>118</v>
      </c>
      <c r="H832" t="s">
        <v>268</v>
      </c>
      <c r="I832" t="s">
        <v>69</v>
      </c>
      <c r="J832" t="s">
        <v>30</v>
      </c>
      <c r="K832">
        <v>10</v>
      </c>
      <c r="L832">
        <v>57</v>
      </c>
      <c r="M832">
        <v>16900</v>
      </c>
      <c r="N832">
        <v>800</v>
      </c>
      <c r="O832">
        <v>16100</v>
      </c>
      <c r="P832">
        <v>9700</v>
      </c>
      <c r="Q832">
        <v>6400</v>
      </c>
      <c r="R832">
        <v>39.75</v>
      </c>
      <c r="S832" t="s">
        <v>126</v>
      </c>
      <c r="T832">
        <v>1000</v>
      </c>
      <c r="U832">
        <v>4.3</v>
      </c>
      <c r="V832" t="s">
        <v>42</v>
      </c>
    </row>
    <row r="833" spans="1:22" x14ac:dyDescent="0.3">
      <c r="A833" t="s">
        <v>2492</v>
      </c>
      <c r="B833" t="s">
        <v>825</v>
      </c>
      <c r="C833" t="s">
        <v>826</v>
      </c>
      <c r="D833" s="2">
        <v>46068</v>
      </c>
      <c r="E833" t="s">
        <v>228</v>
      </c>
      <c r="F833" t="s">
        <v>228</v>
      </c>
      <c r="G833" t="s">
        <v>48</v>
      </c>
      <c r="H833" t="s">
        <v>214</v>
      </c>
      <c r="I833" t="s">
        <v>29</v>
      </c>
      <c r="J833" t="s">
        <v>257</v>
      </c>
      <c r="K833">
        <v>8</v>
      </c>
      <c r="L833">
        <v>47</v>
      </c>
      <c r="M833">
        <v>36400</v>
      </c>
      <c r="N833">
        <v>3600</v>
      </c>
      <c r="O833">
        <v>32800</v>
      </c>
      <c r="P833">
        <v>17900</v>
      </c>
      <c r="Q833">
        <v>14900</v>
      </c>
      <c r="R833">
        <v>45.43</v>
      </c>
      <c r="S833" t="s">
        <v>58</v>
      </c>
      <c r="T833">
        <v>1900</v>
      </c>
      <c r="U833">
        <v>4.4000000000000004</v>
      </c>
      <c r="V833" t="s">
        <v>114</v>
      </c>
    </row>
    <row r="834" spans="1:22" x14ac:dyDescent="0.3">
      <c r="A834" t="s">
        <v>3717</v>
      </c>
      <c r="B834" t="s">
        <v>2346</v>
      </c>
      <c r="C834" t="s">
        <v>2347</v>
      </c>
      <c r="D834" s="2">
        <v>46068</v>
      </c>
      <c r="E834" t="s">
        <v>228</v>
      </c>
      <c r="F834" t="s">
        <v>228</v>
      </c>
      <c r="G834" t="s">
        <v>27</v>
      </c>
      <c r="H834" t="s">
        <v>229</v>
      </c>
      <c r="I834" t="s">
        <v>29</v>
      </c>
      <c r="J834" t="s">
        <v>30</v>
      </c>
      <c r="K834">
        <v>8</v>
      </c>
      <c r="L834">
        <v>50</v>
      </c>
      <c r="M834">
        <v>61100</v>
      </c>
      <c r="N834">
        <v>3100</v>
      </c>
      <c r="O834">
        <v>58000</v>
      </c>
      <c r="P834">
        <v>34000</v>
      </c>
      <c r="Q834">
        <v>24000</v>
      </c>
      <c r="R834">
        <v>41.38</v>
      </c>
      <c r="S834" t="s">
        <v>79</v>
      </c>
      <c r="T834">
        <v>8800</v>
      </c>
      <c r="U834">
        <v>4.4000000000000004</v>
      </c>
      <c r="V834" t="s">
        <v>58</v>
      </c>
    </row>
    <row r="835" spans="1:22" x14ac:dyDescent="0.3">
      <c r="A835" t="s">
        <v>4905</v>
      </c>
      <c r="B835" t="s">
        <v>2017</v>
      </c>
      <c r="C835" t="s">
        <v>2018</v>
      </c>
      <c r="D835" s="2">
        <v>46068</v>
      </c>
      <c r="E835" t="s">
        <v>161</v>
      </c>
      <c r="F835" t="s">
        <v>161</v>
      </c>
      <c r="G835" t="s">
        <v>27</v>
      </c>
      <c r="H835" t="s">
        <v>5470</v>
      </c>
      <c r="I835" t="s">
        <v>69</v>
      </c>
      <c r="J835" t="s">
        <v>70</v>
      </c>
      <c r="K835">
        <v>4</v>
      </c>
      <c r="L835">
        <v>65</v>
      </c>
      <c r="M835">
        <v>28300</v>
      </c>
      <c r="N835">
        <v>0</v>
      </c>
      <c r="O835">
        <v>28300</v>
      </c>
      <c r="P835">
        <v>22000</v>
      </c>
      <c r="Q835">
        <v>6300</v>
      </c>
      <c r="R835">
        <v>22.26</v>
      </c>
      <c r="S835" t="s">
        <v>39</v>
      </c>
      <c r="T835">
        <v>2100</v>
      </c>
      <c r="U835">
        <v>5</v>
      </c>
      <c r="V835" t="s">
        <v>58</v>
      </c>
    </row>
    <row r="836" spans="1:22" x14ac:dyDescent="0.3">
      <c r="A836" t="s">
        <v>2984</v>
      </c>
      <c r="B836" t="s">
        <v>1993</v>
      </c>
      <c r="C836" t="s">
        <v>1994</v>
      </c>
      <c r="D836" s="2">
        <v>46069</v>
      </c>
      <c r="E836" t="s">
        <v>228</v>
      </c>
      <c r="F836" t="s">
        <v>228</v>
      </c>
      <c r="G836" t="s">
        <v>580</v>
      </c>
      <c r="H836" t="s">
        <v>229</v>
      </c>
      <c r="I836" t="s">
        <v>69</v>
      </c>
      <c r="J836" t="s">
        <v>30</v>
      </c>
      <c r="K836">
        <v>10</v>
      </c>
      <c r="L836">
        <v>78</v>
      </c>
      <c r="M836">
        <v>40200</v>
      </c>
      <c r="N836">
        <v>4000</v>
      </c>
      <c r="O836">
        <v>36200</v>
      </c>
      <c r="P836">
        <v>24200</v>
      </c>
      <c r="Q836">
        <v>12000</v>
      </c>
      <c r="R836">
        <v>33.15</v>
      </c>
      <c r="S836" t="s">
        <v>126</v>
      </c>
      <c r="T836">
        <v>6300</v>
      </c>
      <c r="U836">
        <v>3.3</v>
      </c>
      <c r="V836" t="s">
        <v>58</v>
      </c>
    </row>
    <row r="837" spans="1:22" x14ac:dyDescent="0.3">
      <c r="A837" t="s">
        <v>5261</v>
      </c>
      <c r="B837" t="s">
        <v>330</v>
      </c>
      <c r="C837" t="s">
        <v>331</v>
      </c>
      <c r="D837" s="2">
        <v>46069</v>
      </c>
      <c r="E837" t="s">
        <v>66</v>
      </c>
      <c r="F837" t="s">
        <v>66</v>
      </c>
      <c r="G837" t="s">
        <v>213</v>
      </c>
      <c r="H837" t="s">
        <v>49</v>
      </c>
      <c r="I837" t="s">
        <v>29</v>
      </c>
      <c r="J837" t="s">
        <v>70</v>
      </c>
      <c r="K837">
        <v>3</v>
      </c>
      <c r="L837">
        <v>43</v>
      </c>
      <c r="M837">
        <v>69900</v>
      </c>
      <c r="N837">
        <v>0</v>
      </c>
      <c r="O837">
        <v>69900</v>
      </c>
      <c r="P837">
        <v>50700</v>
      </c>
      <c r="Q837">
        <v>19200</v>
      </c>
      <c r="R837">
        <v>27.47</v>
      </c>
      <c r="S837" t="s">
        <v>58</v>
      </c>
      <c r="T837">
        <v>4800</v>
      </c>
      <c r="U837">
        <v>4.5999999999999996</v>
      </c>
      <c r="V837" t="s">
        <v>114</v>
      </c>
    </row>
    <row r="838" spans="1:22" x14ac:dyDescent="0.3">
      <c r="A838" t="s">
        <v>1565</v>
      </c>
      <c r="B838" t="s">
        <v>1566</v>
      </c>
      <c r="C838" t="s">
        <v>1567</v>
      </c>
      <c r="D838" s="2">
        <v>46070</v>
      </c>
      <c r="E838" t="s">
        <v>188</v>
      </c>
      <c r="F838" t="s">
        <v>188</v>
      </c>
      <c r="G838" t="s">
        <v>103</v>
      </c>
      <c r="H838" t="s">
        <v>229</v>
      </c>
      <c r="I838" t="s">
        <v>69</v>
      </c>
      <c r="J838" t="s">
        <v>30</v>
      </c>
      <c r="K838">
        <v>7</v>
      </c>
      <c r="L838">
        <v>46</v>
      </c>
      <c r="M838">
        <v>31500</v>
      </c>
      <c r="N838">
        <v>6300</v>
      </c>
      <c r="O838">
        <v>25200</v>
      </c>
      <c r="P838">
        <v>14500</v>
      </c>
      <c r="Q838">
        <v>10700</v>
      </c>
      <c r="R838">
        <v>42.46</v>
      </c>
      <c r="S838" t="s">
        <v>182</v>
      </c>
      <c r="T838">
        <v>1500</v>
      </c>
      <c r="U838">
        <v>4.4000000000000004</v>
      </c>
      <c r="V838" t="s">
        <v>82</v>
      </c>
    </row>
    <row r="839" spans="1:22" x14ac:dyDescent="0.3">
      <c r="A839" t="s">
        <v>322</v>
      </c>
      <c r="B839" t="s">
        <v>323</v>
      </c>
      <c r="C839" t="s">
        <v>324</v>
      </c>
      <c r="D839" s="2">
        <v>46070</v>
      </c>
      <c r="E839" t="s">
        <v>26</v>
      </c>
      <c r="F839" t="s">
        <v>26</v>
      </c>
      <c r="G839" t="s">
        <v>103</v>
      </c>
      <c r="H839" t="s">
        <v>49</v>
      </c>
      <c r="I839" t="s">
        <v>29</v>
      </c>
      <c r="J839" t="s">
        <v>70</v>
      </c>
      <c r="K839">
        <v>7</v>
      </c>
      <c r="L839">
        <v>27</v>
      </c>
      <c r="M839">
        <v>15000</v>
      </c>
      <c r="N839">
        <v>0</v>
      </c>
      <c r="O839">
        <v>15000</v>
      </c>
      <c r="P839">
        <v>6700</v>
      </c>
      <c r="Q839">
        <v>8300</v>
      </c>
      <c r="R839">
        <v>55.33</v>
      </c>
      <c r="S839" t="s">
        <v>79</v>
      </c>
      <c r="T839">
        <v>2600</v>
      </c>
      <c r="U839">
        <v>4.9000000000000004</v>
      </c>
      <c r="V839" t="s">
        <v>58</v>
      </c>
    </row>
    <row r="840" spans="1:22" x14ac:dyDescent="0.3">
      <c r="A840" t="s">
        <v>868</v>
      </c>
      <c r="B840" t="s">
        <v>869</v>
      </c>
      <c r="C840" t="s">
        <v>870</v>
      </c>
      <c r="D840" s="2">
        <v>46070</v>
      </c>
      <c r="E840" t="s">
        <v>66</v>
      </c>
      <c r="F840" t="s">
        <v>66</v>
      </c>
      <c r="G840" t="s">
        <v>580</v>
      </c>
      <c r="H840" t="s">
        <v>5470</v>
      </c>
      <c r="I840" t="s">
        <v>69</v>
      </c>
      <c r="J840" t="s">
        <v>30</v>
      </c>
      <c r="K840">
        <v>6</v>
      </c>
      <c r="L840">
        <v>18</v>
      </c>
      <c r="M840">
        <v>41000</v>
      </c>
      <c r="N840">
        <v>6200</v>
      </c>
      <c r="O840">
        <v>34800</v>
      </c>
      <c r="P840">
        <v>32900</v>
      </c>
      <c r="Q840">
        <v>1900</v>
      </c>
      <c r="R840">
        <v>5.46</v>
      </c>
      <c r="S840" t="s">
        <v>182</v>
      </c>
      <c r="T840">
        <v>2400</v>
      </c>
      <c r="U840">
        <v>4.3</v>
      </c>
      <c r="V840" t="s">
        <v>42</v>
      </c>
    </row>
    <row r="841" spans="1:22" x14ac:dyDescent="0.3">
      <c r="A841" t="s">
        <v>4058</v>
      </c>
      <c r="B841" t="s">
        <v>2266</v>
      </c>
      <c r="C841" t="s">
        <v>2267</v>
      </c>
      <c r="D841" s="2">
        <v>46071</v>
      </c>
      <c r="E841" t="s">
        <v>66</v>
      </c>
      <c r="F841" t="s">
        <v>66</v>
      </c>
      <c r="G841" t="s">
        <v>147</v>
      </c>
      <c r="H841" t="s">
        <v>214</v>
      </c>
      <c r="I841" t="s">
        <v>69</v>
      </c>
      <c r="J841" t="s">
        <v>70</v>
      </c>
      <c r="K841">
        <v>8</v>
      </c>
      <c r="L841">
        <v>41</v>
      </c>
      <c r="M841">
        <v>46800</v>
      </c>
      <c r="N841">
        <v>4700</v>
      </c>
      <c r="O841">
        <v>42100</v>
      </c>
      <c r="P841">
        <v>36700</v>
      </c>
      <c r="Q841">
        <v>5400</v>
      </c>
      <c r="R841">
        <v>12.83</v>
      </c>
      <c r="S841" t="s">
        <v>97</v>
      </c>
      <c r="T841">
        <v>6500</v>
      </c>
      <c r="U841">
        <v>3.7</v>
      </c>
      <c r="V841" t="s">
        <v>58</v>
      </c>
    </row>
    <row r="842" spans="1:22" x14ac:dyDescent="0.3">
      <c r="A842" t="s">
        <v>3341</v>
      </c>
      <c r="B842" t="s">
        <v>3342</v>
      </c>
      <c r="C842" t="s">
        <v>3343</v>
      </c>
      <c r="D842" s="2">
        <v>46071</v>
      </c>
      <c r="E842" t="s">
        <v>282</v>
      </c>
      <c r="F842" t="s">
        <v>282</v>
      </c>
      <c r="G842" t="s">
        <v>48</v>
      </c>
      <c r="H842" t="s">
        <v>214</v>
      </c>
      <c r="I842" t="s">
        <v>69</v>
      </c>
      <c r="J842" t="s">
        <v>30</v>
      </c>
      <c r="K842">
        <v>3</v>
      </c>
      <c r="L842">
        <v>48</v>
      </c>
      <c r="M842">
        <v>15600</v>
      </c>
      <c r="N842">
        <v>3100</v>
      </c>
      <c r="O842">
        <v>12500</v>
      </c>
      <c r="P842">
        <v>7500</v>
      </c>
      <c r="Q842">
        <v>5000</v>
      </c>
      <c r="R842">
        <v>40</v>
      </c>
      <c r="S842" t="s">
        <v>39</v>
      </c>
      <c r="T842">
        <v>1400</v>
      </c>
      <c r="U842">
        <v>4.5</v>
      </c>
      <c r="V842" t="s">
        <v>58</v>
      </c>
    </row>
    <row r="843" spans="1:22" x14ac:dyDescent="0.3">
      <c r="A843" t="s">
        <v>2771</v>
      </c>
      <c r="B843" t="s">
        <v>1101</v>
      </c>
      <c r="C843" t="s">
        <v>1102</v>
      </c>
      <c r="D843" s="2">
        <v>46071</v>
      </c>
      <c r="E843" t="s">
        <v>134</v>
      </c>
      <c r="F843" t="s">
        <v>134</v>
      </c>
      <c r="G843" t="s">
        <v>27</v>
      </c>
      <c r="H843" t="s">
        <v>5470</v>
      </c>
      <c r="I843" t="s">
        <v>69</v>
      </c>
      <c r="J843" t="s">
        <v>30</v>
      </c>
      <c r="K843">
        <v>2</v>
      </c>
      <c r="L843">
        <v>25</v>
      </c>
      <c r="M843">
        <v>26800</v>
      </c>
      <c r="N843">
        <v>4000</v>
      </c>
      <c r="O843">
        <v>22800</v>
      </c>
      <c r="P843">
        <v>11900</v>
      </c>
      <c r="Q843">
        <v>10900</v>
      </c>
      <c r="R843">
        <v>47.81</v>
      </c>
      <c r="S843" t="s">
        <v>182</v>
      </c>
      <c r="T843">
        <v>2300</v>
      </c>
      <c r="U843">
        <v>3.6</v>
      </c>
      <c r="V843" t="s">
        <v>82</v>
      </c>
    </row>
    <row r="844" spans="1:22" x14ac:dyDescent="0.3">
      <c r="A844" t="s">
        <v>4270</v>
      </c>
      <c r="B844" t="s">
        <v>3448</v>
      </c>
      <c r="C844" t="s">
        <v>3449</v>
      </c>
      <c r="D844" s="2">
        <v>46071</v>
      </c>
      <c r="E844" t="s">
        <v>228</v>
      </c>
      <c r="F844" t="s">
        <v>228</v>
      </c>
      <c r="G844" t="s">
        <v>48</v>
      </c>
      <c r="H844" t="s">
        <v>214</v>
      </c>
      <c r="I844" t="s">
        <v>69</v>
      </c>
      <c r="J844" t="s">
        <v>30</v>
      </c>
      <c r="K844">
        <v>5</v>
      </c>
      <c r="L844">
        <v>42</v>
      </c>
      <c r="M844">
        <v>88400</v>
      </c>
      <c r="N844">
        <v>4400</v>
      </c>
      <c r="O844">
        <v>84000</v>
      </c>
      <c r="P844">
        <v>64100</v>
      </c>
      <c r="Q844">
        <v>19900</v>
      </c>
      <c r="R844">
        <v>23.69</v>
      </c>
      <c r="S844" t="s">
        <v>126</v>
      </c>
      <c r="T844">
        <v>7900</v>
      </c>
      <c r="U844">
        <v>3.4</v>
      </c>
      <c r="V844" t="s">
        <v>58</v>
      </c>
    </row>
    <row r="845" spans="1:22" x14ac:dyDescent="0.3">
      <c r="A845" t="s">
        <v>2711</v>
      </c>
      <c r="B845" t="s">
        <v>279</v>
      </c>
      <c r="C845" t="s">
        <v>280</v>
      </c>
      <c r="D845" s="2">
        <v>46073</v>
      </c>
      <c r="E845" t="s">
        <v>228</v>
      </c>
      <c r="F845" t="s">
        <v>228</v>
      </c>
      <c r="G845" t="s">
        <v>27</v>
      </c>
      <c r="H845" t="s">
        <v>49</v>
      </c>
      <c r="I845" t="s">
        <v>69</v>
      </c>
      <c r="J845" t="s">
        <v>162</v>
      </c>
      <c r="K845">
        <v>2</v>
      </c>
      <c r="L845">
        <v>39</v>
      </c>
      <c r="M845">
        <v>30800</v>
      </c>
      <c r="N845">
        <v>3100</v>
      </c>
      <c r="O845">
        <v>27700</v>
      </c>
      <c r="P845">
        <v>15200</v>
      </c>
      <c r="Q845">
        <v>12500</v>
      </c>
      <c r="R845">
        <v>45.13</v>
      </c>
      <c r="S845" t="s">
        <v>58</v>
      </c>
      <c r="T845">
        <v>2200</v>
      </c>
      <c r="U845">
        <v>3.8</v>
      </c>
      <c r="V845" t="s">
        <v>58</v>
      </c>
    </row>
    <row r="846" spans="1:22" x14ac:dyDescent="0.3">
      <c r="A846" t="s">
        <v>3968</v>
      </c>
      <c r="B846" t="s">
        <v>2510</v>
      </c>
      <c r="C846" t="s">
        <v>2511</v>
      </c>
      <c r="D846" s="2">
        <v>46074</v>
      </c>
      <c r="E846" t="s">
        <v>188</v>
      </c>
      <c r="F846" t="s">
        <v>188</v>
      </c>
      <c r="G846" t="s">
        <v>580</v>
      </c>
      <c r="H846" t="s">
        <v>229</v>
      </c>
      <c r="I846" t="s">
        <v>69</v>
      </c>
      <c r="J846" t="s">
        <v>30</v>
      </c>
      <c r="K846">
        <v>6</v>
      </c>
      <c r="M846">
        <v>35500</v>
      </c>
      <c r="N846">
        <v>7100</v>
      </c>
      <c r="O846">
        <v>28400</v>
      </c>
      <c r="P846">
        <v>18600</v>
      </c>
      <c r="Q846">
        <v>9800</v>
      </c>
      <c r="R846">
        <v>34.51</v>
      </c>
      <c r="S846" t="s">
        <v>182</v>
      </c>
      <c r="T846">
        <v>2700</v>
      </c>
      <c r="U846">
        <v>4.4000000000000004</v>
      </c>
      <c r="V846" t="s">
        <v>42</v>
      </c>
    </row>
    <row r="847" spans="1:22" x14ac:dyDescent="0.3">
      <c r="A847" t="s">
        <v>5334</v>
      </c>
      <c r="B847" t="s">
        <v>577</v>
      </c>
      <c r="C847" t="s">
        <v>578</v>
      </c>
      <c r="D847" s="2">
        <v>46075</v>
      </c>
      <c r="E847" t="s">
        <v>161</v>
      </c>
      <c r="F847" t="s">
        <v>161</v>
      </c>
      <c r="G847" t="s">
        <v>118</v>
      </c>
      <c r="H847" t="s">
        <v>68</v>
      </c>
      <c r="I847" t="s">
        <v>69</v>
      </c>
      <c r="J847" t="s">
        <v>70</v>
      </c>
      <c r="K847">
        <v>8</v>
      </c>
      <c r="L847">
        <v>51</v>
      </c>
      <c r="M847">
        <v>21300</v>
      </c>
      <c r="N847">
        <v>3200</v>
      </c>
      <c r="O847">
        <v>18100</v>
      </c>
      <c r="P847">
        <v>17400</v>
      </c>
      <c r="Q847">
        <v>700</v>
      </c>
      <c r="R847">
        <v>3.87</v>
      </c>
      <c r="S847" t="s">
        <v>39</v>
      </c>
      <c r="T847">
        <v>2000</v>
      </c>
      <c r="U847">
        <v>4.7</v>
      </c>
      <c r="V847" t="s">
        <v>82</v>
      </c>
    </row>
    <row r="848" spans="1:22" x14ac:dyDescent="0.3">
      <c r="A848" t="s">
        <v>1087</v>
      </c>
      <c r="B848" t="s">
        <v>746</v>
      </c>
      <c r="C848" t="s">
        <v>747</v>
      </c>
      <c r="D848" s="2">
        <v>46075</v>
      </c>
      <c r="E848" t="s">
        <v>282</v>
      </c>
      <c r="F848" t="s">
        <v>282</v>
      </c>
      <c r="G848" t="s">
        <v>103</v>
      </c>
      <c r="H848" t="s">
        <v>214</v>
      </c>
      <c r="I848" t="s">
        <v>69</v>
      </c>
      <c r="J848" t="s">
        <v>30</v>
      </c>
      <c r="K848">
        <v>6</v>
      </c>
      <c r="L848">
        <v>33</v>
      </c>
      <c r="M848">
        <v>62000</v>
      </c>
      <c r="N848">
        <v>0</v>
      </c>
      <c r="O848">
        <v>62000</v>
      </c>
      <c r="P848">
        <v>40600</v>
      </c>
      <c r="Q848">
        <v>21400</v>
      </c>
      <c r="R848">
        <v>34.520000000000003</v>
      </c>
      <c r="S848" t="s">
        <v>58</v>
      </c>
      <c r="T848">
        <v>9600</v>
      </c>
      <c r="U848">
        <v>2.8</v>
      </c>
      <c r="V848" t="s">
        <v>114</v>
      </c>
    </row>
    <row r="849" spans="1:22" x14ac:dyDescent="0.3">
      <c r="A849" t="s">
        <v>2626</v>
      </c>
      <c r="B849" t="s">
        <v>2627</v>
      </c>
      <c r="C849" t="s">
        <v>2628</v>
      </c>
      <c r="D849" s="2">
        <v>46075</v>
      </c>
      <c r="E849" t="s">
        <v>134</v>
      </c>
      <c r="F849" t="s">
        <v>134</v>
      </c>
      <c r="G849" t="s">
        <v>48</v>
      </c>
      <c r="H849" t="s">
        <v>229</v>
      </c>
      <c r="I849" t="s">
        <v>29</v>
      </c>
      <c r="J849" t="s">
        <v>30</v>
      </c>
      <c r="K849">
        <v>8</v>
      </c>
      <c r="L849">
        <v>23</v>
      </c>
      <c r="M849">
        <v>66900</v>
      </c>
      <c r="N849">
        <v>13400</v>
      </c>
      <c r="O849">
        <v>53500</v>
      </c>
      <c r="P849">
        <v>53700</v>
      </c>
      <c r="Q849">
        <v>-200</v>
      </c>
      <c r="R849">
        <v>-0.37</v>
      </c>
      <c r="S849" t="s">
        <v>39</v>
      </c>
      <c r="T849">
        <v>8600</v>
      </c>
      <c r="U849">
        <v>3.1</v>
      </c>
      <c r="V849" t="s">
        <v>79</v>
      </c>
    </row>
    <row r="850" spans="1:22" x14ac:dyDescent="0.3">
      <c r="A850" t="s">
        <v>4888</v>
      </c>
      <c r="B850" t="s">
        <v>2547</v>
      </c>
      <c r="C850" t="s">
        <v>2548</v>
      </c>
      <c r="D850" s="2">
        <v>46076</v>
      </c>
      <c r="E850" t="s">
        <v>134</v>
      </c>
      <c r="F850" t="s">
        <v>134</v>
      </c>
      <c r="G850" t="s">
        <v>67</v>
      </c>
      <c r="H850" t="s">
        <v>229</v>
      </c>
      <c r="I850" t="s">
        <v>69</v>
      </c>
      <c r="J850" t="s">
        <v>30</v>
      </c>
      <c r="K850">
        <v>2</v>
      </c>
      <c r="L850">
        <v>66</v>
      </c>
      <c r="M850">
        <v>39700</v>
      </c>
      <c r="N850">
        <v>0</v>
      </c>
      <c r="O850">
        <v>39700</v>
      </c>
      <c r="P850">
        <v>17000</v>
      </c>
      <c r="Q850">
        <v>22700</v>
      </c>
      <c r="R850">
        <v>57.18</v>
      </c>
      <c r="S850" t="s">
        <v>58</v>
      </c>
      <c r="T850">
        <v>4500</v>
      </c>
      <c r="U850">
        <v>3.9</v>
      </c>
      <c r="V850" t="s">
        <v>79</v>
      </c>
    </row>
    <row r="851" spans="1:22" x14ac:dyDescent="0.3">
      <c r="A851" t="s">
        <v>4050</v>
      </c>
      <c r="B851" t="s">
        <v>2510</v>
      </c>
      <c r="C851" t="s">
        <v>2511</v>
      </c>
      <c r="D851" s="2">
        <v>46076</v>
      </c>
      <c r="E851" t="s">
        <v>282</v>
      </c>
      <c r="F851" t="s">
        <v>282</v>
      </c>
      <c r="G851" t="s">
        <v>67</v>
      </c>
      <c r="H851" t="s">
        <v>28</v>
      </c>
      <c r="I851" t="s">
        <v>69</v>
      </c>
      <c r="J851" t="s">
        <v>70</v>
      </c>
      <c r="K851">
        <v>7</v>
      </c>
      <c r="L851">
        <v>40</v>
      </c>
      <c r="M851">
        <v>64800</v>
      </c>
      <c r="N851">
        <v>0</v>
      </c>
      <c r="O851">
        <v>64800</v>
      </c>
      <c r="P851">
        <v>51900</v>
      </c>
      <c r="Q851">
        <v>12900</v>
      </c>
      <c r="R851">
        <v>19.91</v>
      </c>
      <c r="S851" t="s">
        <v>39</v>
      </c>
      <c r="T851">
        <v>9300</v>
      </c>
      <c r="U851">
        <v>4</v>
      </c>
      <c r="V851" t="s">
        <v>114</v>
      </c>
    </row>
    <row r="852" spans="1:22" x14ac:dyDescent="0.3">
      <c r="A852" t="s">
        <v>1077</v>
      </c>
      <c r="B852" t="s">
        <v>980</v>
      </c>
      <c r="C852" t="s">
        <v>981</v>
      </c>
      <c r="D852" s="2">
        <v>46076</v>
      </c>
      <c r="E852" t="s">
        <v>66</v>
      </c>
      <c r="F852" t="s">
        <v>66</v>
      </c>
      <c r="G852" t="s">
        <v>67</v>
      </c>
      <c r="H852" t="s">
        <v>214</v>
      </c>
      <c r="I852" t="s">
        <v>69</v>
      </c>
      <c r="J852" t="s">
        <v>30</v>
      </c>
      <c r="K852">
        <v>3</v>
      </c>
      <c r="L852">
        <v>41</v>
      </c>
      <c r="M852">
        <v>53900</v>
      </c>
      <c r="N852">
        <v>8100</v>
      </c>
      <c r="O852">
        <v>45800</v>
      </c>
      <c r="P852">
        <v>23700</v>
      </c>
      <c r="Q852">
        <v>22100</v>
      </c>
      <c r="R852">
        <v>48.25</v>
      </c>
      <c r="S852" t="s">
        <v>39</v>
      </c>
      <c r="T852">
        <v>2700</v>
      </c>
      <c r="U852">
        <v>3.7</v>
      </c>
      <c r="V852" t="s">
        <v>42</v>
      </c>
    </row>
    <row r="853" spans="1:22" x14ac:dyDescent="0.3">
      <c r="A853" t="s">
        <v>1496</v>
      </c>
      <c r="B853" t="s">
        <v>210</v>
      </c>
      <c r="C853" t="s">
        <v>211</v>
      </c>
      <c r="D853" s="2">
        <v>46077</v>
      </c>
      <c r="E853" t="s">
        <v>161</v>
      </c>
      <c r="F853" t="s">
        <v>161</v>
      </c>
      <c r="G853" t="s">
        <v>27</v>
      </c>
      <c r="H853" t="s">
        <v>214</v>
      </c>
      <c r="I853" t="s">
        <v>69</v>
      </c>
      <c r="J853" t="s">
        <v>30</v>
      </c>
      <c r="K853">
        <v>3</v>
      </c>
      <c r="L853">
        <v>29</v>
      </c>
      <c r="M853">
        <v>49400</v>
      </c>
      <c r="N853">
        <v>0</v>
      </c>
      <c r="O853">
        <v>49400</v>
      </c>
      <c r="P853">
        <v>26700</v>
      </c>
      <c r="Q853">
        <v>22700</v>
      </c>
      <c r="R853">
        <v>45.95</v>
      </c>
      <c r="S853" t="s">
        <v>58</v>
      </c>
      <c r="T853">
        <v>7300</v>
      </c>
      <c r="U853">
        <v>3.9</v>
      </c>
      <c r="V853" t="s">
        <v>58</v>
      </c>
    </row>
    <row r="854" spans="1:22" x14ac:dyDescent="0.3">
      <c r="A854" t="s">
        <v>2544</v>
      </c>
      <c r="B854" t="s">
        <v>330</v>
      </c>
      <c r="C854" t="s">
        <v>331</v>
      </c>
      <c r="D854" s="2">
        <v>46077</v>
      </c>
      <c r="E854" t="s">
        <v>282</v>
      </c>
      <c r="F854" t="s">
        <v>282</v>
      </c>
      <c r="G854" t="s">
        <v>103</v>
      </c>
      <c r="H854" t="s">
        <v>5470</v>
      </c>
      <c r="I854" t="s">
        <v>29</v>
      </c>
      <c r="J854" t="s">
        <v>30</v>
      </c>
      <c r="K854">
        <v>3</v>
      </c>
      <c r="L854">
        <v>25</v>
      </c>
      <c r="M854">
        <v>29200</v>
      </c>
      <c r="N854">
        <v>0</v>
      </c>
      <c r="O854">
        <v>29200</v>
      </c>
      <c r="P854">
        <v>16700</v>
      </c>
      <c r="Q854">
        <v>12500</v>
      </c>
      <c r="R854">
        <v>42.81</v>
      </c>
      <c r="S854" t="s">
        <v>58</v>
      </c>
      <c r="T854">
        <v>1700</v>
      </c>
      <c r="U854">
        <v>4.2</v>
      </c>
      <c r="V854" t="s">
        <v>114</v>
      </c>
    </row>
    <row r="855" spans="1:22" x14ac:dyDescent="0.3">
      <c r="A855" t="s">
        <v>4892</v>
      </c>
      <c r="B855" t="s">
        <v>777</v>
      </c>
      <c r="C855" t="s">
        <v>778</v>
      </c>
      <c r="D855" s="2">
        <v>46077</v>
      </c>
      <c r="E855" t="s">
        <v>66</v>
      </c>
      <c r="F855" t="s">
        <v>66</v>
      </c>
      <c r="G855" t="s">
        <v>103</v>
      </c>
      <c r="H855" t="s">
        <v>5470</v>
      </c>
      <c r="I855" t="s">
        <v>69</v>
      </c>
      <c r="J855" t="s">
        <v>30</v>
      </c>
      <c r="K855">
        <v>5</v>
      </c>
      <c r="L855">
        <v>50</v>
      </c>
      <c r="M855">
        <v>98400</v>
      </c>
      <c r="N855">
        <v>4900</v>
      </c>
      <c r="O855">
        <v>93500</v>
      </c>
      <c r="P855">
        <v>72200</v>
      </c>
      <c r="Q855">
        <v>21300</v>
      </c>
      <c r="R855">
        <v>22.78</v>
      </c>
      <c r="S855" t="s">
        <v>182</v>
      </c>
      <c r="T855">
        <v>7600</v>
      </c>
      <c r="U855">
        <v>3.9</v>
      </c>
      <c r="V855" t="s">
        <v>58</v>
      </c>
    </row>
    <row r="856" spans="1:22" x14ac:dyDescent="0.3">
      <c r="A856" t="s">
        <v>3844</v>
      </c>
      <c r="B856" t="s">
        <v>2856</v>
      </c>
      <c r="C856" t="s">
        <v>2857</v>
      </c>
      <c r="D856" s="2">
        <v>46077</v>
      </c>
      <c r="E856" t="s">
        <v>161</v>
      </c>
      <c r="F856" t="s">
        <v>161</v>
      </c>
      <c r="G856" t="s">
        <v>118</v>
      </c>
      <c r="H856" t="s">
        <v>88</v>
      </c>
      <c r="I856" t="s">
        <v>69</v>
      </c>
      <c r="J856" t="s">
        <v>257</v>
      </c>
      <c r="K856">
        <v>9</v>
      </c>
      <c r="L856">
        <v>38</v>
      </c>
      <c r="M856">
        <v>57800</v>
      </c>
      <c r="N856">
        <v>0</v>
      </c>
      <c r="O856">
        <v>57800</v>
      </c>
      <c r="P856">
        <v>31000</v>
      </c>
      <c r="Q856">
        <v>26800</v>
      </c>
      <c r="R856">
        <v>46.37</v>
      </c>
      <c r="S856" t="s">
        <v>58</v>
      </c>
      <c r="T856">
        <v>9100</v>
      </c>
      <c r="U856">
        <v>4.9000000000000004</v>
      </c>
      <c r="V856" t="s">
        <v>114</v>
      </c>
    </row>
    <row r="857" spans="1:22" x14ac:dyDescent="0.3">
      <c r="A857" t="s">
        <v>4657</v>
      </c>
      <c r="B857" t="s">
        <v>3871</v>
      </c>
      <c r="C857" t="s">
        <v>3872</v>
      </c>
      <c r="D857" s="2">
        <v>46078</v>
      </c>
      <c r="E857" t="s">
        <v>244</v>
      </c>
      <c r="F857" t="s">
        <v>244</v>
      </c>
      <c r="G857" t="s">
        <v>118</v>
      </c>
      <c r="H857" t="s">
        <v>5471</v>
      </c>
      <c r="I857" t="s">
        <v>29</v>
      </c>
      <c r="J857" t="s">
        <v>70</v>
      </c>
      <c r="K857">
        <v>5</v>
      </c>
      <c r="L857">
        <v>42</v>
      </c>
      <c r="M857">
        <v>90200</v>
      </c>
      <c r="N857">
        <v>0</v>
      </c>
      <c r="O857">
        <v>90200</v>
      </c>
      <c r="P857">
        <v>50500</v>
      </c>
      <c r="Q857">
        <v>39700</v>
      </c>
      <c r="R857">
        <v>44.01</v>
      </c>
      <c r="S857" t="s">
        <v>39</v>
      </c>
      <c r="T857">
        <v>10100</v>
      </c>
      <c r="U857">
        <v>4.0999999999999996</v>
      </c>
      <c r="V857" t="s">
        <v>114</v>
      </c>
    </row>
    <row r="858" spans="1:22" x14ac:dyDescent="0.3">
      <c r="A858" t="s">
        <v>955</v>
      </c>
      <c r="B858" t="s">
        <v>956</v>
      </c>
      <c r="C858" t="s">
        <v>957</v>
      </c>
      <c r="D858" s="2">
        <v>46078</v>
      </c>
      <c r="E858" t="s">
        <v>161</v>
      </c>
      <c r="F858" t="s">
        <v>161</v>
      </c>
      <c r="G858" t="s">
        <v>48</v>
      </c>
      <c r="H858" t="s">
        <v>28</v>
      </c>
      <c r="I858" t="s">
        <v>29</v>
      </c>
      <c r="J858" t="s">
        <v>30</v>
      </c>
      <c r="K858">
        <v>2</v>
      </c>
      <c r="L858">
        <v>37</v>
      </c>
      <c r="M858">
        <v>27000</v>
      </c>
      <c r="N858">
        <v>5400</v>
      </c>
      <c r="O858">
        <v>21600</v>
      </c>
      <c r="P858">
        <v>18800</v>
      </c>
      <c r="Q858">
        <v>2800</v>
      </c>
      <c r="R858">
        <v>12.96</v>
      </c>
      <c r="S858" t="s">
        <v>97</v>
      </c>
      <c r="T858">
        <v>1300</v>
      </c>
      <c r="U858">
        <v>4.2</v>
      </c>
      <c r="V858" t="s">
        <v>114</v>
      </c>
    </row>
    <row r="859" spans="1:22" x14ac:dyDescent="0.3">
      <c r="A859" t="s">
        <v>4101</v>
      </c>
      <c r="B859" t="s">
        <v>3922</v>
      </c>
      <c r="C859" t="s">
        <v>3923</v>
      </c>
      <c r="D859" s="2">
        <v>46079</v>
      </c>
      <c r="E859" t="s">
        <v>134</v>
      </c>
      <c r="F859" t="s">
        <v>134</v>
      </c>
      <c r="G859" t="s">
        <v>27</v>
      </c>
      <c r="H859" t="s">
        <v>5470</v>
      </c>
      <c r="I859" t="s">
        <v>69</v>
      </c>
      <c r="J859" t="s">
        <v>30</v>
      </c>
      <c r="K859">
        <v>10</v>
      </c>
      <c r="L859">
        <v>5</v>
      </c>
      <c r="M859">
        <v>69400</v>
      </c>
      <c r="N859">
        <v>13900</v>
      </c>
      <c r="O859">
        <v>55500</v>
      </c>
      <c r="P859">
        <v>51400</v>
      </c>
      <c r="Q859">
        <v>4100</v>
      </c>
      <c r="R859">
        <v>7.39</v>
      </c>
      <c r="S859" t="s">
        <v>182</v>
      </c>
      <c r="T859">
        <v>2200</v>
      </c>
      <c r="U859">
        <v>4.2</v>
      </c>
      <c r="V859" t="s">
        <v>82</v>
      </c>
    </row>
    <row r="860" spans="1:22" x14ac:dyDescent="0.3">
      <c r="A860" t="s">
        <v>3628</v>
      </c>
      <c r="B860" t="s">
        <v>1861</v>
      </c>
      <c r="C860" t="s">
        <v>1862</v>
      </c>
      <c r="D860" s="2">
        <v>46079</v>
      </c>
      <c r="E860" t="s">
        <v>188</v>
      </c>
      <c r="F860" t="s">
        <v>188</v>
      </c>
      <c r="G860" t="s">
        <v>103</v>
      </c>
      <c r="H860" t="s">
        <v>49</v>
      </c>
      <c r="I860" t="s">
        <v>69</v>
      </c>
      <c r="J860" t="s">
        <v>30</v>
      </c>
      <c r="K860">
        <v>7</v>
      </c>
      <c r="L860">
        <v>40</v>
      </c>
      <c r="M860">
        <v>37800</v>
      </c>
      <c r="N860">
        <v>0</v>
      </c>
      <c r="O860">
        <v>37800</v>
      </c>
      <c r="P860">
        <v>29900</v>
      </c>
      <c r="Q860">
        <v>7900</v>
      </c>
      <c r="R860">
        <v>20.9</v>
      </c>
      <c r="S860" t="s">
        <v>97</v>
      </c>
      <c r="T860">
        <v>5200</v>
      </c>
      <c r="U860">
        <v>3.4</v>
      </c>
      <c r="V860" t="s">
        <v>82</v>
      </c>
    </row>
    <row r="861" spans="1:22" x14ac:dyDescent="0.3">
      <c r="A861" t="s">
        <v>2988</v>
      </c>
      <c r="B861" t="s">
        <v>2989</v>
      </c>
      <c r="C861" t="s">
        <v>2990</v>
      </c>
      <c r="D861" s="2">
        <v>46080</v>
      </c>
      <c r="E861" t="s">
        <v>188</v>
      </c>
      <c r="F861" t="s">
        <v>188</v>
      </c>
      <c r="G861" t="s">
        <v>103</v>
      </c>
      <c r="H861" t="s">
        <v>49</v>
      </c>
      <c r="I861" t="s">
        <v>69</v>
      </c>
      <c r="J861" t="s">
        <v>70</v>
      </c>
      <c r="K861">
        <v>8</v>
      </c>
      <c r="L861">
        <v>20</v>
      </c>
      <c r="M861">
        <v>239000</v>
      </c>
      <c r="N861">
        <v>35800</v>
      </c>
      <c r="O861">
        <v>203200</v>
      </c>
      <c r="P861">
        <v>138800</v>
      </c>
      <c r="Q861">
        <v>64400</v>
      </c>
      <c r="R861">
        <v>31.69</v>
      </c>
      <c r="S861" t="s">
        <v>58</v>
      </c>
      <c r="T861">
        <v>24800</v>
      </c>
      <c r="U861">
        <v>4.4000000000000004</v>
      </c>
      <c r="V861" t="s">
        <v>58</v>
      </c>
    </row>
    <row r="862" spans="1:22" x14ac:dyDescent="0.3">
      <c r="A862" t="s">
        <v>5467</v>
      </c>
      <c r="B862" t="s">
        <v>4006</v>
      </c>
      <c r="C862" t="s">
        <v>4007</v>
      </c>
      <c r="D862" s="2">
        <v>46080</v>
      </c>
      <c r="E862" t="s">
        <v>66</v>
      </c>
      <c r="F862" t="s">
        <v>66</v>
      </c>
      <c r="G862" t="s">
        <v>48</v>
      </c>
      <c r="H862" t="s">
        <v>268</v>
      </c>
      <c r="I862" t="s">
        <v>69</v>
      </c>
      <c r="J862" t="s">
        <v>70</v>
      </c>
      <c r="K862">
        <v>10</v>
      </c>
      <c r="L862">
        <v>19</v>
      </c>
      <c r="M862">
        <v>32600</v>
      </c>
      <c r="N862">
        <v>0</v>
      </c>
      <c r="O862">
        <v>32600</v>
      </c>
      <c r="P862">
        <v>22300</v>
      </c>
      <c r="Q862">
        <v>10300</v>
      </c>
      <c r="R862">
        <v>31.6</v>
      </c>
      <c r="S862" t="s">
        <v>126</v>
      </c>
      <c r="T862">
        <v>4800</v>
      </c>
      <c r="U862">
        <v>3.9</v>
      </c>
      <c r="V862" t="s">
        <v>114</v>
      </c>
    </row>
    <row r="863" spans="1:22" x14ac:dyDescent="0.3">
      <c r="A863" t="s">
        <v>2644</v>
      </c>
      <c r="B863" t="s">
        <v>2645</v>
      </c>
      <c r="C863" t="s">
        <v>2646</v>
      </c>
      <c r="D863" s="2">
        <v>46080</v>
      </c>
      <c r="E863" t="s">
        <v>188</v>
      </c>
      <c r="F863" t="s">
        <v>188</v>
      </c>
      <c r="G863" t="s">
        <v>103</v>
      </c>
      <c r="H863" t="s">
        <v>268</v>
      </c>
      <c r="I863" t="s">
        <v>29</v>
      </c>
      <c r="J863" t="s">
        <v>30</v>
      </c>
      <c r="K863">
        <v>10</v>
      </c>
      <c r="L863">
        <v>50</v>
      </c>
      <c r="M863">
        <v>89000</v>
      </c>
      <c r="N863">
        <v>13400</v>
      </c>
      <c r="O863">
        <v>75600</v>
      </c>
      <c r="P863">
        <v>67100</v>
      </c>
      <c r="Q863">
        <v>8500</v>
      </c>
      <c r="R863">
        <v>11.24</v>
      </c>
      <c r="S863" t="s">
        <v>79</v>
      </c>
      <c r="T863">
        <v>10700</v>
      </c>
      <c r="U863">
        <v>3.9</v>
      </c>
      <c r="V863" t="s">
        <v>42</v>
      </c>
    </row>
    <row r="864" spans="1:22" x14ac:dyDescent="0.3">
      <c r="A864" t="s">
        <v>5280</v>
      </c>
      <c r="B864" t="s">
        <v>5281</v>
      </c>
      <c r="C864" t="s">
        <v>5282</v>
      </c>
      <c r="D864" s="2">
        <v>46080</v>
      </c>
      <c r="E864" t="s">
        <v>26</v>
      </c>
      <c r="F864" t="s">
        <v>26</v>
      </c>
      <c r="G864" t="s">
        <v>118</v>
      </c>
      <c r="H864" t="s">
        <v>229</v>
      </c>
      <c r="I864" t="s">
        <v>29</v>
      </c>
      <c r="J864" t="s">
        <v>70</v>
      </c>
      <c r="K864">
        <v>2</v>
      </c>
      <c r="L864">
        <v>30</v>
      </c>
      <c r="M864">
        <v>46500</v>
      </c>
      <c r="N864">
        <v>9300</v>
      </c>
      <c r="O864">
        <v>37200</v>
      </c>
      <c r="P864">
        <v>22700</v>
      </c>
      <c r="Q864">
        <v>14500</v>
      </c>
      <c r="R864">
        <v>38.979999999999997</v>
      </c>
      <c r="S864" t="s">
        <v>126</v>
      </c>
      <c r="T864">
        <v>3600</v>
      </c>
      <c r="U864">
        <v>3.4</v>
      </c>
      <c r="V864" t="s">
        <v>114</v>
      </c>
    </row>
    <row r="865" spans="1:22" x14ac:dyDescent="0.3">
      <c r="A865" t="s">
        <v>1786</v>
      </c>
      <c r="B865" t="s">
        <v>1787</v>
      </c>
      <c r="C865" t="s">
        <v>1788</v>
      </c>
      <c r="D865" s="2">
        <v>46081</v>
      </c>
      <c r="E865" t="s">
        <v>188</v>
      </c>
      <c r="F865" t="s">
        <v>188</v>
      </c>
      <c r="G865" t="s">
        <v>213</v>
      </c>
      <c r="H865" t="s">
        <v>88</v>
      </c>
      <c r="I865" t="s">
        <v>29</v>
      </c>
      <c r="J865" t="s">
        <v>30</v>
      </c>
      <c r="K865">
        <v>2</v>
      </c>
      <c r="L865">
        <v>54</v>
      </c>
      <c r="M865">
        <v>61200</v>
      </c>
      <c r="N865">
        <v>0</v>
      </c>
      <c r="O865">
        <v>61200</v>
      </c>
      <c r="P865">
        <v>29400</v>
      </c>
      <c r="Q865">
        <v>31800</v>
      </c>
      <c r="R865">
        <v>51.96</v>
      </c>
      <c r="S865" t="s">
        <v>126</v>
      </c>
      <c r="T865">
        <v>3800</v>
      </c>
      <c r="U865">
        <v>4.5</v>
      </c>
      <c r="V865" t="s">
        <v>58</v>
      </c>
    </row>
    <row r="866" spans="1:22" x14ac:dyDescent="0.3">
      <c r="A866" t="s">
        <v>2276</v>
      </c>
      <c r="B866" t="s">
        <v>2277</v>
      </c>
      <c r="C866" t="s">
        <v>2278</v>
      </c>
      <c r="D866" s="2">
        <v>46081</v>
      </c>
      <c r="E866" t="s">
        <v>161</v>
      </c>
      <c r="F866" t="s">
        <v>161</v>
      </c>
      <c r="G866" t="s">
        <v>48</v>
      </c>
      <c r="H866" t="s">
        <v>5470</v>
      </c>
      <c r="I866" t="s">
        <v>29</v>
      </c>
      <c r="J866" t="s">
        <v>162</v>
      </c>
      <c r="K866">
        <v>9</v>
      </c>
      <c r="L866">
        <v>5</v>
      </c>
      <c r="M866">
        <v>56000</v>
      </c>
      <c r="N866">
        <v>0</v>
      </c>
      <c r="O866">
        <v>56000</v>
      </c>
      <c r="P866">
        <v>37000</v>
      </c>
      <c r="Q866">
        <v>19000</v>
      </c>
      <c r="R866">
        <v>33.93</v>
      </c>
      <c r="S866" t="s">
        <v>58</v>
      </c>
      <c r="T866">
        <v>6200</v>
      </c>
      <c r="U866">
        <v>4.2</v>
      </c>
      <c r="V866" t="s">
        <v>58</v>
      </c>
    </row>
    <row r="867" spans="1:22" x14ac:dyDescent="0.3">
      <c r="A867" t="s">
        <v>4545</v>
      </c>
      <c r="B867" t="s">
        <v>727</v>
      </c>
      <c r="C867" t="s">
        <v>728</v>
      </c>
      <c r="D867" s="2">
        <v>46082</v>
      </c>
      <c r="E867" t="s">
        <v>66</v>
      </c>
      <c r="F867" t="s">
        <v>66</v>
      </c>
      <c r="G867" t="s">
        <v>147</v>
      </c>
      <c r="H867" t="s">
        <v>88</v>
      </c>
      <c r="I867" t="s">
        <v>69</v>
      </c>
      <c r="J867" t="s">
        <v>30</v>
      </c>
      <c r="K867">
        <v>5</v>
      </c>
      <c r="L867">
        <v>51</v>
      </c>
      <c r="M867">
        <v>27800</v>
      </c>
      <c r="N867">
        <v>1400</v>
      </c>
      <c r="O867">
        <v>26400</v>
      </c>
      <c r="P867">
        <v>15100</v>
      </c>
      <c r="Q867">
        <v>11300</v>
      </c>
      <c r="R867">
        <v>42.8</v>
      </c>
      <c r="S867" t="s">
        <v>39</v>
      </c>
      <c r="T867">
        <v>4000</v>
      </c>
      <c r="U867">
        <v>4</v>
      </c>
      <c r="V867" t="s">
        <v>114</v>
      </c>
    </row>
    <row r="868" spans="1:22" x14ac:dyDescent="0.3">
      <c r="A868" t="s">
        <v>2355</v>
      </c>
      <c r="B868" t="s">
        <v>157</v>
      </c>
      <c r="C868" t="s">
        <v>158</v>
      </c>
      <c r="D868" s="2">
        <v>46084</v>
      </c>
      <c r="E868" t="s">
        <v>188</v>
      </c>
      <c r="F868" t="s">
        <v>188</v>
      </c>
      <c r="G868" t="s">
        <v>48</v>
      </c>
      <c r="H868" t="s">
        <v>214</v>
      </c>
      <c r="I868" t="s">
        <v>29</v>
      </c>
      <c r="J868" t="s">
        <v>30</v>
      </c>
      <c r="K868">
        <v>3</v>
      </c>
      <c r="L868">
        <v>20</v>
      </c>
      <c r="M868">
        <v>35000</v>
      </c>
      <c r="N868">
        <v>3500</v>
      </c>
      <c r="O868">
        <v>31500</v>
      </c>
      <c r="P868">
        <v>15100</v>
      </c>
      <c r="Q868">
        <v>16400</v>
      </c>
      <c r="R868">
        <v>52.06</v>
      </c>
      <c r="S868" t="s">
        <v>182</v>
      </c>
      <c r="T868">
        <v>2900</v>
      </c>
      <c r="U868">
        <v>4.4000000000000004</v>
      </c>
      <c r="V868" t="s">
        <v>82</v>
      </c>
    </row>
    <row r="869" spans="1:22" x14ac:dyDescent="0.3">
      <c r="A869" t="s">
        <v>5158</v>
      </c>
      <c r="B869" t="s">
        <v>1797</v>
      </c>
      <c r="C869" t="s">
        <v>1798</v>
      </c>
      <c r="D869" s="2">
        <v>46085</v>
      </c>
      <c r="E869" t="s">
        <v>161</v>
      </c>
      <c r="F869" t="s">
        <v>161</v>
      </c>
      <c r="G869" t="s">
        <v>147</v>
      </c>
      <c r="H869" t="s">
        <v>28</v>
      </c>
      <c r="I869" t="s">
        <v>69</v>
      </c>
      <c r="J869" t="s">
        <v>70</v>
      </c>
      <c r="K869">
        <v>2</v>
      </c>
      <c r="L869">
        <v>55</v>
      </c>
      <c r="M869">
        <v>45700</v>
      </c>
      <c r="N869">
        <v>9100</v>
      </c>
      <c r="O869">
        <v>36600</v>
      </c>
      <c r="P869">
        <v>22200</v>
      </c>
      <c r="Q869">
        <v>14400</v>
      </c>
      <c r="R869">
        <v>39.340000000000003</v>
      </c>
      <c r="S869" t="s">
        <v>126</v>
      </c>
      <c r="T869">
        <v>1800</v>
      </c>
      <c r="U869">
        <v>4.7</v>
      </c>
      <c r="V869" t="s">
        <v>114</v>
      </c>
    </row>
    <row r="870" spans="1:22" x14ac:dyDescent="0.3">
      <c r="A870" t="s">
        <v>4357</v>
      </c>
      <c r="B870" t="s">
        <v>2756</v>
      </c>
      <c r="C870" t="s">
        <v>2757</v>
      </c>
      <c r="D870" s="2">
        <v>46086</v>
      </c>
      <c r="E870" t="s">
        <v>188</v>
      </c>
      <c r="F870" t="s">
        <v>188</v>
      </c>
      <c r="G870" t="s">
        <v>213</v>
      </c>
      <c r="H870" t="s">
        <v>88</v>
      </c>
      <c r="I870" t="s">
        <v>69</v>
      </c>
      <c r="J870" t="s">
        <v>30</v>
      </c>
      <c r="K870">
        <v>5</v>
      </c>
      <c r="L870">
        <v>24</v>
      </c>
      <c r="M870">
        <v>44300</v>
      </c>
      <c r="N870">
        <v>4400</v>
      </c>
      <c r="O870">
        <v>39900</v>
      </c>
      <c r="P870">
        <v>31300</v>
      </c>
      <c r="Q870">
        <v>8600</v>
      </c>
      <c r="R870">
        <v>21.55</v>
      </c>
      <c r="S870" t="s">
        <v>39</v>
      </c>
      <c r="T870">
        <v>2600</v>
      </c>
      <c r="U870">
        <v>4.0999999999999996</v>
      </c>
      <c r="V870" t="s">
        <v>42</v>
      </c>
    </row>
    <row r="871" spans="1:22" x14ac:dyDescent="0.3">
      <c r="A871" t="s">
        <v>3395</v>
      </c>
      <c r="B871" t="s">
        <v>3015</v>
      </c>
      <c r="C871" t="s">
        <v>3016</v>
      </c>
      <c r="D871" s="2">
        <v>46086</v>
      </c>
      <c r="E871" t="s">
        <v>66</v>
      </c>
      <c r="F871" t="s">
        <v>66</v>
      </c>
      <c r="G871" t="s">
        <v>27</v>
      </c>
      <c r="H871" t="s">
        <v>5470</v>
      </c>
      <c r="I871" t="s">
        <v>69</v>
      </c>
      <c r="J871" t="s">
        <v>30</v>
      </c>
      <c r="K871">
        <v>2</v>
      </c>
      <c r="L871">
        <v>37</v>
      </c>
      <c r="M871">
        <v>41200</v>
      </c>
      <c r="N871">
        <v>8200</v>
      </c>
      <c r="O871">
        <v>33000</v>
      </c>
      <c r="P871">
        <v>33600</v>
      </c>
      <c r="Q871">
        <v>-600</v>
      </c>
      <c r="R871">
        <v>-1.82</v>
      </c>
      <c r="S871" t="s">
        <v>182</v>
      </c>
      <c r="T871">
        <v>3100</v>
      </c>
      <c r="U871">
        <v>4.8</v>
      </c>
      <c r="V871" t="s">
        <v>82</v>
      </c>
    </row>
    <row r="872" spans="1:22" x14ac:dyDescent="0.3">
      <c r="A872" t="s">
        <v>3547</v>
      </c>
      <c r="B872" t="s">
        <v>2837</v>
      </c>
      <c r="C872" t="s">
        <v>2838</v>
      </c>
      <c r="D872" s="2">
        <v>46087</v>
      </c>
      <c r="E872" t="s">
        <v>66</v>
      </c>
      <c r="F872" t="s">
        <v>66</v>
      </c>
      <c r="G872" t="s">
        <v>27</v>
      </c>
      <c r="H872" t="s">
        <v>49</v>
      </c>
      <c r="I872" t="s">
        <v>69</v>
      </c>
      <c r="J872" t="s">
        <v>30</v>
      </c>
      <c r="K872">
        <v>7</v>
      </c>
      <c r="L872">
        <v>64</v>
      </c>
      <c r="M872">
        <v>35300</v>
      </c>
      <c r="N872">
        <v>0</v>
      </c>
      <c r="O872">
        <v>35300</v>
      </c>
      <c r="P872">
        <v>19000</v>
      </c>
      <c r="Q872">
        <v>16300</v>
      </c>
      <c r="R872">
        <v>46.18</v>
      </c>
      <c r="S872" t="s">
        <v>97</v>
      </c>
      <c r="T872">
        <v>1500</v>
      </c>
      <c r="U872">
        <v>4.5999999999999996</v>
      </c>
      <c r="V872" t="s">
        <v>114</v>
      </c>
    </row>
    <row r="873" spans="1:22" x14ac:dyDescent="0.3">
      <c r="A873" t="s">
        <v>547</v>
      </c>
      <c r="B873" t="s">
        <v>548</v>
      </c>
      <c r="C873" t="s">
        <v>549</v>
      </c>
      <c r="D873" s="2">
        <v>46088</v>
      </c>
      <c r="E873" t="s">
        <v>228</v>
      </c>
      <c r="F873" t="s">
        <v>228</v>
      </c>
      <c r="G873" t="s">
        <v>67</v>
      </c>
      <c r="H873" t="s">
        <v>28</v>
      </c>
      <c r="I873" t="s">
        <v>29</v>
      </c>
      <c r="J873" t="s">
        <v>70</v>
      </c>
      <c r="K873">
        <v>8</v>
      </c>
      <c r="L873">
        <v>24</v>
      </c>
      <c r="M873">
        <v>38900</v>
      </c>
      <c r="N873">
        <v>7800</v>
      </c>
      <c r="O873">
        <v>31100</v>
      </c>
      <c r="P873">
        <v>25300</v>
      </c>
      <c r="Q873">
        <v>5800</v>
      </c>
      <c r="R873">
        <v>18.649999999999999</v>
      </c>
      <c r="S873" t="s">
        <v>182</v>
      </c>
      <c r="T873">
        <v>2700</v>
      </c>
      <c r="U873">
        <v>4.2</v>
      </c>
      <c r="V873" t="s">
        <v>42</v>
      </c>
    </row>
    <row r="874" spans="1:22" x14ac:dyDescent="0.3">
      <c r="A874" t="s">
        <v>4750</v>
      </c>
      <c r="B874" t="s">
        <v>1166</v>
      </c>
      <c r="C874" t="s">
        <v>1167</v>
      </c>
      <c r="D874" s="2">
        <v>46089</v>
      </c>
      <c r="E874" t="s">
        <v>244</v>
      </c>
      <c r="F874" t="s">
        <v>244</v>
      </c>
      <c r="G874" t="s">
        <v>213</v>
      </c>
      <c r="H874" t="s">
        <v>49</v>
      </c>
      <c r="I874" t="s">
        <v>69</v>
      </c>
      <c r="J874" t="s">
        <v>30</v>
      </c>
      <c r="K874">
        <v>6</v>
      </c>
      <c r="L874">
        <v>19</v>
      </c>
      <c r="M874">
        <v>28100</v>
      </c>
      <c r="N874">
        <v>1400</v>
      </c>
      <c r="O874">
        <v>26700</v>
      </c>
      <c r="P874">
        <v>20000</v>
      </c>
      <c r="Q874">
        <v>6700</v>
      </c>
      <c r="R874">
        <v>25.09</v>
      </c>
      <c r="S874" t="s">
        <v>182</v>
      </c>
      <c r="T874">
        <v>3300</v>
      </c>
      <c r="U874">
        <v>5</v>
      </c>
      <c r="V874" t="s">
        <v>82</v>
      </c>
    </row>
    <row r="875" spans="1:22" x14ac:dyDescent="0.3">
      <c r="A875" t="s">
        <v>3994</v>
      </c>
      <c r="B875" t="s">
        <v>474</v>
      </c>
      <c r="C875" t="s">
        <v>475</v>
      </c>
      <c r="D875" s="2">
        <v>46089</v>
      </c>
      <c r="E875" t="s">
        <v>66</v>
      </c>
      <c r="F875" t="s">
        <v>66</v>
      </c>
      <c r="G875" t="s">
        <v>213</v>
      </c>
      <c r="H875" t="s">
        <v>49</v>
      </c>
      <c r="I875" t="s">
        <v>69</v>
      </c>
      <c r="J875" t="s">
        <v>70</v>
      </c>
      <c r="K875">
        <v>9</v>
      </c>
      <c r="L875">
        <v>31</v>
      </c>
      <c r="M875">
        <v>58400</v>
      </c>
      <c r="N875">
        <v>11700</v>
      </c>
      <c r="O875">
        <v>46700</v>
      </c>
      <c r="P875">
        <v>37400</v>
      </c>
      <c r="Q875">
        <v>9300</v>
      </c>
      <c r="R875">
        <v>19.91</v>
      </c>
      <c r="S875" t="s">
        <v>79</v>
      </c>
      <c r="T875">
        <v>2500</v>
      </c>
      <c r="U875">
        <v>4</v>
      </c>
      <c r="V875" t="s">
        <v>42</v>
      </c>
    </row>
    <row r="876" spans="1:22" x14ac:dyDescent="0.3">
      <c r="A876" t="s">
        <v>5412</v>
      </c>
      <c r="B876" t="s">
        <v>1830</v>
      </c>
      <c r="C876" t="s">
        <v>1831</v>
      </c>
      <c r="D876" s="2">
        <v>46089</v>
      </c>
      <c r="E876" t="s">
        <v>134</v>
      </c>
      <c r="F876" t="s">
        <v>134</v>
      </c>
      <c r="G876" t="s">
        <v>580</v>
      </c>
      <c r="H876" t="s">
        <v>28</v>
      </c>
      <c r="I876" t="s">
        <v>69</v>
      </c>
      <c r="J876" t="s">
        <v>30</v>
      </c>
      <c r="K876">
        <v>8</v>
      </c>
      <c r="L876">
        <v>49</v>
      </c>
      <c r="M876">
        <v>27500</v>
      </c>
      <c r="N876">
        <v>5500</v>
      </c>
      <c r="O876">
        <v>22000</v>
      </c>
      <c r="P876">
        <v>18200</v>
      </c>
      <c r="Q876">
        <v>3800</v>
      </c>
      <c r="R876">
        <v>17.27</v>
      </c>
      <c r="S876" t="s">
        <v>58</v>
      </c>
      <c r="T876">
        <v>2700</v>
      </c>
      <c r="U876">
        <v>4.0999999999999996</v>
      </c>
      <c r="V876" t="s">
        <v>82</v>
      </c>
    </row>
    <row r="877" spans="1:22" x14ac:dyDescent="0.3">
      <c r="A877" t="s">
        <v>4321</v>
      </c>
      <c r="B877" t="s">
        <v>1359</v>
      </c>
      <c r="C877" t="s">
        <v>1360</v>
      </c>
      <c r="D877" s="2">
        <v>46090</v>
      </c>
      <c r="E877" t="s">
        <v>188</v>
      </c>
      <c r="F877" t="s">
        <v>188</v>
      </c>
      <c r="G877" t="s">
        <v>27</v>
      </c>
      <c r="H877" t="s">
        <v>229</v>
      </c>
      <c r="I877" t="s">
        <v>29</v>
      </c>
      <c r="J877" t="s">
        <v>30</v>
      </c>
      <c r="K877">
        <v>9</v>
      </c>
      <c r="L877">
        <v>23</v>
      </c>
      <c r="M877">
        <v>43900</v>
      </c>
      <c r="N877">
        <v>4400</v>
      </c>
      <c r="O877">
        <v>39500</v>
      </c>
      <c r="P877">
        <v>29300</v>
      </c>
      <c r="Q877">
        <v>10200</v>
      </c>
      <c r="R877">
        <v>25.82</v>
      </c>
      <c r="S877" t="s">
        <v>97</v>
      </c>
      <c r="T877">
        <v>4600</v>
      </c>
      <c r="U877">
        <v>3</v>
      </c>
      <c r="V877" t="s">
        <v>114</v>
      </c>
    </row>
    <row r="878" spans="1:22" x14ac:dyDescent="0.3">
      <c r="A878" t="s">
        <v>329</v>
      </c>
      <c r="B878" t="s">
        <v>330</v>
      </c>
      <c r="C878" t="s">
        <v>331</v>
      </c>
      <c r="D878" s="2">
        <v>46090</v>
      </c>
      <c r="E878" t="s">
        <v>282</v>
      </c>
      <c r="F878" t="s">
        <v>282</v>
      </c>
      <c r="G878" t="s">
        <v>27</v>
      </c>
      <c r="H878" t="s">
        <v>214</v>
      </c>
      <c r="I878" t="s">
        <v>29</v>
      </c>
      <c r="J878" t="s">
        <v>30</v>
      </c>
      <c r="K878">
        <v>4</v>
      </c>
      <c r="L878">
        <v>37</v>
      </c>
      <c r="M878">
        <v>17700</v>
      </c>
      <c r="N878">
        <v>0</v>
      </c>
      <c r="O878">
        <v>17700</v>
      </c>
      <c r="P878">
        <v>9600</v>
      </c>
      <c r="Q878">
        <v>8100</v>
      </c>
      <c r="R878">
        <v>45.76</v>
      </c>
      <c r="S878" t="s">
        <v>182</v>
      </c>
      <c r="T878">
        <v>3200</v>
      </c>
      <c r="U878">
        <v>3.8</v>
      </c>
      <c r="V878" t="s">
        <v>42</v>
      </c>
    </row>
    <row r="879" spans="1:22" x14ac:dyDescent="0.3">
      <c r="A879" t="s">
        <v>3778</v>
      </c>
      <c r="B879" t="s">
        <v>1701</v>
      </c>
      <c r="C879" t="s">
        <v>1702</v>
      </c>
      <c r="D879" s="2">
        <v>46090</v>
      </c>
      <c r="E879" t="s">
        <v>161</v>
      </c>
      <c r="F879" t="s">
        <v>161</v>
      </c>
      <c r="G879" t="s">
        <v>48</v>
      </c>
      <c r="H879" t="s">
        <v>5470</v>
      </c>
      <c r="I879" t="s">
        <v>29</v>
      </c>
      <c r="J879" t="s">
        <v>30</v>
      </c>
      <c r="K879">
        <v>7</v>
      </c>
      <c r="L879">
        <v>34</v>
      </c>
      <c r="M879">
        <v>34500</v>
      </c>
      <c r="N879">
        <v>5200</v>
      </c>
      <c r="O879">
        <v>29300</v>
      </c>
      <c r="P879">
        <v>23800</v>
      </c>
      <c r="Q879">
        <v>5500</v>
      </c>
      <c r="R879">
        <v>18.77</v>
      </c>
      <c r="S879" t="s">
        <v>39</v>
      </c>
      <c r="T879">
        <v>3300</v>
      </c>
      <c r="U879">
        <v>3.2</v>
      </c>
      <c r="V879" t="s">
        <v>58</v>
      </c>
    </row>
    <row r="880" spans="1:22" x14ac:dyDescent="0.3">
      <c r="A880" t="s">
        <v>3697</v>
      </c>
      <c r="B880" t="s">
        <v>586</v>
      </c>
      <c r="C880" t="s">
        <v>587</v>
      </c>
      <c r="D880" s="2">
        <v>46090</v>
      </c>
      <c r="E880" t="s">
        <v>188</v>
      </c>
      <c r="F880" t="s">
        <v>188</v>
      </c>
      <c r="G880" t="s">
        <v>27</v>
      </c>
      <c r="H880" t="s">
        <v>229</v>
      </c>
      <c r="I880" t="s">
        <v>69</v>
      </c>
      <c r="J880" t="s">
        <v>70</v>
      </c>
      <c r="K880">
        <v>3</v>
      </c>
      <c r="L880">
        <v>28</v>
      </c>
      <c r="M880">
        <v>79800</v>
      </c>
      <c r="N880">
        <v>0</v>
      </c>
      <c r="O880">
        <v>79800</v>
      </c>
      <c r="P880">
        <v>37100</v>
      </c>
      <c r="Q880">
        <v>42700</v>
      </c>
      <c r="R880">
        <v>53.51</v>
      </c>
      <c r="S880" t="s">
        <v>58</v>
      </c>
      <c r="T880">
        <v>14000</v>
      </c>
      <c r="U880">
        <v>4.5</v>
      </c>
      <c r="V880" t="s">
        <v>58</v>
      </c>
    </row>
    <row r="881" spans="1:22" x14ac:dyDescent="0.3">
      <c r="A881" t="s">
        <v>1711</v>
      </c>
      <c r="B881" t="s">
        <v>1712</v>
      </c>
      <c r="C881" t="s">
        <v>1713</v>
      </c>
      <c r="D881" s="2">
        <v>46091</v>
      </c>
      <c r="E881" t="s">
        <v>26</v>
      </c>
      <c r="F881" t="s">
        <v>26</v>
      </c>
      <c r="G881" t="s">
        <v>27</v>
      </c>
      <c r="H881" t="s">
        <v>214</v>
      </c>
      <c r="I881" t="s">
        <v>29</v>
      </c>
      <c r="J881" t="s">
        <v>70</v>
      </c>
      <c r="K881">
        <v>7</v>
      </c>
      <c r="L881">
        <v>28</v>
      </c>
      <c r="M881">
        <v>52400</v>
      </c>
      <c r="N881">
        <v>5200</v>
      </c>
      <c r="O881">
        <v>47200</v>
      </c>
      <c r="P881">
        <v>38000</v>
      </c>
      <c r="Q881">
        <v>9200</v>
      </c>
      <c r="R881">
        <v>19.489999999999998</v>
      </c>
      <c r="S881" t="s">
        <v>39</v>
      </c>
      <c r="T881">
        <v>6300</v>
      </c>
      <c r="U881">
        <v>3.6</v>
      </c>
      <c r="V881" t="s">
        <v>82</v>
      </c>
    </row>
    <row r="882" spans="1:22" x14ac:dyDescent="0.3">
      <c r="A882" t="s">
        <v>3876</v>
      </c>
      <c r="B882" t="s">
        <v>1512</v>
      </c>
      <c r="C882" t="s">
        <v>1513</v>
      </c>
      <c r="D882" s="2">
        <v>46091</v>
      </c>
      <c r="E882" t="s">
        <v>282</v>
      </c>
      <c r="F882" t="s">
        <v>282</v>
      </c>
      <c r="G882" t="s">
        <v>48</v>
      </c>
      <c r="H882" t="s">
        <v>68</v>
      </c>
      <c r="I882" t="s">
        <v>69</v>
      </c>
      <c r="J882" t="s">
        <v>70</v>
      </c>
      <c r="K882">
        <v>9</v>
      </c>
      <c r="L882">
        <v>50</v>
      </c>
      <c r="M882">
        <v>120600</v>
      </c>
      <c r="N882">
        <v>6000</v>
      </c>
      <c r="O882">
        <v>114600</v>
      </c>
      <c r="P882">
        <v>80100</v>
      </c>
      <c r="Q882">
        <v>34500</v>
      </c>
      <c r="R882">
        <v>30.1</v>
      </c>
      <c r="S882" t="s">
        <v>79</v>
      </c>
      <c r="T882">
        <v>13200</v>
      </c>
      <c r="U882">
        <v>5</v>
      </c>
      <c r="V882" t="s">
        <v>58</v>
      </c>
    </row>
    <row r="883" spans="1:22" x14ac:dyDescent="0.3">
      <c r="A883" t="s">
        <v>3266</v>
      </c>
      <c r="B883" t="s">
        <v>3228</v>
      </c>
      <c r="C883" t="s">
        <v>3229</v>
      </c>
      <c r="D883" s="2">
        <v>46092</v>
      </c>
      <c r="E883" t="s">
        <v>282</v>
      </c>
      <c r="F883" t="s">
        <v>282</v>
      </c>
      <c r="G883" t="s">
        <v>118</v>
      </c>
      <c r="H883" t="s">
        <v>49</v>
      </c>
      <c r="I883" t="s">
        <v>69</v>
      </c>
      <c r="J883" t="s">
        <v>70</v>
      </c>
      <c r="K883">
        <v>10</v>
      </c>
      <c r="L883">
        <v>5</v>
      </c>
      <c r="M883">
        <v>31700</v>
      </c>
      <c r="N883">
        <v>6300</v>
      </c>
      <c r="O883">
        <v>25400</v>
      </c>
      <c r="P883">
        <v>24400</v>
      </c>
      <c r="Q883">
        <v>1000</v>
      </c>
      <c r="R883">
        <v>3.94</v>
      </c>
      <c r="S883" t="s">
        <v>79</v>
      </c>
      <c r="T883">
        <v>2000</v>
      </c>
      <c r="U883">
        <v>4.9000000000000004</v>
      </c>
      <c r="V883" t="s">
        <v>79</v>
      </c>
    </row>
    <row r="884" spans="1:22" x14ac:dyDescent="0.3">
      <c r="A884" t="s">
        <v>3606</v>
      </c>
      <c r="B884" t="s">
        <v>956</v>
      </c>
      <c r="C884" t="s">
        <v>957</v>
      </c>
      <c r="D884" s="2">
        <v>46092</v>
      </c>
      <c r="E884" t="s">
        <v>26</v>
      </c>
      <c r="F884" t="s">
        <v>26</v>
      </c>
      <c r="G884" t="s">
        <v>48</v>
      </c>
      <c r="H884" t="s">
        <v>229</v>
      </c>
      <c r="I884" t="s">
        <v>29</v>
      </c>
      <c r="J884" t="s">
        <v>30</v>
      </c>
      <c r="K884">
        <v>9</v>
      </c>
      <c r="L884">
        <v>46</v>
      </c>
      <c r="M884">
        <v>50000</v>
      </c>
      <c r="N884">
        <v>5000</v>
      </c>
      <c r="O884">
        <v>45000</v>
      </c>
      <c r="P884">
        <v>23800</v>
      </c>
      <c r="Q884">
        <v>21200</v>
      </c>
      <c r="R884">
        <v>47.11</v>
      </c>
      <c r="S884" t="s">
        <v>58</v>
      </c>
      <c r="T884">
        <v>6400</v>
      </c>
      <c r="U884">
        <v>4</v>
      </c>
      <c r="V884" t="s">
        <v>58</v>
      </c>
    </row>
    <row r="885" spans="1:22" x14ac:dyDescent="0.3">
      <c r="A885" t="s">
        <v>4923</v>
      </c>
      <c r="B885" t="s">
        <v>2621</v>
      </c>
      <c r="C885" t="s">
        <v>2622</v>
      </c>
      <c r="D885" s="2">
        <v>46093</v>
      </c>
      <c r="E885" t="s">
        <v>26</v>
      </c>
      <c r="F885" t="s">
        <v>26</v>
      </c>
      <c r="G885" t="s">
        <v>213</v>
      </c>
      <c r="H885" t="s">
        <v>5470</v>
      </c>
      <c r="I885" t="s">
        <v>29</v>
      </c>
      <c r="J885" t="s">
        <v>30</v>
      </c>
      <c r="K885">
        <v>3</v>
      </c>
      <c r="L885">
        <v>39</v>
      </c>
      <c r="M885">
        <v>41100</v>
      </c>
      <c r="N885">
        <v>0</v>
      </c>
      <c r="O885">
        <v>41100</v>
      </c>
      <c r="P885">
        <v>30000</v>
      </c>
      <c r="Q885">
        <v>11100</v>
      </c>
      <c r="R885">
        <v>27.01</v>
      </c>
      <c r="S885" t="s">
        <v>79</v>
      </c>
      <c r="T885">
        <v>2300</v>
      </c>
      <c r="U885">
        <v>4.4000000000000004</v>
      </c>
      <c r="V885" t="s">
        <v>114</v>
      </c>
    </row>
    <row r="886" spans="1:22" x14ac:dyDescent="0.3">
      <c r="A886" t="s">
        <v>4883</v>
      </c>
      <c r="B886" t="s">
        <v>539</v>
      </c>
      <c r="C886" t="s">
        <v>540</v>
      </c>
      <c r="D886" s="2">
        <v>46093</v>
      </c>
      <c r="E886" t="s">
        <v>134</v>
      </c>
      <c r="F886" t="s">
        <v>134</v>
      </c>
      <c r="G886" t="s">
        <v>27</v>
      </c>
      <c r="H886" t="s">
        <v>229</v>
      </c>
      <c r="I886" t="s">
        <v>69</v>
      </c>
      <c r="J886" t="s">
        <v>30</v>
      </c>
      <c r="K886">
        <v>3</v>
      </c>
      <c r="L886">
        <v>40</v>
      </c>
      <c r="M886">
        <v>48200</v>
      </c>
      <c r="N886">
        <v>2400</v>
      </c>
      <c r="O886">
        <v>45800</v>
      </c>
      <c r="P886">
        <v>21300</v>
      </c>
      <c r="Q886">
        <v>24500</v>
      </c>
      <c r="R886">
        <v>53.49</v>
      </c>
      <c r="S886" t="s">
        <v>97</v>
      </c>
      <c r="T886">
        <v>7100</v>
      </c>
      <c r="U886">
        <v>3.7</v>
      </c>
      <c r="V886" t="s">
        <v>79</v>
      </c>
    </row>
    <row r="887" spans="1:22" x14ac:dyDescent="0.3">
      <c r="A887" t="s">
        <v>5007</v>
      </c>
      <c r="B887" t="s">
        <v>738</v>
      </c>
      <c r="C887" t="s">
        <v>739</v>
      </c>
      <c r="D887" s="2">
        <v>46094</v>
      </c>
      <c r="E887" t="s">
        <v>26</v>
      </c>
      <c r="F887" t="s">
        <v>26</v>
      </c>
      <c r="G887" t="s">
        <v>147</v>
      </c>
      <c r="H887" t="s">
        <v>68</v>
      </c>
      <c r="I887" t="s">
        <v>69</v>
      </c>
      <c r="J887" t="s">
        <v>257</v>
      </c>
      <c r="K887">
        <v>6</v>
      </c>
      <c r="L887">
        <v>30</v>
      </c>
      <c r="M887">
        <v>18300</v>
      </c>
      <c r="N887">
        <v>0</v>
      </c>
      <c r="O887">
        <v>18300</v>
      </c>
      <c r="P887">
        <v>8600</v>
      </c>
      <c r="Q887">
        <v>9700</v>
      </c>
      <c r="R887">
        <v>53.01</v>
      </c>
      <c r="S887" t="s">
        <v>182</v>
      </c>
      <c r="T887">
        <v>1200</v>
      </c>
      <c r="U887">
        <v>4.2</v>
      </c>
      <c r="V887" t="s">
        <v>114</v>
      </c>
    </row>
    <row r="888" spans="1:22" x14ac:dyDescent="0.3">
      <c r="A888" t="s">
        <v>5161</v>
      </c>
      <c r="B888" t="s">
        <v>5162</v>
      </c>
      <c r="C888" t="s">
        <v>5163</v>
      </c>
      <c r="D888" s="2">
        <v>46095</v>
      </c>
      <c r="E888" t="s">
        <v>244</v>
      </c>
      <c r="F888" t="s">
        <v>244</v>
      </c>
      <c r="G888" t="s">
        <v>103</v>
      </c>
      <c r="H888" t="s">
        <v>214</v>
      </c>
      <c r="I888" t="s">
        <v>29</v>
      </c>
      <c r="J888" t="s">
        <v>30</v>
      </c>
      <c r="K888">
        <v>8</v>
      </c>
      <c r="L888">
        <v>25</v>
      </c>
      <c r="M888">
        <v>84100</v>
      </c>
      <c r="N888">
        <v>8400</v>
      </c>
      <c r="O888">
        <v>75700</v>
      </c>
      <c r="P888">
        <v>40100</v>
      </c>
      <c r="Q888">
        <v>35600</v>
      </c>
      <c r="R888">
        <v>47.03</v>
      </c>
      <c r="S888" t="s">
        <v>126</v>
      </c>
      <c r="T888">
        <v>6400</v>
      </c>
      <c r="U888">
        <v>4</v>
      </c>
      <c r="V888" t="s">
        <v>42</v>
      </c>
    </row>
    <row r="889" spans="1:22" x14ac:dyDescent="0.3">
      <c r="A889" t="s">
        <v>4763</v>
      </c>
      <c r="B889" t="s">
        <v>2563</v>
      </c>
      <c r="C889" t="s">
        <v>2564</v>
      </c>
      <c r="D889" s="2">
        <v>46095</v>
      </c>
      <c r="E889" t="s">
        <v>161</v>
      </c>
      <c r="F889" t="s">
        <v>161</v>
      </c>
      <c r="G889" t="s">
        <v>27</v>
      </c>
      <c r="H889" t="s">
        <v>229</v>
      </c>
      <c r="I889" t="s">
        <v>69</v>
      </c>
      <c r="J889" t="s">
        <v>30</v>
      </c>
      <c r="K889">
        <v>10</v>
      </c>
      <c r="L889">
        <v>27</v>
      </c>
      <c r="M889">
        <v>43600</v>
      </c>
      <c r="N889">
        <v>4400</v>
      </c>
      <c r="O889">
        <v>39200</v>
      </c>
      <c r="P889">
        <v>29400</v>
      </c>
      <c r="Q889">
        <v>9800</v>
      </c>
      <c r="R889">
        <v>25</v>
      </c>
      <c r="S889" t="s">
        <v>126</v>
      </c>
      <c r="T889">
        <v>5700</v>
      </c>
      <c r="U889">
        <v>4.0999999999999996</v>
      </c>
      <c r="V889" t="s">
        <v>114</v>
      </c>
    </row>
    <row r="890" spans="1:22" x14ac:dyDescent="0.3">
      <c r="A890" t="s">
        <v>3594</v>
      </c>
      <c r="B890" t="s">
        <v>3595</v>
      </c>
      <c r="C890" t="s">
        <v>3596</v>
      </c>
      <c r="D890" s="2">
        <v>46096</v>
      </c>
      <c r="E890" t="s">
        <v>161</v>
      </c>
      <c r="F890" t="s">
        <v>161</v>
      </c>
      <c r="G890" t="s">
        <v>118</v>
      </c>
      <c r="H890" t="s">
        <v>68</v>
      </c>
      <c r="I890" t="s">
        <v>29</v>
      </c>
      <c r="J890" t="s">
        <v>162</v>
      </c>
      <c r="K890">
        <v>5</v>
      </c>
      <c r="L890">
        <v>70</v>
      </c>
      <c r="M890">
        <v>36600</v>
      </c>
      <c r="N890">
        <v>1800</v>
      </c>
      <c r="O890">
        <v>34800</v>
      </c>
      <c r="P890">
        <v>17800</v>
      </c>
      <c r="Q890">
        <v>17000</v>
      </c>
      <c r="R890">
        <v>48.85</v>
      </c>
      <c r="S890" t="s">
        <v>39</v>
      </c>
      <c r="T890">
        <v>4700</v>
      </c>
      <c r="U890">
        <v>4.8</v>
      </c>
      <c r="V890" t="s">
        <v>79</v>
      </c>
    </row>
    <row r="891" spans="1:22" x14ac:dyDescent="0.3">
      <c r="A891" t="s">
        <v>4418</v>
      </c>
      <c r="B891" t="s">
        <v>484</v>
      </c>
      <c r="C891" t="s">
        <v>485</v>
      </c>
      <c r="D891" s="2">
        <v>46096</v>
      </c>
      <c r="E891" t="s">
        <v>228</v>
      </c>
      <c r="F891" t="s">
        <v>228</v>
      </c>
      <c r="G891" t="s">
        <v>48</v>
      </c>
      <c r="H891" t="s">
        <v>68</v>
      </c>
      <c r="I891" t="s">
        <v>29</v>
      </c>
      <c r="J891" t="s">
        <v>30</v>
      </c>
      <c r="K891">
        <v>10</v>
      </c>
      <c r="L891">
        <v>26</v>
      </c>
      <c r="M891">
        <v>63700</v>
      </c>
      <c r="N891">
        <v>12700</v>
      </c>
      <c r="O891">
        <v>51000</v>
      </c>
      <c r="P891">
        <v>44000</v>
      </c>
      <c r="Q891">
        <v>7000</v>
      </c>
      <c r="R891">
        <v>13.73</v>
      </c>
      <c r="S891" t="s">
        <v>97</v>
      </c>
      <c r="T891">
        <v>4100</v>
      </c>
      <c r="U891">
        <v>5</v>
      </c>
      <c r="V891" t="s">
        <v>82</v>
      </c>
    </row>
    <row r="892" spans="1:22" x14ac:dyDescent="0.3">
      <c r="A892" t="s">
        <v>4348</v>
      </c>
      <c r="B892" t="s">
        <v>3028</v>
      </c>
      <c r="C892" t="s">
        <v>3029</v>
      </c>
      <c r="D892" s="2">
        <v>46097</v>
      </c>
      <c r="E892" t="s">
        <v>282</v>
      </c>
      <c r="F892" t="s">
        <v>282</v>
      </c>
      <c r="G892" t="s">
        <v>213</v>
      </c>
      <c r="H892" t="s">
        <v>49</v>
      </c>
      <c r="I892" t="s">
        <v>29</v>
      </c>
      <c r="J892" t="s">
        <v>30</v>
      </c>
      <c r="K892">
        <v>5</v>
      </c>
      <c r="L892">
        <v>37</v>
      </c>
      <c r="M892">
        <v>48200</v>
      </c>
      <c r="N892">
        <v>0</v>
      </c>
      <c r="O892">
        <v>48200</v>
      </c>
      <c r="P892">
        <v>36700</v>
      </c>
      <c r="Q892">
        <v>11500</v>
      </c>
      <c r="R892">
        <v>23.86</v>
      </c>
      <c r="S892" t="s">
        <v>126</v>
      </c>
      <c r="T892">
        <v>8200</v>
      </c>
      <c r="U892">
        <v>4.2</v>
      </c>
      <c r="V892" t="s">
        <v>42</v>
      </c>
    </row>
    <row r="893" spans="1:22" x14ac:dyDescent="0.3">
      <c r="A893" t="s">
        <v>834</v>
      </c>
      <c r="B893" t="s">
        <v>290</v>
      </c>
      <c r="C893" t="s">
        <v>291</v>
      </c>
      <c r="D893" s="2">
        <v>46097</v>
      </c>
      <c r="E893" t="s">
        <v>66</v>
      </c>
      <c r="F893" t="s">
        <v>66</v>
      </c>
      <c r="G893" t="s">
        <v>27</v>
      </c>
      <c r="H893" t="s">
        <v>49</v>
      </c>
      <c r="I893" t="s">
        <v>69</v>
      </c>
      <c r="J893" t="s">
        <v>30</v>
      </c>
      <c r="K893">
        <v>6</v>
      </c>
      <c r="L893">
        <v>49</v>
      </c>
      <c r="M893">
        <v>68100</v>
      </c>
      <c r="N893">
        <v>13600</v>
      </c>
      <c r="O893">
        <v>54500</v>
      </c>
      <c r="P893">
        <v>30900</v>
      </c>
      <c r="Q893">
        <v>23600</v>
      </c>
      <c r="R893">
        <v>43.3</v>
      </c>
      <c r="S893" t="s">
        <v>97</v>
      </c>
      <c r="T893">
        <v>8800</v>
      </c>
      <c r="U893">
        <v>4.2</v>
      </c>
      <c r="V893" t="s">
        <v>114</v>
      </c>
    </row>
    <row r="894" spans="1:22" x14ac:dyDescent="0.3">
      <c r="A894" t="s">
        <v>4485</v>
      </c>
      <c r="B894" t="s">
        <v>1153</v>
      </c>
      <c r="C894" t="s">
        <v>1154</v>
      </c>
      <c r="D894" s="2">
        <v>46099</v>
      </c>
      <c r="E894" t="s">
        <v>188</v>
      </c>
      <c r="F894" t="s">
        <v>188</v>
      </c>
      <c r="G894" t="s">
        <v>103</v>
      </c>
      <c r="H894" t="s">
        <v>49</v>
      </c>
      <c r="I894" t="s">
        <v>69</v>
      </c>
      <c r="J894" t="s">
        <v>162</v>
      </c>
      <c r="K894">
        <v>2</v>
      </c>
      <c r="L894">
        <v>31</v>
      </c>
      <c r="M894">
        <v>21700</v>
      </c>
      <c r="N894">
        <v>3300</v>
      </c>
      <c r="O894">
        <v>18400</v>
      </c>
      <c r="P894">
        <v>13000</v>
      </c>
      <c r="Q894">
        <v>5400</v>
      </c>
      <c r="R894">
        <v>29.35</v>
      </c>
      <c r="S894" t="s">
        <v>182</v>
      </c>
      <c r="T894">
        <v>1800</v>
      </c>
      <c r="U894">
        <v>4</v>
      </c>
      <c r="V894" t="s">
        <v>58</v>
      </c>
    </row>
    <row r="895" spans="1:22" x14ac:dyDescent="0.3">
      <c r="A895" t="s">
        <v>2829</v>
      </c>
      <c r="B895" t="s">
        <v>1180</v>
      </c>
      <c r="C895" t="s">
        <v>1181</v>
      </c>
      <c r="D895" s="2">
        <v>46100</v>
      </c>
      <c r="E895" t="s">
        <v>134</v>
      </c>
      <c r="F895" t="s">
        <v>134</v>
      </c>
      <c r="G895" t="s">
        <v>580</v>
      </c>
      <c r="H895" t="s">
        <v>88</v>
      </c>
      <c r="I895" t="s">
        <v>69</v>
      </c>
      <c r="J895" t="s">
        <v>30</v>
      </c>
      <c r="K895">
        <v>8</v>
      </c>
      <c r="L895">
        <v>66</v>
      </c>
      <c r="M895">
        <v>24200</v>
      </c>
      <c r="N895">
        <v>3600</v>
      </c>
      <c r="O895">
        <v>20600</v>
      </c>
      <c r="P895">
        <v>16700</v>
      </c>
      <c r="Q895">
        <v>3900</v>
      </c>
      <c r="R895">
        <v>18.93</v>
      </c>
      <c r="S895" t="s">
        <v>79</v>
      </c>
      <c r="T895">
        <v>2900</v>
      </c>
      <c r="U895">
        <v>4.3</v>
      </c>
      <c r="V895" t="s">
        <v>79</v>
      </c>
    </row>
    <row r="896" spans="1:22" x14ac:dyDescent="0.3">
      <c r="A896" t="s">
        <v>4993</v>
      </c>
      <c r="B896" t="s">
        <v>2563</v>
      </c>
      <c r="C896" t="s">
        <v>2564</v>
      </c>
      <c r="D896" s="2">
        <v>46102</v>
      </c>
      <c r="E896" t="s">
        <v>134</v>
      </c>
      <c r="F896" t="s">
        <v>134</v>
      </c>
      <c r="G896" t="s">
        <v>103</v>
      </c>
      <c r="H896" t="s">
        <v>229</v>
      </c>
      <c r="I896" t="s">
        <v>69</v>
      </c>
      <c r="J896" t="s">
        <v>70</v>
      </c>
      <c r="K896">
        <v>7</v>
      </c>
      <c r="L896">
        <v>46</v>
      </c>
      <c r="M896">
        <v>22600</v>
      </c>
      <c r="N896">
        <v>2300</v>
      </c>
      <c r="O896">
        <v>20300</v>
      </c>
      <c r="P896">
        <v>15000</v>
      </c>
      <c r="Q896">
        <v>5300</v>
      </c>
      <c r="R896">
        <v>26.11</v>
      </c>
      <c r="S896" t="s">
        <v>97</v>
      </c>
      <c r="T896">
        <v>1800</v>
      </c>
      <c r="U896">
        <v>5</v>
      </c>
      <c r="V896" t="s">
        <v>58</v>
      </c>
    </row>
    <row r="897" spans="1:22" x14ac:dyDescent="0.3">
      <c r="A897" t="s">
        <v>4993</v>
      </c>
      <c r="B897" t="s">
        <v>2563</v>
      </c>
      <c r="C897" t="s">
        <v>2564</v>
      </c>
      <c r="D897" s="2">
        <v>46102</v>
      </c>
      <c r="E897" t="s">
        <v>134</v>
      </c>
      <c r="F897" t="s">
        <v>134</v>
      </c>
      <c r="G897" t="s">
        <v>103</v>
      </c>
      <c r="H897" t="s">
        <v>229</v>
      </c>
      <c r="I897" t="s">
        <v>69</v>
      </c>
      <c r="J897" t="s">
        <v>70</v>
      </c>
      <c r="K897">
        <v>7</v>
      </c>
      <c r="L897">
        <v>46</v>
      </c>
      <c r="M897">
        <v>22600</v>
      </c>
      <c r="N897">
        <v>2300</v>
      </c>
      <c r="O897">
        <v>20300</v>
      </c>
      <c r="P897">
        <v>15000</v>
      </c>
      <c r="Q897">
        <v>5300</v>
      </c>
      <c r="R897">
        <v>26.11</v>
      </c>
      <c r="S897" t="s">
        <v>97</v>
      </c>
      <c r="T897">
        <v>1800</v>
      </c>
      <c r="U897">
        <v>5</v>
      </c>
      <c r="V897" t="s">
        <v>58</v>
      </c>
    </row>
    <row r="898" spans="1:22" x14ac:dyDescent="0.3">
      <c r="A898" t="s">
        <v>3434</v>
      </c>
      <c r="B898" t="s">
        <v>3435</v>
      </c>
      <c r="C898" t="s">
        <v>3436</v>
      </c>
      <c r="D898" s="2">
        <v>46102</v>
      </c>
      <c r="E898" t="s">
        <v>134</v>
      </c>
      <c r="F898" t="s">
        <v>134</v>
      </c>
      <c r="G898" t="s">
        <v>147</v>
      </c>
      <c r="H898" t="s">
        <v>28</v>
      </c>
      <c r="I898" t="s">
        <v>29</v>
      </c>
      <c r="J898" t="s">
        <v>162</v>
      </c>
      <c r="K898">
        <v>5</v>
      </c>
      <c r="L898">
        <v>47</v>
      </c>
      <c r="M898">
        <v>89700</v>
      </c>
      <c r="N898">
        <v>17900</v>
      </c>
      <c r="O898">
        <v>71800</v>
      </c>
      <c r="P898">
        <v>49900</v>
      </c>
      <c r="Q898">
        <v>21900</v>
      </c>
      <c r="R898">
        <v>30.5</v>
      </c>
      <c r="S898" t="s">
        <v>39</v>
      </c>
      <c r="T898">
        <v>3700</v>
      </c>
      <c r="U898">
        <v>3.7</v>
      </c>
      <c r="V898" t="s">
        <v>42</v>
      </c>
    </row>
    <row r="899" spans="1:22" x14ac:dyDescent="0.3">
      <c r="A899" t="s">
        <v>3014</v>
      </c>
      <c r="B899" t="s">
        <v>3015</v>
      </c>
      <c r="C899" t="s">
        <v>3016</v>
      </c>
      <c r="D899" s="2">
        <v>46102</v>
      </c>
      <c r="E899" t="s">
        <v>188</v>
      </c>
      <c r="F899" t="s">
        <v>188</v>
      </c>
      <c r="G899" t="s">
        <v>103</v>
      </c>
      <c r="H899" t="s">
        <v>88</v>
      </c>
      <c r="I899" t="s">
        <v>69</v>
      </c>
      <c r="J899" t="s">
        <v>162</v>
      </c>
      <c r="K899">
        <v>8</v>
      </c>
      <c r="L899">
        <v>44</v>
      </c>
      <c r="M899">
        <v>52600</v>
      </c>
      <c r="N899">
        <v>2600</v>
      </c>
      <c r="O899">
        <v>50000</v>
      </c>
      <c r="P899">
        <v>41800</v>
      </c>
      <c r="Q899">
        <v>8200</v>
      </c>
      <c r="R899">
        <v>16.399999999999999</v>
      </c>
      <c r="S899" t="s">
        <v>97</v>
      </c>
      <c r="T899">
        <v>5900</v>
      </c>
      <c r="U899">
        <v>3.8</v>
      </c>
      <c r="V899" t="s">
        <v>79</v>
      </c>
    </row>
    <row r="900" spans="1:22" x14ac:dyDescent="0.3">
      <c r="A900" t="s">
        <v>4233</v>
      </c>
      <c r="B900" t="s">
        <v>2336</v>
      </c>
      <c r="C900" t="s">
        <v>2337</v>
      </c>
      <c r="D900" s="2">
        <v>46103</v>
      </c>
      <c r="E900" t="s">
        <v>26</v>
      </c>
      <c r="F900" t="s">
        <v>26</v>
      </c>
      <c r="G900" t="s">
        <v>48</v>
      </c>
      <c r="H900" t="s">
        <v>268</v>
      </c>
      <c r="I900" t="s">
        <v>29</v>
      </c>
      <c r="J900" t="s">
        <v>30</v>
      </c>
      <c r="K900">
        <v>2</v>
      </c>
      <c r="L900">
        <v>37</v>
      </c>
      <c r="M900">
        <v>26200</v>
      </c>
      <c r="N900">
        <v>2600</v>
      </c>
      <c r="O900">
        <v>23600</v>
      </c>
      <c r="P900">
        <v>20700</v>
      </c>
      <c r="Q900">
        <v>2900</v>
      </c>
      <c r="R900">
        <v>12.29</v>
      </c>
      <c r="S900" t="s">
        <v>79</v>
      </c>
      <c r="T900">
        <v>1600</v>
      </c>
      <c r="U900">
        <v>4.3</v>
      </c>
      <c r="V900" t="s">
        <v>82</v>
      </c>
    </row>
    <row r="901" spans="1:22" x14ac:dyDescent="0.3">
      <c r="A901" t="s">
        <v>3536</v>
      </c>
      <c r="B901" t="s">
        <v>3537</v>
      </c>
      <c r="C901" t="s">
        <v>3538</v>
      </c>
      <c r="D901" s="2">
        <v>46104</v>
      </c>
      <c r="E901" t="s">
        <v>282</v>
      </c>
      <c r="F901" t="s">
        <v>282</v>
      </c>
      <c r="G901" t="s">
        <v>27</v>
      </c>
      <c r="H901" t="s">
        <v>229</v>
      </c>
      <c r="I901" t="s">
        <v>69</v>
      </c>
      <c r="J901" t="s">
        <v>70</v>
      </c>
      <c r="K901">
        <v>6</v>
      </c>
      <c r="L901">
        <v>5</v>
      </c>
      <c r="M901">
        <v>107100</v>
      </c>
      <c r="N901">
        <v>0</v>
      </c>
      <c r="O901">
        <v>107100</v>
      </c>
      <c r="P901">
        <v>47900</v>
      </c>
      <c r="Q901">
        <v>59200</v>
      </c>
      <c r="R901">
        <v>55.28</v>
      </c>
      <c r="S901" t="s">
        <v>182</v>
      </c>
      <c r="T901">
        <v>5500</v>
      </c>
      <c r="U901">
        <v>5</v>
      </c>
      <c r="V901" t="s">
        <v>58</v>
      </c>
    </row>
    <row r="902" spans="1:22" x14ac:dyDescent="0.3">
      <c r="A902" t="s">
        <v>4173</v>
      </c>
      <c r="B902" t="s">
        <v>2657</v>
      </c>
      <c r="C902" t="s">
        <v>2658</v>
      </c>
      <c r="D902" s="2">
        <v>46104</v>
      </c>
      <c r="E902" t="s">
        <v>228</v>
      </c>
      <c r="F902" t="s">
        <v>228</v>
      </c>
      <c r="G902" t="s">
        <v>580</v>
      </c>
      <c r="H902" t="s">
        <v>229</v>
      </c>
      <c r="I902" t="s">
        <v>29</v>
      </c>
      <c r="J902" t="s">
        <v>70</v>
      </c>
      <c r="K902">
        <v>6</v>
      </c>
      <c r="L902">
        <v>41</v>
      </c>
      <c r="M902">
        <v>37400</v>
      </c>
      <c r="N902">
        <v>7500</v>
      </c>
      <c r="O902">
        <v>29900</v>
      </c>
      <c r="P902">
        <v>18300</v>
      </c>
      <c r="Q902">
        <v>11600</v>
      </c>
      <c r="R902">
        <v>38.799999999999997</v>
      </c>
      <c r="S902" t="s">
        <v>97</v>
      </c>
      <c r="T902">
        <v>2500</v>
      </c>
      <c r="U902">
        <v>4.0999999999999996</v>
      </c>
      <c r="V902" t="s">
        <v>42</v>
      </c>
    </row>
    <row r="903" spans="1:22" x14ac:dyDescent="0.3">
      <c r="A903" t="s">
        <v>5060</v>
      </c>
      <c r="B903" t="s">
        <v>910</v>
      </c>
      <c r="C903" t="s">
        <v>911</v>
      </c>
      <c r="D903" s="2">
        <v>46105</v>
      </c>
      <c r="E903" t="s">
        <v>134</v>
      </c>
      <c r="F903" t="s">
        <v>134</v>
      </c>
      <c r="G903" t="s">
        <v>67</v>
      </c>
      <c r="H903" t="s">
        <v>88</v>
      </c>
      <c r="I903" t="s">
        <v>69</v>
      </c>
      <c r="J903" t="s">
        <v>70</v>
      </c>
      <c r="K903">
        <v>6</v>
      </c>
      <c r="L903">
        <v>49</v>
      </c>
      <c r="M903">
        <v>35400</v>
      </c>
      <c r="N903">
        <v>5300</v>
      </c>
      <c r="O903">
        <v>30100</v>
      </c>
      <c r="P903">
        <v>25400</v>
      </c>
      <c r="Q903">
        <v>4700</v>
      </c>
      <c r="R903">
        <v>15.61</v>
      </c>
      <c r="S903" t="s">
        <v>182</v>
      </c>
      <c r="T903">
        <v>5000</v>
      </c>
      <c r="U903">
        <v>4.4000000000000004</v>
      </c>
      <c r="V903" t="s">
        <v>79</v>
      </c>
    </row>
    <row r="904" spans="1:22" x14ac:dyDescent="0.3">
      <c r="A904" t="s">
        <v>1342</v>
      </c>
      <c r="B904" t="s">
        <v>1343</v>
      </c>
      <c r="C904" t="s">
        <v>1344</v>
      </c>
      <c r="D904" s="2">
        <v>46106</v>
      </c>
      <c r="E904" t="s">
        <v>228</v>
      </c>
      <c r="F904" t="s">
        <v>228</v>
      </c>
      <c r="G904" t="s">
        <v>580</v>
      </c>
      <c r="H904" t="s">
        <v>268</v>
      </c>
      <c r="I904" t="s">
        <v>69</v>
      </c>
      <c r="J904" t="s">
        <v>30</v>
      </c>
      <c r="K904">
        <v>2</v>
      </c>
      <c r="L904">
        <v>27</v>
      </c>
      <c r="M904">
        <v>50000</v>
      </c>
      <c r="N904">
        <v>2500</v>
      </c>
      <c r="O904">
        <v>47500</v>
      </c>
      <c r="P904">
        <v>22700</v>
      </c>
      <c r="Q904">
        <v>24800</v>
      </c>
      <c r="R904">
        <v>52.21</v>
      </c>
      <c r="S904" t="s">
        <v>97</v>
      </c>
      <c r="T904">
        <v>6800</v>
      </c>
      <c r="U904">
        <v>5</v>
      </c>
      <c r="V904" t="s">
        <v>79</v>
      </c>
    </row>
    <row r="905" spans="1:22" x14ac:dyDescent="0.3">
      <c r="A905" t="s">
        <v>3599</v>
      </c>
      <c r="B905" t="s">
        <v>1251</v>
      </c>
      <c r="C905" t="s">
        <v>1252</v>
      </c>
      <c r="D905" s="2">
        <v>46106</v>
      </c>
      <c r="E905" t="s">
        <v>26</v>
      </c>
      <c r="F905" t="s">
        <v>26</v>
      </c>
      <c r="G905" t="s">
        <v>27</v>
      </c>
      <c r="H905" t="s">
        <v>68</v>
      </c>
      <c r="I905" t="s">
        <v>69</v>
      </c>
      <c r="J905" t="s">
        <v>70</v>
      </c>
      <c r="K905">
        <v>10</v>
      </c>
      <c r="M905">
        <v>112600</v>
      </c>
      <c r="N905">
        <v>5600</v>
      </c>
      <c r="O905">
        <v>107000</v>
      </c>
      <c r="P905">
        <v>73300</v>
      </c>
      <c r="Q905">
        <v>33700</v>
      </c>
      <c r="R905">
        <v>31.5</v>
      </c>
      <c r="S905" t="s">
        <v>58</v>
      </c>
      <c r="T905">
        <v>13300</v>
      </c>
      <c r="U905">
        <v>4.9000000000000004</v>
      </c>
      <c r="V905" t="s">
        <v>79</v>
      </c>
    </row>
    <row r="906" spans="1:22" x14ac:dyDescent="0.3">
      <c r="A906" t="s">
        <v>2904</v>
      </c>
      <c r="B906" t="s">
        <v>2905</v>
      </c>
      <c r="C906" t="s">
        <v>2906</v>
      </c>
      <c r="D906" s="2">
        <v>46106</v>
      </c>
      <c r="E906" t="s">
        <v>66</v>
      </c>
      <c r="F906" t="s">
        <v>66</v>
      </c>
      <c r="G906" t="s">
        <v>147</v>
      </c>
      <c r="H906" t="s">
        <v>214</v>
      </c>
      <c r="I906" t="s">
        <v>29</v>
      </c>
      <c r="J906" t="s">
        <v>30</v>
      </c>
      <c r="K906">
        <v>2</v>
      </c>
      <c r="L906">
        <v>29</v>
      </c>
      <c r="M906">
        <v>30400</v>
      </c>
      <c r="N906">
        <v>4600</v>
      </c>
      <c r="O906">
        <v>25800</v>
      </c>
      <c r="P906">
        <v>20100</v>
      </c>
      <c r="Q906">
        <v>5700</v>
      </c>
      <c r="R906">
        <v>22.09</v>
      </c>
      <c r="S906" t="s">
        <v>79</v>
      </c>
      <c r="T906">
        <v>3400</v>
      </c>
      <c r="U906">
        <v>4.2</v>
      </c>
      <c r="V906" t="s">
        <v>82</v>
      </c>
    </row>
    <row r="907" spans="1:22" x14ac:dyDescent="0.3">
      <c r="A907" t="s">
        <v>5395</v>
      </c>
      <c r="B907" t="s">
        <v>2959</v>
      </c>
      <c r="C907" t="s">
        <v>2960</v>
      </c>
      <c r="D907" s="2">
        <v>46107</v>
      </c>
      <c r="E907" t="s">
        <v>188</v>
      </c>
      <c r="F907" t="s">
        <v>188</v>
      </c>
      <c r="G907" t="s">
        <v>103</v>
      </c>
      <c r="H907" t="s">
        <v>268</v>
      </c>
      <c r="I907" t="s">
        <v>69</v>
      </c>
      <c r="J907" t="s">
        <v>162</v>
      </c>
      <c r="K907">
        <v>2</v>
      </c>
      <c r="L907">
        <v>7</v>
      </c>
      <c r="M907">
        <v>31800</v>
      </c>
      <c r="N907">
        <v>4800</v>
      </c>
      <c r="O907">
        <v>27000</v>
      </c>
      <c r="P907">
        <v>21900</v>
      </c>
      <c r="Q907">
        <v>5100</v>
      </c>
      <c r="R907">
        <v>18.89</v>
      </c>
      <c r="S907" t="s">
        <v>5471</v>
      </c>
      <c r="T907">
        <v>2200</v>
      </c>
      <c r="U907">
        <v>4</v>
      </c>
      <c r="V907" t="s">
        <v>114</v>
      </c>
    </row>
    <row r="908" spans="1:22" x14ac:dyDescent="0.3">
      <c r="A908" t="s">
        <v>5308</v>
      </c>
      <c r="B908" t="s">
        <v>2312</v>
      </c>
      <c r="C908" t="s">
        <v>2313</v>
      </c>
      <c r="D908" s="2">
        <v>46108</v>
      </c>
      <c r="E908" t="s">
        <v>134</v>
      </c>
      <c r="F908" t="s">
        <v>134</v>
      </c>
      <c r="G908" t="s">
        <v>103</v>
      </c>
      <c r="H908" t="s">
        <v>88</v>
      </c>
      <c r="I908" t="s">
        <v>29</v>
      </c>
      <c r="J908" t="s">
        <v>30</v>
      </c>
      <c r="K908">
        <v>5</v>
      </c>
      <c r="L908">
        <v>70</v>
      </c>
      <c r="M908">
        <v>42400</v>
      </c>
      <c r="N908">
        <v>8500</v>
      </c>
      <c r="O908">
        <v>33900</v>
      </c>
      <c r="P908">
        <v>28000</v>
      </c>
      <c r="Q908">
        <v>5900</v>
      </c>
      <c r="R908">
        <v>17.399999999999999</v>
      </c>
      <c r="S908" t="s">
        <v>182</v>
      </c>
      <c r="T908">
        <v>5800</v>
      </c>
      <c r="U908">
        <v>4.5</v>
      </c>
      <c r="V908" t="s">
        <v>79</v>
      </c>
    </row>
    <row r="909" spans="1:22" x14ac:dyDescent="0.3">
      <c r="A909" t="s">
        <v>5148</v>
      </c>
      <c r="B909" t="s">
        <v>1754</v>
      </c>
      <c r="C909" t="s">
        <v>1755</v>
      </c>
      <c r="D909" s="2">
        <v>46108</v>
      </c>
      <c r="E909" t="s">
        <v>66</v>
      </c>
      <c r="F909" t="s">
        <v>66</v>
      </c>
      <c r="G909" t="s">
        <v>580</v>
      </c>
      <c r="H909" t="s">
        <v>88</v>
      </c>
      <c r="I909" t="s">
        <v>69</v>
      </c>
      <c r="J909" t="s">
        <v>257</v>
      </c>
      <c r="K909">
        <v>3</v>
      </c>
      <c r="L909">
        <v>40</v>
      </c>
      <c r="M909">
        <v>46000</v>
      </c>
      <c r="N909">
        <v>2300</v>
      </c>
      <c r="O909">
        <v>43700</v>
      </c>
      <c r="P909">
        <v>34600</v>
      </c>
      <c r="Q909">
        <v>9100</v>
      </c>
      <c r="R909">
        <v>20.82</v>
      </c>
      <c r="S909" t="s">
        <v>126</v>
      </c>
      <c r="T909">
        <v>4200</v>
      </c>
      <c r="U909">
        <v>3.7</v>
      </c>
      <c r="V909" t="s">
        <v>58</v>
      </c>
    </row>
    <row r="910" spans="1:22" x14ac:dyDescent="0.3">
      <c r="A910" t="s">
        <v>4948</v>
      </c>
      <c r="B910" t="s">
        <v>570</v>
      </c>
      <c r="C910" t="s">
        <v>571</v>
      </c>
      <c r="D910" s="2">
        <v>46108</v>
      </c>
      <c r="E910" t="s">
        <v>228</v>
      </c>
      <c r="F910" t="s">
        <v>228</v>
      </c>
      <c r="G910" t="s">
        <v>67</v>
      </c>
      <c r="H910" t="s">
        <v>5470</v>
      </c>
      <c r="I910" t="s">
        <v>69</v>
      </c>
      <c r="J910" t="s">
        <v>70</v>
      </c>
      <c r="K910">
        <v>8</v>
      </c>
      <c r="L910">
        <v>39</v>
      </c>
      <c r="M910">
        <v>33300</v>
      </c>
      <c r="N910">
        <v>6700</v>
      </c>
      <c r="O910">
        <v>26600</v>
      </c>
      <c r="P910">
        <v>23400</v>
      </c>
      <c r="Q910">
        <v>3200</v>
      </c>
      <c r="R910">
        <v>12.03</v>
      </c>
      <c r="S910" t="s">
        <v>79</v>
      </c>
      <c r="T910">
        <v>2200</v>
      </c>
      <c r="U910">
        <v>3.9</v>
      </c>
      <c r="V910" t="s">
        <v>58</v>
      </c>
    </row>
    <row r="911" spans="1:22" x14ac:dyDescent="0.3">
      <c r="A911" t="s">
        <v>2503</v>
      </c>
      <c r="B911" t="s">
        <v>2504</v>
      </c>
      <c r="C911" t="s">
        <v>2505</v>
      </c>
      <c r="D911" s="2">
        <v>46109</v>
      </c>
      <c r="E911" t="s">
        <v>26</v>
      </c>
      <c r="F911" t="s">
        <v>26</v>
      </c>
      <c r="G911" t="s">
        <v>147</v>
      </c>
      <c r="H911" t="s">
        <v>49</v>
      </c>
      <c r="I911" t="s">
        <v>69</v>
      </c>
      <c r="J911" t="s">
        <v>30</v>
      </c>
      <c r="K911">
        <v>2</v>
      </c>
      <c r="L911">
        <v>22</v>
      </c>
      <c r="M911">
        <v>37900</v>
      </c>
      <c r="N911">
        <v>3800</v>
      </c>
      <c r="O911">
        <v>34100</v>
      </c>
      <c r="P911">
        <v>24300</v>
      </c>
      <c r="Q911">
        <v>9800</v>
      </c>
      <c r="R911">
        <v>28.74</v>
      </c>
      <c r="S911" t="s">
        <v>97</v>
      </c>
      <c r="T911">
        <v>5400</v>
      </c>
      <c r="U911">
        <v>4.3</v>
      </c>
      <c r="V911" t="s">
        <v>82</v>
      </c>
    </row>
    <row r="912" spans="1:22" x14ac:dyDescent="0.3">
      <c r="A912" t="s">
        <v>4160</v>
      </c>
      <c r="B912" t="s">
        <v>3148</v>
      </c>
      <c r="C912" t="s">
        <v>3149</v>
      </c>
      <c r="D912" s="2">
        <v>46109</v>
      </c>
      <c r="E912" t="s">
        <v>228</v>
      </c>
      <c r="F912" t="s">
        <v>228</v>
      </c>
      <c r="G912" t="s">
        <v>213</v>
      </c>
      <c r="H912" t="s">
        <v>214</v>
      </c>
      <c r="I912" t="s">
        <v>69</v>
      </c>
      <c r="J912" t="s">
        <v>30</v>
      </c>
      <c r="K912">
        <v>8</v>
      </c>
      <c r="L912">
        <v>56</v>
      </c>
      <c r="M912">
        <v>39700</v>
      </c>
      <c r="N912">
        <v>0</v>
      </c>
      <c r="O912">
        <v>39700</v>
      </c>
      <c r="P912">
        <v>19200</v>
      </c>
      <c r="Q912">
        <v>20500</v>
      </c>
      <c r="R912">
        <v>51.64</v>
      </c>
      <c r="S912" t="s">
        <v>39</v>
      </c>
      <c r="T912">
        <v>4100</v>
      </c>
      <c r="U912">
        <v>3.4</v>
      </c>
      <c r="V912" t="s">
        <v>79</v>
      </c>
    </row>
    <row r="913" spans="1:22" x14ac:dyDescent="0.3">
      <c r="A913" t="s">
        <v>3561</v>
      </c>
      <c r="B913" t="s">
        <v>330</v>
      </c>
      <c r="C913" t="s">
        <v>331</v>
      </c>
      <c r="D913" s="2">
        <v>46110</v>
      </c>
      <c r="E913" t="s">
        <v>188</v>
      </c>
      <c r="F913" t="s">
        <v>188</v>
      </c>
      <c r="G913" t="s">
        <v>213</v>
      </c>
      <c r="H913" t="s">
        <v>268</v>
      </c>
      <c r="I913" t="s">
        <v>29</v>
      </c>
      <c r="J913" t="s">
        <v>70</v>
      </c>
      <c r="K913">
        <v>10</v>
      </c>
      <c r="L913">
        <v>56</v>
      </c>
      <c r="M913">
        <v>30200</v>
      </c>
      <c r="N913">
        <v>0</v>
      </c>
      <c r="O913">
        <v>30200</v>
      </c>
      <c r="P913">
        <v>21900</v>
      </c>
      <c r="Q913">
        <v>8300</v>
      </c>
      <c r="R913">
        <v>27.48</v>
      </c>
      <c r="S913" t="s">
        <v>39</v>
      </c>
      <c r="T913">
        <v>1900</v>
      </c>
      <c r="U913">
        <v>3.8</v>
      </c>
      <c r="V913" t="s">
        <v>42</v>
      </c>
    </row>
    <row r="914" spans="1:22" x14ac:dyDescent="0.3">
      <c r="A914" t="s">
        <v>4148</v>
      </c>
      <c r="B914" t="s">
        <v>763</v>
      </c>
      <c r="C914" t="s">
        <v>764</v>
      </c>
      <c r="D914" s="2">
        <v>46110</v>
      </c>
      <c r="E914" t="s">
        <v>188</v>
      </c>
      <c r="F914" t="s">
        <v>188</v>
      </c>
      <c r="G914" t="s">
        <v>27</v>
      </c>
      <c r="H914" t="s">
        <v>49</v>
      </c>
      <c r="I914" t="s">
        <v>29</v>
      </c>
      <c r="J914" t="s">
        <v>30</v>
      </c>
      <c r="K914">
        <v>2</v>
      </c>
      <c r="L914">
        <v>44</v>
      </c>
      <c r="M914">
        <v>133200</v>
      </c>
      <c r="N914">
        <v>13300</v>
      </c>
      <c r="O914">
        <v>119900</v>
      </c>
      <c r="P914">
        <v>60700</v>
      </c>
      <c r="Q914">
        <v>59200</v>
      </c>
      <c r="R914">
        <v>49.37</v>
      </c>
      <c r="S914" t="s">
        <v>39</v>
      </c>
      <c r="T914">
        <v>9800</v>
      </c>
      <c r="U914">
        <v>5</v>
      </c>
      <c r="V914" t="s">
        <v>114</v>
      </c>
    </row>
    <row r="915" spans="1:22" x14ac:dyDescent="0.3">
      <c r="A915" t="s">
        <v>4680</v>
      </c>
      <c r="B915" t="s">
        <v>4027</v>
      </c>
      <c r="C915" t="s">
        <v>4028</v>
      </c>
      <c r="D915" s="2">
        <v>46110</v>
      </c>
      <c r="E915" t="s">
        <v>228</v>
      </c>
      <c r="F915" t="s">
        <v>228</v>
      </c>
      <c r="G915" t="s">
        <v>580</v>
      </c>
      <c r="H915" t="s">
        <v>229</v>
      </c>
      <c r="I915" t="s">
        <v>69</v>
      </c>
      <c r="J915" t="s">
        <v>30</v>
      </c>
      <c r="K915">
        <v>7</v>
      </c>
      <c r="L915">
        <v>5</v>
      </c>
      <c r="M915">
        <v>65900</v>
      </c>
      <c r="N915">
        <v>0</v>
      </c>
      <c r="O915">
        <v>65900</v>
      </c>
      <c r="P915">
        <v>40500</v>
      </c>
      <c r="Q915">
        <v>25400</v>
      </c>
      <c r="R915">
        <v>38.54</v>
      </c>
      <c r="S915" t="s">
        <v>58</v>
      </c>
      <c r="T915">
        <v>10600</v>
      </c>
      <c r="U915">
        <v>3.7</v>
      </c>
      <c r="V915" t="s">
        <v>79</v>
      </c>
    </row>
    <row r="916" spans="1:22" x14ac:dyDescent="0.3">
      <c r="A916" t="s">
        <v>4393</v>
      </c>
      <c r="B916" t="s">
        <v>2533</v>
      </c>
      <c r="C916" t="s">
        <v>2534</v>
      </c>
      <c r="D916" s="2">
        <v>46110</v>
      </c>
      <c r="E916" t="s">
        <v>134</v>
      </c>
      <c r="F916" t="s">
        <v>134</v>
      </c>
      <c r="G916" t="s">
        <v>48</v>
      </c>
      <c r="H916" t="s">
        <v>68</v>
      </c>
      <c r="I916" t="s">
        <v>69</v>
      </c>
      <c r="J916" t="s">
        <v>30</v>
      </c>
      <c r="K916">
        <v>5</v>
      </c>
      <c r="L916">
        <v>45</v>
      </c>
      <c r="M916">
        <v>61700</v>
      </c>
      <c r="N916">
        <v>3100</v>
      </c>
      <c r="O916">
        <v>58600</v>
      </c>
      <c r="P916">
        <v>39600</v>
      </c>
      <c r="Q916">
        <v>19000</v>
      </c>
      <c r="R916">
        <v>32.42</v>
      </c>
      <c r="S916" t="s">
        <v>58</v>
      </c>
      <c r="T916">
        <v>9100</v>
      </c>
      <c r="U916">
        <v>4.7</v>
      </c>
      <c r="V916" t="s">
        <v>114</v>
      </c>
    </row>
    <row r="917" spans="1:22" x14ac:dyDescent="0.3">
      <c r="A917" t="s">
        <v>3516</v>
      </c>
      <c r="B917" t="s">
        <v>3517</v>
      </c>
      <c r="C917" t="s">
        <v>3518</v>
      </c>
      <c r="D917" s="2">
        <v>46111</v>
      </c>
      <c r="E917" t="s">
        <v>161</v>
      </c>
      <c r="F917" t="s">
        <v>161</v>
      </c>
      <c r="G917" t="s">
        <v>48</v>
      </c>
      <c r="H917" t="s">
        <v>28</v>
      </c>
      <c r="I917" t="s">
        <v>69</v>
      </c>
      <c r="J917" t="s">
        <v>30</v>
      </c>
      <c r="K917">
        <v>6</v>
      </c>
      <c r="L917">
        <v>70</v>
      </c>
      <c r="M917">
        <v>63700</v>
      </c>
      <c r="N917">
        <v>9600</v>
      </c>
      <c r="O917">
        <v>54100</v>
      </c>
      <c r="P917">
        <v>42300</v>
      </c>
      <c r="Q917">
        <v>11800</v>
      </c>
      <c r="R917">
        <v>21.81</v>
      </c>
      <c r="S917" t="s">
        <v>79</v>
      </c>
      <c r="T917">
        <v>5500</v>
      </c>
      <c r="U917">
        <v>4.5999999999999996</v>
      </c>
      <c r="V917" t="s">
        <v>58</v>
      </c>
    </row>
    <row r="918" spans="1:22" x14ac:dyDescent="0.3">
      <c r="A918" t="s">
        <v>605</v>
      </c>
      <c r="B918" t="s">
        <v>606</v>
      </c>
      <c r="C918" t="s">
        <v>607</v>
      </c>
      <c r="D918" s="2">
        <v>46111</v>
      </c>
      <c r="E918" t="s">
        <v>188</v>
      </c>
      <c r="F918" t="s">
        <v>188</v>
      </c>
      <c r="G918" t="s">
        <v>213</v>
      </c>
      <c r="H918" t="s">
        <v>214</v>
      </c>
      <c r="I918" t="s">
        <v>69</v>
      </c>
      <c r="J918" t="s">
        <v>30</v>
      </c>
      <c r="K918">
        <v>10</v>
      </c>
      <c r="L918">
        <v>10</v>
      </c>
      <c r="M918">
        <v>34000</v>
      </c>
      <c r="N918">
        <v>5100</v>
      </c>
      <c r="O918">
        <v>28900</v>
      </c>
      <c r="P918">
        <v>19100</v>
      </c>
      <c r="Q918">
        <v>9800</v>
      </c>
      <c r="R918">
        <v>33.909999999999997</v>
      </c>
      <c r="S918" t="s">
        <v>58</v>
      </c>
      <c r="T918">
        <v>1600</v>
      </c>
      <c r="U918">
        <v>3.7</v>
      </c>
      <c r="V918" t="s">
        <v>82</v>
      </c>
    </row>
    <row r="919" spans="1:22" x14ac:dyDescent="0.3">
      <c r="A919" t="s">
        <v>2665</v>
      </c>
      <c r="B919" t="s">
        <v>924</v>
      </c>
      <c r="C919" t="s">
        <v>925</v>
      </c>
      <c r="D919" s="2">
        <v>46114</v>
      </c>
      <c r="E919" t="s">
        <v>282</v>
      </c>
      <c r="F919" t="s">
        <v>282</v>
      </c>
      <c r="G919" t="s">
        <v>27</v>
      </c>
      <c r="H919" t="s">
        <v>68</v>
      </c>
      <c r="I919" t="s">
        <v>69</v>
      </c>
      <c r="J919" t="s">
        <v>70</v>
      </c>
      <c r="K919">
        <v>7</v>
      </c>
      <c r="L919">
        <v>50</v>
      </c>
      <c r="M919">
        <v>23600</v>
      </c>
      <c r="N919">
        <v>3500</v>
      </c>
      <c r="O919">
        <v>20100</v>
      </c>
      <c r="P919">
        <v>16900</v>
      </c>
      <c r="Q919">
        <v>3200</v>
      </c>
      <c r="R919">
        <v>15.92</v>
      </c>
      <c r="S919" t="s">
        <v>97</v>
      </c>
      <c r="T919">
        <v>2900</v>
      </c>
      <c r="U919">
        <v>4.7</v>
      </c>
      <c r="V919" t="s">
        <v>58</v>
      </c>
    </row>
    <row r="920" spans="1:22" x14ac:dyDescent="0.3">
      <c r="A920" t="s">
        <v>3874</v>
      </c>
      <c r="B920" t="s">
        <v>1630</v>
      </c>
      <c r="C920" t="s">
        <v>1631</v>
      </c>
      <c r="D920" s="2">
        <v>46114</v>
      </c>
      <c r="E920" t="s">
        <v>282</v>
      </c>
      <c r="F920" t="s">
        <v>282</v>
      </c>
      <c r="G920" t="s">
        <v>48</v>
      </c>
      <c r="H920" t="s">
        <v>28</v>
      </c>
      <c r="I920" t="s">
        <v>29</v>
      </c>
      <c r="J920" t="s">
        <v>30</v>
      </c>
      <c r="K920">
        <v>3</v>
      </c>
      <c r="L920">
        <v>45</v>
      </c>
      <c r="M920">
        <v>70700</v>
      </c>
      <c r="N920">
        <v>0</v>
      </c>
      <c r="O920">
        <v>70700</v>
      </c>
      <c r="P920">
        <v>29900</v>
      </c>
      <c r="Q920">
        <v>40800</v>
      </c>
      <c r="R920">
        <v>57.71</v>
      </c>
      <c r="S920" t="s">
        <v>126</v>
      </c>
      <c r="T920">
        <v>12100</v>
      </c>
      <c r="U920">
        <v>4.2</v>
      </c>
      <c r="V920" t="s">
        <v>58</v>
      </c>
    </row>
    <row r="921" spans="1:22" x14ac:dyDescent="0.3">
      <c r="A921" t="s">
        <v>4228</v>
      </c>
      <c r="B921" t="s">
        <v>4229</v>
      </c>
      <c r="C921" t="s">
        <v>4230</v>
      </c>
      <c r="D921" s="2">
        <v>46114</v>
      </c>
      <c r="E921" t="s">
        <v>282</v>
      </c>
      <c r="F921" t="s">
        <v>282</v>
      </c>
      <c r="G921" t="s">
        <v>103</v>
      </c>
      <c r="H921" t="s">
        <v>49</v>
      </c>
      <c r="I921" t="s">
        <v>29</v>
      </c>
      <c r="J921" t="s">
        <v>30</v>
      </c>
      <c r="K921">
        <v>3</v>
      </c>
      <c r="L921">
        <v>25</v>
      </c>
      <c r="M921">
        <v>75500</v>
      </c>
      <c r="N921">
        <v>0</v>
      </c>
      <c r="O921">
        <v>75500</v>
      </c>
      <c r="P921">
        <v>35800</v>
      </c>
      <c r="Q921">
        <v>39700</v>
      </c>
      <c r="R921">
        <v>52.58</v>
      </c>
      <c r="S921" t="s">
        <v>79</v>
      </c>
      <c r="T921">
        <v>4000</v>
      </c>
      <c r="U921">
        <v>4.0999999999999996</v>
      </c>
      <c r="V921" t="s">
        <v>114</v>
      </c>
    </row>
    <row r="922" spans="1:22" x14ac:dyDescent="0.3">
      <c r="A922" t="s">
        <v>2843</v>
      </c>
      <c r="B922" t="s">
        <v>1306</v>
      </c>
      <c r="C922" t="s">
        <v>1307</v>
      </c>
      <c r="D922" s="2">
        <v>46115</v>
      </c>
      <c r="E922" t="s">
        <v>282</v>
      </c>
      <c r="F922" t="s">
        <v>282</v>
      </c>
      <c r="G922" t="s">
        <v>580</v>
      </c>
      <c r="H922" t="s">
        <v>68</v>
      </c>
      <c r="I922" t="s">
        <v>69</v>
      </c>
      <c r="J922" t="s">
        <v>30</v>
      </c>
      <c r="K922">
        <v>3</v>
      </c>
      <c r="L922">
        <v>71</v>
      </c>
      <c r="M922">
        <v>55000</v>
      </c>
      <c r="N922">
        <v>0</v>
      </c>
      <c r="O922">
        <v>55000</v>
      </c>
      <c r="P922">
        <v>38500</v>
      </c>
      <c r="Q922">
        <v>16500</v>
      </c>
      <c r="R922">
        <v>30</v>
      </c>
      <c r="S922" t="s">
        <v>79</v>
      </c>
      <c r="T922">
        <v>3800</v>
      </c>
      <c r="U922">
        <v>4.4000000000000004</v>
      </c>
      <c r="V922" t="s">
        <v>82</v>
      </c>
    </row>
    <row r="923" spans="1:22" x14ac:dyDescent="0.3">
      <c r="A923" t="s">
        <v>5048</v>
      </c>
      <c r="B923" t="s">
        <v>4817</v>
      </c>
      <c r="C923" t="s">
        <v>4818</v>
      </c>
      <c r="D923" s="2">
        <v>46115</v>
      </c>
      <c r="E923" t="s">
        <v>161</v>
      </c>
      <c r="F923" t="s">
        <v>161</v>
      </c>
      <c r="G923" t="s">
        <v>27</v>
      </c>
      <c r="H923" t="s">
        <v>229</v>
      </c>
      <c r="I923" t="s">
        <v>29</v>
      </c>
      <c r="J923" t="s">
        <v>30</v>
      </c>
      <c r="K923">
        <v>7</v>
      </c>
      <c r="L923">
        <v>42</v>
      </c>
      <c r="M923">
        <v>95700</v>
      </c>
      <c r="N923">
        <v>4800</v>
      </c>
      <c r="O923">
        <v>90900</v>
      </c>
      <c r="P923">
        <v>50500</v>
      </c>
      <c r="Q923">
        <v>40400</v>
      </c>
      <c r="R923">
        <v>44.44</v>
      </c>
      <c r="S923" t="s">
        <v>97</v>
      </c>
      <c r="T923">
        <v>16200</v>
      </c>
      <c r="U923">
        <v>3.8</v>
      </c>
      <c r="V923" t="s">
        <v>42</v>
      </c>
    </row>
    <row r="924" spans="1:22" x14ac:dyDescent="0.3">
      <c r="A924" t="s">
        <v>5196</v>
      </c>
      <c r="B924" t="s">
        <v>2346</v>
      </c>
      <c r="C924" t="s">
        <v>2347</v>
      </c>
      <c r="D924" s="2">
        <v>46115</v>
      </c>
      <c r="E924" t="s">
        <v>161</v>
      </c>
      <c r="F924" t="s">
        <v>161</v>
      </c>
      <c r="G924" t="s">
        <v>48</v>
      </c>
      <c r="H924" t="s">
        <v>5470</v>
      </c>
      <c r="I924" t="s">
        <v>29</v>
      </c>
      <c r="J924" t="s">
        <v>30</v>
      </c>
      <c r="K924">
        <v>9</v>
      </c>
      <c r="L924">
        <v>32</v>
      </c>
      <c r="M924">
        <v>67700</v>
      </c>
      <c r="N924">
        <v>6800</v>
      </c>
      <c r="O924">
        <v>60900</v>
      </c>
      <c r="P924">
        <v>55000</v>
      </c>
      <c r="Q924">
        <v>5900</v>
      </c>
      <c r="R924">
        <v>9.69</v>
      </c>
      <c r="S924" t="s">
        <v>39</v>
      </c>
      <c r="T924">
        <v>2500</v>
      </c>
      <c r="U924">
        <v>3.8</v>
      </c>
      <c r="V924" t="s">
        <v>114</v>
      </c>
    </row>
    <row r="925" spans="1:22" x14ac:dyDescent="0.3">
      <c r="A925" t="s">
        <v>5319</v>
      </c>
      <c r="B925" t="s">
        <v>1708</v>
      </c>
      <c r="C925" t="s">
        <v>1709</v>
      </c>
      <c r="D925" s="2">
        <v>46117</v>
      </c>
      <c r="E925" t="s">
        <v>244</v>
      </c>
      <c r="F925" t="s">
        <v>244</v>
      </c>
      <c r="G925" t="s">
        <v>580</v>
      </c>
      <c r="H925" t="s">
        <v>68</v>
      </c>
      <c r="I925" t="s">
        <v>69</v>
      </c>
      <c r="J925" t="s">
        <v>70</v>
      </c>
      <c r="K925">
        <v>10</v>
      </c>
      <c r="L925">
        <v>58</v>
      </c>
      <c r="M925">
        <v>39100</v>
      </c>
      <c r="N925">
        <v>7800</v>
      </c>
      <c r="O925">
        <v>31300</v>
      </c>
      <c r="P925">
        <v>16700</v>
      </c>
      <c r="Q925">
        <v>14600</v>
      </c>
      <c r="R925">
        <v>46.65</v>
      </c>
      <c r="S925" t="s">
        <v>39</v>
      </c>
      <c r="T925">
        <v>4300</v>
      </c>
      <c r="U925">
        <v>3.4</v>
      </c>
      <c r="V925" t="s">
        <v>82</v>
      </c>
    </row>
    <row r="926" spans="1:22" x14ac:dyDescent="0.3">
      <c r="A926" t="s">
        <v>1920</v>
      </c>
      <c r="B926" t="s">
        <v>1921</v>
      </c>
      <c r="C926" t="s">
        <v>1922</v>
      </c>
      <c r="D926" s="2">
        <v>46117</v>
      </c>
      <c r="E926" t="s">
        <v>161</v>
      </c>
      <c r="F926" t="s">
        <v>161</v>
      </c>
      <c r="G926" t="s">
        <v>48</v>
      </c>
      <c r="H926" t="s">
        <v>88</v>
      </c>
      <c r="I926" t="s">
        <v>29</v>
      </c>
      <c r="J926" t="s">
        <v>30</v>
      </c>
      <c r="K926">
        <v>9</v>
      </c>
      <c r="L926">
        <v>19</v>
      </c>
      <c r="M926">
        <v>54900</v>
      </c>
      <c r="N926">
        <v>8200</v>
      </c>
      <c r="O926">
        <v>46700</v>
      </c>
      <c r="P926">
        <v>38000</v>
      </c>
      <c r="Q926">
        <v>8700</v>
      </c>
      <c r="R926">
        <v>18.63</v>
      </c>
      <c r="S926" t="s">
        <v>126</v>
      </c>
      <c r="T926">
        <v>3300</v>
      </c>
      <c r="U926">
        <v>5</v>
      </c>
      <c r="V926" t="s">
        <v>58</v>
      </c>
    </row>
    <row r="927" spans="1:22" x14ac:dyDescent="0.3">
      <c r="A927" t="s">
        <v>4320</v>
      </c>
      <c r="B927" t="s">
        <v>1034</v>
      </c>
      <c r="C927" t="s">
        <v>1035</v>
      </c>
      <c r="D927" s="2">
        <v>46117</v>
      </c>
      <c r="E927" t="s">
        <v>244</v>
      </c>
      <c r="F927" t="s">
        <v>244</v>
      </c>
      <c r="G927" t="s">
        <v>213</v>
      </c>
      <c r="H927" t="s">
        <v>5470</v>
      </c>
      <c r="I927" t="s">
        <v>69</v>
      </c>
      <c r="J927" t="s">
        <v>70</v>
      </c>
      <c r="K927">
        <v>4</v>
      </c>
      <c r="L927">
        <v>34</v>
      </c>
      <c r="M927">
        <v>62000</v>
      </c>
      <c r="N927">
        <v>3100</v>
      </c>
      <c r="O927">
        <v>58900</v>
      </c>
      <c r="P927">
        <v>43900</v>
      </c>
      <c r="Q927">
        <v>15000</v>
      </c>
      <c r="R927">
        <v>25.47</v>
      </c>
      <c r="S927" t="s">
        <v>126</v>
      </c>
      <c r="T927">
        <v>4400</v>
      </c>
      <c r="U927">
        <v>3.1</v>
      </c>
      <c r="V927" t="s">
        <v>114</v>
      </c>
    </row>
    <row r="928" spans="1:22" x14ac:dyDescent="0.3">
      <c r="A928" t="s">
        <v>3895</v>
      </c>
      <c r="B928" t="s">
        <v>3509</v>
      </c>
      <c r="C928" t="s">
        <v>3510</v>
      </c>
      <c r="D928" s="2">
        <v>46117</v>
      </c>
      <c r="E928" t="s">
        <v>282</v>
      </c>
      <c r="F928" t="s">
        <v>282</v>
      </c>
      <c r="G928" t="s">
        <v>27</v>
      </c>
      <c r="H928" t="s">
        <v>28</v>
      </c>
      <c r="I928" t="s">
        <v>69</v>
      </c>
      <c r="J928" t="s">
        <v>162</v>
      </c>
      <c r="K928">
        <v>4</v>
      </c>
      <c r="L928">
        <v>44</v>
      </c>
      <c r="M928">
        <v>37400</v>
      </c>
      <c r="N928">
        <v>0</v>
      </c>
      <c r="O928">
        <v>37400</v>
      </c>
      <c r="P928">
        <v>29600</v>
      </c>
      <c r="Q928">
        <v>7800</v>
      </c>
      <c r="R928">
        <v>20.86</v>
      </c>
      <c r="S928" t="s">
        <v>58</v>
      </c>
      <c r="T928">
        <v>3400</v>
      </c>
      <c r="U928">
        <v>3.1</v>
      </c>
      <c r="V928" t="s">
        <v>114</v>
      </c>
    </row>
    <row r="929" spans="1:22" x14ac:dyDescent="0.3">
      <c r="A929" t="s">
        <v>3616</v>
      </c>
      <c r="B929" t="s">
        <v>1851</v>
      </c>
      <c r="C929" t="s">
        <v>1852</v>
      </c>
      <c r="D929" s="2">
        <v>46118</v>
      </c>
      <c r="E929" t="s">
        <v>26</v>
      </c>
      <c r="F929" t="s">
        <v>26</v>
      </c>
      <c r="G929" t="s">
        <v>580</v>
      </c>
      <c r="H929" t="s">
        <v>88</v>
      </c>
      <c r="I929" t="s">
        <v>69</v>
      </c>
      <c r="J929" t="s">
        <v>162</v>
      </c>
      <c r="K929">
        <v>7</v>
      </c>
      <c r="L929">
        <v>68</v>
      </c>
      <c r="M929">
        <v>18000</v>
      </c>
      <c r="N929">
        <v>900</v>
      </c>
      <c r="O929">
        <v>17100</v>
      </c>
      <c r="P929">
        <v>13200</v>
      </c>
      <c r="Q929">
        <v>3900</v>
      </c>
      <c r="R929">
        <v>22.81</v>
      </c>
      <c r="S929" t="s">
        <v>39</v>
      </c>
      <c r="T929">
        <v>2800</v>
      </c>
      <c r="U929">
        <v>2.9</v>
      </c>
      <c r="V929" t="s">
        <v>114</v>
      </c>
    </row>
    <row r="930" spans="1:22" x14ac:dyDescent="0.3">
      <c r="A930" t="s">
        <v>4066</v>
      </c>
      <c r="B930" t="s">
        <v>4067</v>
      </c>
      <c r="C930" t="s">
        <v>4068</v>
      </c>
      <c r="D930" s="2">
        <v>46118</v>
      </c>
      <c r="E930" t="s">
        <v>134</v>
      </c>
      <c r="F930" t="s">
        <v>134</v>
      </c>
      <c r="G930" t="s">
        <v>213</v>
      </c>
      <c r="H930" t="s">
        <v>268</v>
      </c>
      <c r="I930" t="s">
        <v>69</v>
      </c>
      <c r="J930" t="s">
        <v>30</v>
      </c>
      <c r="K930">
        <v>10</v>
      </c>
      <c r="L930">
        <v>29</v>
      </c>
      <c r="M930">
        <v>84200</v>
      </c>
      <c r="N930">
        <v>0</v>
      </c>
      <c r="O930">
        <v>84200</v>
      </c>
      <c r="P930">
        <v>38300</v>
      </c>
      <c r="Q930">
        <v>45900</v>
      </c>
      <c r="R930">
        <v>54.51</v>
      </c>
      <c r="S930" t="s">
        <v>97</v>
      </c>
      <c r="T930">
        <v>8100</v>
      </c>
      <c r="U930">
        <v>4.4000000000000004</v>
      </c>
      <c r="V930" t="s">
        <v>42</v>
      </c>
    </row>
    <row r="931" spans="1:22" x14ac:dyDescent="0.3">
      <c r="A931" t="s">
        <v>1362</v>
      </c>
      <c r="B931" t="s">
        <v>624</v>
      </c>
      <c r="C931" t="s">
        <v>625</v>
      </c>
      <c r="D931" s="2">
        <v>46118</v>
      </c>
      <c r="E931" t="s">
        <v>228</v>
      </c>
      <c r="F931" t="s">
        <v>228</v>
      </c>
      <c r="G931" t="s">
        <v>27</v>
      </c>
      <c r="H931" t="s">
        <v>49</v>
      </c>
      <c r="I931" t="s">
        <v>29</v>
      </c>
      <c r="J931" t="s">
        <v>30</v>
      </c>
      <c r="K931">
        <v>10</v>
      </c>
      <c r="L931">
        <v>20</v>
      </c>
      <c r="M931">
        <v>63700</v>
      </c>
      <c r="N931">
        <v>3200</v>
      </c>
      <c r="O931">
        <v>60500</v>
      </c>
      <c r="P931">
        <v>28200</v>
      </c>
      <c r="Q931">
        <v>32300</v>
      </c>
      <c r="R931">
        <v>53.39</v>
      </c>
      <c r="S931" t="s">
        <v>58</v>
      </c>
      <c r="T931">
        <v>5100</v>
      </c>
      <c r="U931">
        <v>4.5999999999999996</v>
      </c>
      <c r="V931" t="s">
        <v>82</v>
      </c>
    </row>
    <row r="932" spans="1:22" x14ac:dyDescent="0.3">
      <c r="A932" t="s">
        <v>5452</v>
      </c>
      <c r="B932" t="s">
        <v>3028</v>
      </c>
      <c r="C932" t="s">
        <v>3029</v>
      </c>
      <c r="D932" s="2">
        <v>46118</v>
      </c>
      <c r="E932" t="s">
        <v>66</v>
      </c>
      <c r="F932" t="s">
        <v>66</v>
      </c>
      <c r="G932" t="s">
        <v>27</v>
      </c>
      <c r="H932" t="s">
        <v>88</v>
      </c>
      <c r="I932" t="s">
        <v>29</v>
      </c>
      <c r="J932" t="s">
        <v>70</v>
      </c>
      <c r="K932">
        <v>3</v>
      </c>
      <c r="L932">
        <v>31</v>
      </c>
      <c r="M932">
        <v>44000</v>
      </c>
      <c r="N932">
        <v>0</v>
      </c>
      <c r="O932">
        <v>44000</v>
      </c>
      <c r="P932">
        <v>27300</v>
      </c>
      <c r="Q932">
        <v>16700</v>
      </c>
      <c r="R932">
        <v>37.950000000000003</v>
      </c>
      <c r="S932" t="s">
        <v>79</v>
      </c>
      <c r="T932">
        <v>2300</v>
      </c>
      <c r="U932">
        <v>3.8</v>
      </c>
      <c r="V932" t="s">
        <v>42</v>
      </c>
    </row>
    <row r="933" spans="1:22" x14ac:dyDescent="0.3">
      <c r="A933" t="s">
        <v>3730</v>
      </c>
      <c r="B933" t="s">
        <v>989</v>
      </c>
      <c r="C933" t="s">
        <v>990</v>
      </c>
      <c r="D933" s="2">
        <v>46119</v>
      </c>
      <c r="E933" t="s">
        <v>134</v>
      </c>
      <c r="F933" t="s">
        <v>134</v>
      </c>
      <c r="G933" t="s">
        <v>27</v>
      </c>
      <c r="H933" t="s">
        <v>88</v>
      </c>
      <c r="I933" t="s">
        <v>69</v>
      </c>
      <c r="J933" t="s">
        <v>30</v>
      </c>
      <c r="K933">
        <v>5</v>
      </c>
      <c r="L933">
        <v>56</v>
      </c>
      <c r="M933">
        <v>27900</v>
      </c>
      <c r="N933">
        <v>1400</v>
      </c>
      <c r="O933">
        <v>26500</v>
      </c>
      <c r="P933">
        <v>17100</v>
      </c>
      <c r="Q933">
        <v>9400</v>
      </c>
      <c r="R933">
        <v>35.47</v>
      </c>
      <c r="S933" t="s">
        <v>58</v>
      </c>
      <c r="T933">
        <v>4600</v>
      </c>
      <c r="U933">
        <v>3.5</v>
      </c>
      <c r="V933" t="s">
        <v>114</v>
      </c>
    </row>
    <row r="934" spans="1:22" x14ac:dyDescent="0.3">
      <c r="A934" t="s">
        <v>1282</v>
      </c>
      <c r="B934" t="s">
        <v>924</v>
      </c>
      <c r="C934" t="s">
        <v>925</v>
      </c>
      <c r="D934" s="2">
        <v>46120</v>
      </c>
      <c r="E934" t="s">
        <v>66</v>
      </c>
      <c r="F934" t="s">
        <v>66</v>
      </c>
      <c r="G934" t="s">
        <v>27</v>
      </c>
      <c r="H934" t="s">
        <v>5470</v>
      </c>
      <c r="I934" t="s">
        <v>69</v>
      </c>
      <c r="J934" t="s">
        <v>30</v>
      </c>
      <c r="K934">
        <v>2</v>
      </c>
      <c r="L934">
        <v>44</v>
      </c>
      <c r="M934">
        <v>33000</v>
      </c>
      <c r="N934">
        <v>0</v>
      </c>
      <c r="O934">
        <v>33000</v>
      </c>
      <c r="P934">
        <v>14100</v>
      </c>
      <c r="Q934">
        <v>18900</v>
      </c>
      <c r="R934">
        <v>57.27</v>
      </c>
      <c r="S934" t="s">
        <v>182</v>
      </c>
      <c r="T934">
        <v>3800</v>
      </c>
      <c r="U934">
        <v>3.6</v>
      </c>
      <c r="V934" t="s">
        <v>58</v>
      </c>
    </row>
    <row r="935" spans="1:22" x14ac:dyDescent="0.3">
      <c r="A935" t="s">
        <v>278</v>
      </c>
      <c r="B935" t="s">
        <v>279</v>
      </c>
      <c r="C935" t="s">
        <v>280</v>
      </c>
      <c r="D935" s="2">
        <v>46120</v>
      </c>
      <c r="E935" t="s">
        <v>282</v>
      </c>
      <c r="F935" t="s">
        <v>282</v>
      </c>
      <c r="G935" t="s">
        <v>118</v>
      </c>
      <c r="H935" t="s">
        <v>88</v>
      </c>
      <c r="I935" t="s">
        <v>69</v>
      </c>
      <c r="J935" t="s">
        <v>30</v>
      </c>
      <c r="K935">
        <v>3</v>
      </c>
      <c r="L935">
        <v>28</v>
      </c>
      <c r="M935">
        <v>73400</v>
      </c>
      <c r="N935">
        <v>7300</v>
      </c>
      <c r="O935">
        <v>66100</v>
      </c>
      <c r="P935">
        <v>54400</v>
      </c>
      <c r="Q935">
        <v>11700</v>
      </c>
      <c r="R935">
        <v>17.7</v>
      </c>
      <c r="S935" t="s">
        <v>182</v>
      </c>
      <c r="T935">
        <v>6500</v>
      </c>
      <c r="U935">
        <v>4.3</v>
      </c>
      <c r="V935" t="s">
        <v>58</v>
      </c>
    </row>
    <row r="936" spans="1:22" x14ac:dyDescent="0.3">
      <c r="A936" t="s">
        <v>2281</v>
      </c>
      <c r="B936" t="s">
        <v>1587</v>
      </c>
      <c r="C936" t="s">
        <v>1588</v>
      </c>
      <c r="D936" s="2">
        <v>46120</v>
      </c>
      <c r="E936" t="s">
        <v>134</v>
      </c>
      <c r="F936" t="s">
        <v>134</v>
      </c>
      <c r="G936" t="s">
        <v>67</v>
      </c>
      <c r="H936" t="s">
        <v>88</v>
      </c>
      <c r="I936" t="s">
        <v>29</v>
      </c>
      <c r="J936" t="s">
        <v>70</v>
      </c>
      <c r="K936">
        <v>3</v>
      </c>
      <c r="L936">
        <v>26</v>
      </c>
      <c r="M936">
        <v>49400</v>
      </c>
      <c r="N936">
        <v>0</v>
      </c>
      <c r="O936">
        <v>49400</v>
      </c>
      <c r="P936">
        <v>25800</v>
      </c>
      <c r="Q936">
        <v>23600</v>
      </c>
      <c r="R936">
        <v>47.77</v>
      </c>
      <c r="S936" t="s">
        <v>126</v>
      </c>
      <c r="T936">
        <v>2300</v>
      </c>
      <c r="U936">
        <v>4.5999999999999996</v>
      </c>
      <c r="V936" t="s">
        <v>82</v>
      </c>
    </row>
    <row r="937" spans="1:22" x14ac:dyDescent="0.3">
      <c r="A937" t="s">
        <v>4601</v>
      </c>
      <c r="B937" t="s">
        <v>2453</v>
      </c>
      <c r="C937" t="s">
        <v>2454</v>
      </c>
      <c r="D937" s="2">
        <v>46121</v>
      </c>
      <c r="E937" t="s">
        <v>26</v>
      </c>
      <c r="F937" t="s">
        <v>26</v>
      </c>
      <c r="G937" t="s">
        <v>5471</v>
      </c>
      <c r="H937" t="s">
        <v>88</v>
      </c>
      <c r="I937" t="s">
        <v>29</v>
      </c>
      <c r="J937" t="s">
        <v>30</v>
      </c>
      <c r="K937">
        <v>4</v>
      </c>
      <c r="L937">
        <v>33</v>
      </c>
      <c r="M937">
        <v>47700</v>
      </c>
      <c r="N937">
        <v>7200</v>
      </c>
      <c r="O937">
        <v>40500</v>
      </c>
      <c r="P937">
        <v>36500</v>
      </c>
      <c r="Q937">
        <v>4000</v>
      </c>
      <c r="R937">
        <v>9.8800000000000008</v>
      </c>
      <c r="S937" t="s">
        <v>126</v>
      </c>
      <c r="T937">
        <v>5600</v>
      </c>
      <c r="U937">
        <v>4</v>
      </c>
      <c r="V937" t="s">
        <v>42</v>
      </c>
    </row>
    <row r="938" spans="1:22" x14ac:dyDescent="0.3">
      <c r="A938" t="s">
        <v>3893</v>
      </c>
      <c r="B938" t="s">
        <v>3537</v>
      </c>
      <c r="C938" t="s">
        <v>3538</v>
      </c>
      <c r="D938" s="2">
        <v>46121</v>
      </c>
      <c r="E938" t="s">
        <v>66</v>
      </c>
      <c r="F938" t="s">
        <v>66</v>
      </c>
      <c r="G938" t="s">
        <v>213</v>
      </c>
      <c r="H938" t="s">
        <v>68</v>
      </c>
      <c r="I938" t="s">
        <v>69</v>
      </c>
      <c r="J938" t="s">
        <v>70</v>
      </c>
      <c r="K938">
        <v>7</v>
      </c>
      <c r="L938">
        <v>38</v>
      </c>
      <c r="M938">
        <v>21200</v>
      </c>
      <c r="N938">
        <v>1100</v>
      </c>
      <c r="O938">
        <v>20100</v>
      </c>
      <c r="P938">
        <v>16100</v>
      </c>
      <c r="Q938">
        <v>4000</v>
      </c>
      <c r="R938">
        <v>19.899999999999999</v>
      </c>
      <c r="S938" t="s">
        <v>182</v>
      </c>
      <c r="T938">
        <v>2800</v>
      </c>
      <c r="U938">
        <v>4.7</v>
      </c>
      <c r="V938" t="s">
        <v>79</v>
      </c>
    </row>
    <row r="939" spans="1:22" x14ac:dyDescent="0.3">
      <c r="A939" t="s">
        <v>2995</v>
      </c>
      <c r="B939" t="s">
        <v>2837</v>
      </c>
      <c r="C939" t="s">
        <v>2838</v>
      </c>
      <c r="D939" s="2">
        <v>46121</v>
      </c>
      <c r="E939" t="s">
        <v>66</v>
      </c>
      <c r="F939" t="s">
        <v>66</v>
      </c>
      <c r="G939" t="s">
        <v>147</v>
      </c>
      <c r="H939" t="s">
        <v>268</v>
      </c>
      <c r="I939" t="s">
        <v>69</v>
      </c>
      <c r="J939" t="s">
        <v>257</v>
      </c>
      <c r="K939">
        <v>9</v>
      </c>
      <c r="L939">
        <v>56</v>
      </c>
      <c r="M939">
        <v>48700</v>
      </c>
      <c r="N939">
        <v>2400</v>
      </c>
      <c r="O939">
        <v>46300</v>
      </c>
      <c r="P939">
        <v>22300</v>
      </c>
      <c r="Q939">
        <v>24000</v>
      </c>
      <c r="R939">
        <v>51.84</v>
      </c>
      <c r="S939" t="s">
        <v>182</v>
      </c>
      <c r="T939">
        <v>2200</v>
      </c>
      <c r="U939">
        <v>3.9</v>
      </c>
      <c r="V939" t="s">
        <v>42</v>
      </c>
    </row>
    <row r="940" spans="1:22" x14ac:dyDescent="0.3">
      <c r="A940" t="s">
        <v>3406</v>
      </c>
      <c r="B940" t="s">
        <v>746</v>
      </c>
      <c r="C940" t="s">
        <v>747</v>
      </c>
      <c r="D940" s="2">
        <v>46122</v>
      </c>
      <c r="E940" t="s">
        <v>188</v>
      </c>
      <c r="F940" t="s">
        <v>188</v>
      </c>
      <c r="G940" t="s">
        <v>213</v>
      </c>
      <c r="H940" t="s">
        <v>68</v>
      </c>
      <c r="I940" t="s">
        <v>69</v>
      </c>
      <c r="J940" t="s">
        <v>30</v>
      </c>
      <c r="K940">
        <v>2</v>
      </c>
      <c r="L940">
        <v>5</v>
      </c>
      <c r="M940">
        <v>100700</v>
      </c>
      <c r="N940">
        <v>0</v>
      </c>
      <c r="O940">
        <v>100700</v>
      </c>
      <c r="P940">
        <v>55900</v>
      </c>
      <c r="Q940">
        <v>44800</v>
      </c>
      <c r="R940">
        <v>44.49</v>
      </c>
      <c r="S940" t="s">
        <v>39</v>
      </c>
      <c r="T940">
        <v>6300</v>
      </c>
      <c r="U940">
        <v>4</v>
      </c>
      <c r="V940" t="s">
        <v>79</v>
      </c>
    </row>
    <row r="941" spans="1:22" x14ac:dyDescent="0.3">
      <c r="A941" t="s">
        <v>1165</v>
      </c>
      <c r="B941" t="s">
        <v>1166</v>
      </c>
      <c r="C941" t="s">
        <v>1167</v>
      </c>
      <c r="D941" s="2">
        <v>46122</v>
      </c>
      <c r="E941" t="s">
        <v>161</v>
      </c>
      <c r="F941" t="s">
        <v>161</v>
      </c>
      <c r="G941" t="s">
        <v>118</v>
      </c>
      <c r="H941" t="s">
        <v>28</v>
      </c>
      <c r="I941" t="s">
        <v>69</v>
      </c>
      <c r="J941" t="s">
        <v>30</v>
      </c>
      <c r="K941">
        <v>8</v>
      </c>
      <c r="L941">
        <v>48</v>
      </c>
      <c r="M941">
        <v>50000</v>
      </c>
      <c r="N941">
        <v>0</v>
      </c>
      <c r="O941">
        <v>50000</v>
      </c>
      <c r="P941">
        <v>24100</v>
      </c>
      <c r="Q941">
        <v>25900</v>
      </c>
      <c r="R941">
        <v>51.8</v>
      </c>
      <c r="S941" t="s">
        <v>126</v>
      </c>
      <c r="T941">
        <v>4200</v>
      </c>
      <c r="U941">
        <v>4.4000000000000004</v>
      </c>
      <c r="V941" t="s">
        <v>82</v>
      </c>
    </row>
    <row r="942" spans="1:22" x14ac:dyDescent="0.3">
      <c r="A942" t="s">
        <v>4870</v>
      </c>
      <c r="B942" t="s">
        <v>1733</v>
      </c>
      <c r="C942" t="s">
        <v>1734</v>
      </c>
      <c r="D942" s="2">
        <v>46122</v>
      </c>
      <c r="E942" t="s">
        <v>188</v>
      </c>
      <c r="F942" t="s">
        <v>188</v>
      </c>
      <c r="G942" t="s">
        <v>118</v>
      </c>
      <c r="H942" t="s">
        <v>88</v>
      </c>
      <c r="I942" t="s">
        <v>29</v>
      </c>
      <c r="J942" t="s">
        <v>70</v>
      </c>
      <c r="K942">
        <v>10</v>
      </c>
      <c r="L942">
        <v>29</v>
      </c>
      <c r="M942">
        <v>89900</v>
      </c>
      <c r="N942">
        <v>4500</v>
      </c>
      <c r="O942">
        <v>85400</v>
      </c>
      <c r="P942">
        <v>55500</v>
      </c>
      <c r="Q942">
        <v>29900</v>
      </c>
      <c r="R942">
        <v>35.01</v>
      </c>
      <c r="S942" t="s">
        <v>58</v>
      </c>
      <c r="T942">
        <v>11400</v>
      </c>
      <c r="U942">
        <v>3.8</v>
      </c>
      <c r="V942" t="s">
        <v>42</v>
      </c>
    </row>
    <row r="943" spans="1:22" x14ac:dyDescent="0.3">
      <c r="A943" t="s">
        <v>4009</v>
      </c>
      <c r="B943" t="s">
        <v>2621</v>
      </c>
      <c r="C943" t="s">
        <v>2622</v>
      </c>
      <c r="D943" s="2">
        <v>46123</v>
      </c>
      <c r="E943" t="s">
        <v>228</v>
      </c>
      <c r="F943" t="s">
        <v>228</v>
      </c>
      <c r="G943" t="s">
        <v>103</v>
      </c>
      <c r="H943" t="s">
        <v>49</v>
      </c>
      <c r="I943" t="s">
        <v>29</v>
      </c>
      <c r="J943" t="s">
        <v>30</v>
      </c>
      <c r="K943">
        <v>2</v>
      </c>
      <c r="L943">
        <v>17</v>
      </c>
      <c r="M943">
        <v>70800</v>
      </c>
      <c r="N943">
        <v>0</v>
      </c>
      <c r="O943">
        <v>70800</v>
      </c>
      <c r="P943">
        <v>57000</v>
      </c>
      <c r="Q943">
        <v>13800</v>
      </c>
      <c r="R943">
        <v>19.489999999999998</v>
      </c>
      <c r="S943" t="s">
        <v>58</v>
      </c>
      <c r="T943">
        <v>7900</v>
      </c>
      <c r="U943">
        <v>4.4000000000000004</v>
      </c>
      <c r="V943" t="s">
        <v>58</v>
      </c>
    </row>
    <row r="944" spans="1:22" x14ac:dyDescent="0.3">
      <c r="A944" t="s">
        <v>4490</v>
      </c>
      <c r="B944" t="s">
        <v>3002</v>
      </c>
      <c r="C944" t="s">
        <v>3003</v>
      </c>
      <c r="D944" s="2">
        <v>46123</v>
      </c>
      <c r="E944" t="s">
        <v>282</v>
      </c>
      <c r="F944" t="s">
        <v>282</v>
      </c>
      <c r="G944" t="s">
        <v>213</v>
      </c>
      <c r="H944" t="s">
        <v>5470</v>
      </c>
      <c r="I944" t="s">
        <v>29</v>
      </c>
      <c r="J944" t="s">
        <v>30</v>
      </c>
      <c r="K944">
        <v>7</v>
      </c>
      <c r="L944">
        <v>12</v>
      </c>
      <c r="M944">
        <v>69000</v>
      </c>
      <c r="N944">
        <v>0</v>
      </c>
      <c r="O944">
        <v>69000</v>
      </c>
      <c r="P944">
        <v>54100</v>
      </c>
      <c r="Q944">
        <v>14900</v>
      </c>
      <c r="R944">
        <v>21.59</v>
      </c>
      <c r="S944" t="s">
        <v>126</v>
      </c>
      <c r="T944">
        <v>4900</v>
      </c>
      <c r="U944">
        <v>4.2</v>
      </c>
      <c r="V944" t="s">
        <v>58</v>
      </c>
    </row>
    <row r="945" spans="1:22" x14ac:dyDescent="0.3">
      <c r="A945" t="s">
        <v>5406</v>
      </c>
      <c r="B945" t="s">
        <v>1512</v>
      </c>
      <c r="C945" t="s">
        <v>1513</v>
      </c>
      <c r="D945" s="2">
        <v>46123</v>
      </c>
      <c r="E945" t="s">
        <v>188</v>
      </c>
      <c r="F945" t="s">
        <v>188</v>
      </c>
      <c r="G945" t="s">
        <v>580</v>
      </c>
      <c r="H945" t="s">
        <v>229</v>
      </c>
      <c r="I945" t="s">
        <v>69</v>
      </c>
      <c r="J945" t="s">
        <v>162</v>
      </c>
      <c r="K945">
        <v>9</v>
      </c>
      <c r="L945">
        <v>40</v>
      </c>
      <c r="M945">
        <v>15000</v>
      </c>
      <c r="N945">
        <v>1500</v>
      </c>
      <c r="O945">
        <v>13500</v>
      </c>
      <c r="P945">
        <v>10100</v>
      </c>
      <c r="Q945">
        <v>3400</v>
      </c>
      <c r="R945">
        <v>25.19</v>
      </c>
      <c r="S945" t="s">
        <v>79</v>
      </c>
      <c r="T945">
        <v>1000</v>
      </c>
      <c r="U945">
        <v>3.4</v>
      </c>
      <c r="V945" t="s">
        <v>114</v>
      </c>
    </row>
    <row r="946" spans="1:22" x14ac:dyDescent="0.3">
      <c r="A946" t="s">
        <v>4540</v>
      </c>
      <c r="B946" t="s">
        <v>1257</v>
      </c>
      <c r="C946" t="s">
        <v>1258</v>
      </c>
      <c r="D946" s="2">
        <v>46123</v>
      </c>
      <c r="E946" t="s">
        <v>134</v>
      </c>
      <c r="F946" t="s">
        <v>134</v>
      </c>
      <c r="G946" t="s">
        <v>580</v>
      </c>
      <c r="H946" t="s">
        <v>5470</v>
      </c>
      <c r="I946" t="s">
        <v>69</v>
      </c>
      <c r="J946" t="s">
        <v>30</v>
      </c>
      <c r="K946">
        <v>10</v>
      </c>
      <c r="L946">
        <v>9</v>
      </c>
      <c r="M946">
        <v>21500</v>
      </c>
      <c r="N946">
        <v>3200</v>
      </c>
      <c r="O946">
        <v>18300</v>
      </c>
      <c r="P946">
        <v>15000</v>
      </c>
      <c r="Q946">
        <v>3300</v>
      </c>
      <c r="R946">
        <v>18.03</v>
      </c>
      <c r="S946" t="s">
        <v>126</v>
      </c>
      <c r="T946">
        <v>1600</v>
      </c>
      <c r="U946">
        <v>3.4</v>
      </c>
      <c r="V946" t="s">
        <v>79</v>
      </c>
    </row>
    <row r="947" spans="1:22" x14ac:dyDescent="0.3">
      <c r="A947" t="s">
        <v>2121</v>
      </c>
      <c r="B947" t="s">
        <v>2122</v>
      </c>
      <c r="C947" t="s">
        <v>2123</v>
      </c>
      <c r="D947" s="2">
        <v>46124</v>
      </c>
      <c r="E947" t="s">
        <v>26</v>
      </c>
      <c r="F947" t="s">
        <v>26</v>
      </c>
      <c r="G947" t="s">
        <v>213</v>
      </c>
      <c r="H947" t="s">
        <v>229</v>
      </c>
      <c r="I947" t="s">
        <v>69</v>
      </c>
      <c r="J947" t="s">
        <v>30</v>
      </c>
      <c r="K947">
        <v>10</v>
      </c>
      <c r="L947">
        <v>56</v>
      </c>
      <c r="M947">
        <v>15000</v>
      </c>
      <c r="N947">
        <v>0</v>
      </c>
      <c r="O947">
        <v>15000</v>
      </c>
      <c r="P947">
        <v>11100</v>
      </c>
      <c r="Q947">
        <v>3900</v>
      </c>
      <c r="R947">
        <v>26</v>
      </c>
      <c r="S947" t="s">
        <v>79</v>
      </c>
      <c r="T947">
        <v>1700</v>
      </c>
      <c r="U947">
        <v>4</v>
      </c>
      <c r="V947" t="s">
        <v>82</v>
      </c>
    </row>
    <row r="948" spans="1:22" x14ac:dyDescent="0.3">
      <c r="A948" t="s">
        <v>4294</v>
      </c>
      <c r="B948" t="s">
        <v>4222</v>
      </c>
      <c r="C948" t="s">
        <v>4223</v>
      </c>
      <c r="D948" s="2">
        <v>46125</v>
      </c>
      <c r="E948" t="s">
        <v>228</v>
      </c>
      <c r="F948" t="s">
        <v>228</v>
      </c>
      <c r="G948" t="s">
        <v>5471</v>
      </c>
      <c r="H948" t="s">
        <v>49</v>
      </c>
      <c r="I948" t="s">
        <v>69</v>
      </c>
      <c r="J948" t="s">
        <v>162</v>
      </c>
      <c r="K948">
        <v>3</v>
      </c>
      <c r="L948">
        <v>47</v>
      </c>
      <c r="M948">
        <v>49500</v>
      </c>
      <c r="N948">
        <v>0</v>
      </c>
      <c r="O948">
        <v>49500</v>
      </c>
      <c r="P948">
        <v>29000</v>
      </c>
      <c r="Q948">
        <v>20500</v>
      </c>
      <c r="R948">
        <v>41.41</v>
      </c>
      <c r="S948" t="s">
        <v>39</v>
      </c>
      <c r="T948">
        <v>3800</v>
      </c>
      <c r="U948">
        <v>4.2</v>
      </c>
      <c r="V948" t="s">
        <v>82</v>
      </c>
    </row>
    <row r="949" spans="1:22" x14ac:dyDescent="0.3">
      <c r="A949" t="s">
        <v>2145</v>
      </c>
      <c r="B949" t="s">
        <v>2146</v>
      </c>
      <c r="C949" t="s">
        <v>2147</v>
      </c>
      <c r="D949" s="2">
        <v>46125</v>
      </c>
      <c r="E949" t="s">
        <v>26</v>
      </c>
      <c r="F949" t="s">
        <v>26</v>
      </c>
      <c r="G949" t="s">
        <v>67</v>
      </c>
      <c r="H949" t="s">
        <v>49</v>
      </c>
      <c r="I949" t="s">
        <v>69</v>
      </c>
      <c r="J949" t="s">
        <v>30</v>
      </c>
      <c r="K949">
        <v>2</v>
      </c>
      <c r="L949">
        <v>46</v>
      </c>
      <c r="M949">
        <v>105900</v>
      </c>
      <c r="N949">
        <v>0</v>
      </c>
      <c r="O949">
        <v>105900</v>
      </c>
      <c r="P949">
        <v>68100</v>
      </c>
      <c r="Q949">
        <v>37800</v>
      </c>
      <c r="R949">
        <v>35.69</v>
      </c>
      <c r="S949" t="s">
        <v>58</v>
      </c>
      <c r="T949">
        <v>5200</v>
      </c>
      <c r="U949">
        <v>4.3</v>
      </c>
      <c r="V949" t="s">
        <v>82</v>
      </c>
    </row>
    <row r="950" spans="1:22" x14ac:dyDescent="0.3">
      <c r="A950" t="s">
        <v>5190</v>
      </c>
      <c r="B950" t="s">
        <v>3204</v>
      </c>
      <c r="C950" t="s">
        <v>3205</v>
      </c>
      <c r="D950" s="2">
        <v>46126</v>
      </c>
      <c r="E950" t="s">
        <v>188</v>
      </c>
      <c r="F950" t="s">
        <v>188</v>
      </c>
      <c r="G950" t="s">
        <v>213</v>
      </c>
      <c r="H950" t="s">
        <v>49</v>
      </c>
      <c r="I950" t="s">
        <v>69</v>
      </c>
      <c r="J950" t="s">
        <v>70</v>
      </c>
      <c r="K950">
        <v>5</v>
      </c>
      <c r="L950">
        <v>33</v>
      </c>
      <c r="M950">
        <v>57200</v>
      </c>
      <c r="N950">
        <v>2900</v>
      </c>
      <c r="O950">
        <v>54300</v>
      </c>
      <c r="P950">
        <v>42900</v>
      </c>
      <c r="Q950">
        <v>11400</v>
      </c>
      <c r="R950">
        <v>20.99</v>
      </c>
      <c r="S950" t="s">
        <v>79</v>
      </c>
      <c r="T950">
        <v>7500</v>
      </c>
      <c r="U950">
        <v>4.5</v>
      </c>
      <c r="V950" t="s">
        <v>114</v>
      </c>
    </row>
    <row r="951" spans="1:22" x14ac:dyDescent="0.3">
      <c r="A951" t="s">
        <v>5094</v>
      </c>
      <c r="B951" t="s">
        <v>2470</v>
      </c>
      <c r="C951" t="s">
        <v>2471</v>
      </c>
      <c r="D951" s="2">
        <v>46126</v>
      </c>
      <c r="E951" t="s">
        <v>134</v>
      </c>
      <c r="F951" t="s">
        <v>134</v>
      </c>
      <c r="G951" t="s">
        <v>213</v>
      </c>
      <c r="H951" t="s">
        <v>214</v>
      </c>
      <c r="I951" t="s">
        <v>29</v>
      </c>
      <c r="J951" t="s">
        <v>70</v>
      </c>
      <c r="K951">
        <v>7</v>
      </c>
      <c r="L951">
        <v>26</v>
      </c>
      <c r="M951">
        <v>42600</v>
      </c>
      <c r="N951">
        <v>0</v>
      </c>
      <c r="O951">
        <v>42600</v>
      </c>
      <c r="P951">
        <v>20900</v>
      </c>
      <c r="Q951">
        <v>21700</v>
      </c>
      <c r="R951">
        <v>50.94</v>
      </c>
      <c r="S951" t="s">
        <v>5471</v>
      </c>
      <c r="T951">
        <v>3400</v>
      </c>
      <c r="U951">
        <v>4.5</v>
      </c>
      <c r="V951" t="s">
        <v>114</v>
      </c>
    </row>
    <row r="952" spans="1:22" x14ac:dyDescent="0.3">
      <c r="A952" t="s">
        <v>2409</v>
      </c>
      <c r="B952" t="s">
        <v>2410</v>
      </c>
      <c r="C952" t="s">
        <v>2411</v>
      </c>
      <c r="D952" s="2">
        <v>46126</v>
      </c>
      <c r="E952" t="s">
        <v>161</v>
      </c>
      <c r="F952" t="s">
        <v>161</v>
      </c>
      <c r="G952" t="s">
        <v>213</v>
      </c>
      <c r="H952" t="s">
        <v>5470</v>
      </c>
      <c r="I952" t="s">
        <v>69</v>
      </c>
      <c r="J952" t="s">
        <v>30</v>
      </c>
      <c r="K952">
        <v>4</v>
      </c>
      <c r="L952">
        <v>41</v>
      </c>
      <c r="M952">
        <v>130100</v>
      </c>
      <c r="N952">
        <v>26000</v>
      </c>
      <c r="O952">
        <v>104100</v>
      </c>
      <c r="P952">
        <v>92300</v>
      </c>
      <c r="Q952">
        <v>11800</v>
      </c>
      <c r="R952">
        <v>11.34</v>
      </c>
      <c r="S952" t="s">
        <v>58</v>
      </c>
      <c r="T952">
        <v>11800</v>
      </c>
      <c r="U952">
        <v>3.9</v>
      </c>
      <c r="V952" t="s">
        <v>82</v>
      </c>
    </row>
    <row r="953" spans="1:22" x14ac:dyDescent="0.3">
      <c r="A953" t="s">
        <v>172</v>
      </c>
      <c r="B953" t="s">
        <v>173</v>
      </c>
      <c r="C953" t="s">
        <v>174</v>
      </c>
      <c r="D953" s="2">
        <v>46127</v>
      </c>
      <c r="E953" t="s">
        <v>161</v>
      </c>
      <c r="F953" t="s">
        <v>161</v>
      </c>
      <c r="G953" t="s">
        <v>67</v>
      </c>
      <c r="H953" t="s">
        <v>28</v>
      </c>
      <c r="I953" t="s">
        <v>69</v>
      </c>
      <c r="J953" t="s">
        <v>30</v>
      </c>
      <c r="K953">
        <v>4</v>
      </c>
      <c r="L953">
        <v>45</v>
      </c>
      <c r="M953">
        <v>26300</v>
      </c>
      <c r="N953">
        <v>0</v>
      </c>
      <c r="O953">
        <v>26300</v>
      </c>
      <c r="P953">
        <v>12800</v>
      </c>
      <c r="Q953">
        <v>13500</v>
      </c>
      <c r="R953">
        <v>51.33</v>
      </c>
      <c r="S953" t="s">
        <v>182</v>
      </c>
      <c r="T953">
        <v>4700</v>
      </c>
      <c r="U953">
        <v>3.4</v>
      </c>
      <c r="V953" t="s">
        <v>79</v>
      </c>
    </row>
    <row r="954" spans="1:22" x14ac:dyDescent="0.3">
      <c r="A954" t="s">
        <v>4524</v>
      </c>
      <c r="B954" t="s">
        <v>3089</v>
      </c>
      <c r="C954" t="s">
        <v>3090</v>
      </c>
      <c r="D954" s="2">
        <v>46127</v>
      </c>
      <c r="E954" t="s">
        <v>244</v>
      </c>
      <c r="F954" t="s">
        <v>244</v>
      </c>
      <c r="G954" t="s">
        <v>27</v>
      </c>
      <c r="H954" t="s">
        <v>28</v>
      </c>
      <c r="I954" t="s">
        <v>29</v>
      </c>
      <c r="J954" t="s">
        <v>30</v>
      </c>
      <c r="K954">
        <v>4</v>
      </c>
      <c r="L954">
        <v>49</v>
      </c>
      <c r="M954">
        <v>36500</v>
      </c>
      <c r="N954">
        <v>7300</v>
      </c>
      <c r="O954">
        <v>29200</v>
      </c>
      <c r="P954">
        <v>17500</v>
      </c>
      <c r="Q954">
        <v>11700</v>
      </c>
      <c r="R954">
        <v>40.07</v>
      </c>
      <c r="S954" t="s">
        <v>126</v>
      </c>
      <c r="T954">
        <v>4800</v>
      </c>
      <c r="U954">
        <v>2.4</v>
      </c>
      <c r="V954" t="s">
        <v>58</v>
      </c>
    </row>
    <row r="955" spans="1:22" x14ac:dyDescent="0.3">
      <c r="A955" t="s">
        <v>408</v>
      </c>
      <c r="B955" t="s">
        <v>409</v>
      </c>
      <c r="C955" t="s">
        <v>410</v>
      </c>
      <c r="D955" s="2">
        <v>46127</v>
      </c>
      <c r="E955" t="s">
        <v>26</v>
      </c>
      <c r="F955" t="s">
        <v>26</v>
      </c>
      <c r="G955" t="s">
        <v>67</v>
      </c>
      <c r="H955" t="s">
        <v>68</v>
      </c>
      <c r="I955" t="s">
        <v>29</v>
      </c>
      <c r="J955" t="s">
        <v>30</v>
      </c>
      <c r="K955">
        <v>3</v>
      </c>
      <c r="L955">
        <v>28</v>
      </c>
      <c r="M955">
        <v>44700</v>
      </c>
      <c r="N955">
        <v>0</v>
      </c>
      <c r="O955">
        <v>44700</v>
      </c>
      <c r="P955">
        <v>23400</v>
      </c>
      <c r="Q955">
        <v>21300</v>
      </c>
      <c r="R955">
        <v>47.65</v>
      </c>
      <c r="S955" t="s">
        <v>126</v>
      </c>
      <c r="T955">
        <v>2400</v>
      </c>
      <c r="U955">
        <v>4.3</v>
      </c>
      <c r="V955" t="s">
        <v>42</v>
      </c>
    </row>
    <row r="956" spans="1:22" x14ac:dyDescent="0.3">
      <c r="A956" t="s">
        <v>3943</v>
      </c>
      <c r="B956" t="s">
        <v>3825</v>
      </c>
      <c r="C956" t="s">
        <v>3826</v>
      </c>
      <c r="D956" s="2">
        <v>46128</v>
      </c>
      <c r="E956" t="s">
        <v>188</v>
      </c>
      <c r="F956" t="s">
        <v>188</v>
      </c>
      <c r="G956" t="s">
        <v>147</v>
      </c>
      <c r="H956" t="s">
        <v>214</v>
      </c>
      <c r="I956" t="s">
        <v>29</v>
      </c>
      <c r="J956" t="s">
        <v>30</v>
      </c>
      <c r="K956">
        <v>7</v>
      </c>
      <c r="L956">
        <v>40</v>
      </c>
      <c r="M956">
        <v>17300</v>
      </c>
      <c r="N956">
        <v>2600</v>
      </c>
      <c r="O956">
        <v>14700</v>
      </c>
      <c r="P956">
        <v>12300</v>
      </c>
      <c r="Q956">
        <v>2400</v>
      </c>
      <c r="R956">
        <v>16.329999999999998</v>
      </c>
      <c r="S956" t="s">
        <v>39</v>
      </c>
      <c r="T956">
        <v>1800</v>
      </c>
      <c r="U956">
        <v>4.3</v>
      </c>
      <c r="V956" t="s">
        <v>42</v>
      </c>
    </row>
    <row r="957" spans="1:22" x14ac:dyDescent="0.3">
      <c r="A957" t="s">
        <v>1609</v>
      </c>
      <c r="B957" t="s">
        <v>1263</v>
      </c>
      <c r="C957" t="s">
        <v>1264</v>
      </c>
      <c r="D957" s="2">
        <v>46128</v>
      </c>
      <c r="E957" t="s">
        <v>188</v>
      </c>
      <c r="F957" t="s">
        <v>188</v>
      </c>
      <c r="G957" t="s">
        <v>67</v>
      </c>
      <c r="H957" t="s">
        <v>214</v>
      </c>
      <c r="I957" t="s">
        <v>29</v>
      </c>
      <c r="J957" t="s">
        <v>30</v>
      </c>
      <c r="K957">
        <v>10</v>
      </c>
      <c r="L957">
        <v>14</v>
      </c>
      <c r="M957">
        <v>85700</v>
      </c>
      <c r="N957">
        <v>4300</v>
      </c>
      <c r="O957">
        <v>81400</v>
      </c>
      <c r="P957">
        <v>54600</v>
      </c>
      <c r="Q957">
        <v>26800</v>
      </c>
      <c r="R957">
        <v>32.92</v>
      </c>
      <c r="S957" t="s">
        <v>79</v>
      </c>
      <c r="T957">
        <v>10700</v>
      </c>
      <c r="U957">
        <v>4.5</v>
      </c>
      <c r="V957" t="s">
        <v>114</v>
      </c>
    </row>
    <row r="958" spans="1:22" x14ac:dyDescent="0.3">
      <c r="A958" t="s">
        <v>5132</v>
      </c>
      <c r="B958" t="s">
        <v>2552</v>
      </c>
      <c r="C958" t="s">
        <v>2553</v>
      </c>
      <c r="D958" s="2">
        <v>46128</v>
      </c>
      <c r="E958" t="s">
        <v>188</v>
      </c>
      <c r="F958" t="s">
        <v>188</v>
      </c>
      <c r="G958" t="s">
        <v>103</v>
      </c>
      <c r="H958" t="s">
        <v>229</v>
      </c>
      <c r="I958" t="s">
        <v>69</v>
      </c>
      <c r="J958" t="s">
        <v>70</v>
      </c>
      <c r="K958">
        <v>2</v>
      </c>
      <c r="L958">
        <v>37</v>
      </c>
      <c r="M958">
        <v>40300</v>
      </c>
      <c r="N958">
        <v>4000</v>
      </c>
      <c r="O958">
        <v>36300</v>
      </c>
      <c r="P958">
        <v>19200</v>
      </c>
      <c r="Q958">
        <v>17100</v>
      </c>
      <c r="R958">
        <v>47.11</v>
      </c>
      <c r="S958" t="s">
        <v>97</v>
      </c>
      <c r="T958">
        <v>2200</v>
      </c>
      <c r="V958" t="s">
        <v>42</v>
      </c>
    </row>
    <row r="959" spans="1:22" x14ac:dyDescent="0.3">
      <c r="A959" t="s">
        <v>5410</v>
      </c>
      <c r="B959" t="s">
        <v>2687</v>
      </c>
      <c r="C959" t="s">
        <v>2688</v>
      </c>
      <c r="D959" s="2">
        <v>46128</v>
      </c>
      <c r="E959" t="s">
        <v>228</v>
      </c>
      <c r="F959" t="s">
        <v>228</v>
      </c>
      <c r="G959" t="s">
        <v>48</v>
      </c>
      <c r="H959" t="s">
        <v>68</v>
      </c>
      <c r="I959" t="s">
        <v>29</v>
      </c>
      <c r="J959" t="s">
        <v>70</v>
      </c>
      <c r="K959">
        <v>8</v>
      </c>
      <c r="L959">
        <v>79</v>
      </c>
      <c r="M959">
        <v>30300</v>
      </c>
      <c r="N959">
        <v>6100</v>
      </c>
      <c r="O959">
        <v>24200</v>
      </c>
      <c r="P959">
        <v>13900</v>
      </c>
      <c r="Q959">
        <v>10300</v>
      </c>
      <c r="R959">
        <v>42.56</v>
      </c>
      <c r="S959" t="s">
        <v>97</v>
      </c>
      <c r="T959">
        <v>2900</v>
      </c>
      <c r="U959">
        <v>4</v>
      </c>
      <c r="V959" t="s">
        <v>82</v>
      </c>
    </row>
    <row r="960" spans="1:22" x14ac:dyDescent="0.3">
      <c r="A960" t="s">
        <v>3556</v>
      </c>
      <c r="B960" t="s">
        <v>3557</v>
      </c>
      <c r="C960" t="s">
        <v>3558</v>
      </c>
      <c r="D960" s="2">
        <v>46129</v>
      </c>
      <c r="E960" t="s">
        <v>26</v>
      </c>
      <c r="F960" t="s">
        <v>26</v>
      </c>
      <c r="G960" t="s">
        <v>147</v>
      </c>
      <c r="H960" t="s">
        <v>214</v>
      </c>
      <c r="I960" t="s">
        <v>69</v>
      </c>
      <c r="J960" t="s">
        <v>30</v>
      </c>
      <c r="K960">
        <v>3</v>
      </c>
      <c r="L960">
        <v>23</v>
      </c>
      <c r="M960">
        <v>28900</v>
      </c>
      <c r="N960">
        <v>4300</v>
      </c>
      <c r="O960">
        <v>24600</v>
      </c>
      <c r="P960">
        <v>16900</v>
      </c>
      <c r="Q960">
        <v>7700</v>
      </c>
      <c r="R960">
        <v>31.3</v>
      </c>
      <c r="S960" t="s">
        <v>126</v>
      </c>
      <c r="T960">
        <v>4200</v>
      </c>
      <c r="U960">
        <v>4.8</v>
      </c>
      <c r="V960" t="s">
        <v>82</v>
      </c>
    </row>
    <row r="961" spans="1:22" x14ac:dyDescent="0.3">
      <c r="A961" t="s">
        <v>4683</v>
      </c>
      <c r="B961" t="s">
        <v>2504</v>
      </c>
      <c r="C961" t="s">
        <v>2505</v>
      </c>
      <c r="D961" s="2">
        <v>46130</v>
      </c>
      <c r="E961" t="s">
        <v>161</v>
      </c>
      <c r="F961" t="s">
        <v>161</v>
      </c>
      <c r="G961" t="s">
        <v>48</v>
      </c>
      <c r="H961" t="s">
        <v>5470</v>
      </c>
      <c r="I961" t="s">
        <v>69</v>
      </c>
      <c r="J961" t="s">
        <v>162</v>
      </c>
      <c r="K961">
        <v>2</v>
      </c>
      <c r="L961">
        <v>21</v>
      </c>
      <c r="M961">
        <v>31700</v>
      </c>
      <c r="N961">
        <v>4800</v>
      </c>
      <c r="O961">
        <v>26900</v>
      </c>
      <c r="P961">
        <v>14800</v>
      </c>
      <c r="Q961">
        <v>12100</v>
      </c>
      <c r="R961">
        <v>44.98</v>
      </c>
      <c r="S961" t="s">
        <v>79</v>
      </c>
      <c r="T961">
        <v>1800</v>
      </c>
      <c r="U961">
        <v>3.5</v>
      </c>
      <c r="V961" t="s">
        <v>58</v>
      </c>
    </row>
    <row r="962" spans="1:22" x14ac:dyDescent="0.3">
      <c r="A962" t="s">
        <v>4063</v>
      </c>
      <c r="B962" t="s">
        <v>1343</v>
      </c>
      <c r="C962" t="s">
        <v>1344</v>
      </c>
      <c r="D962" s="2">
        <v>46130</v>
      </c>
      <c r="E962" t="s">
        <v>282</v>
      </c>
      <c r="F962" t="s">
        <v>282</v>
      </c>
      <c r="G962" t="s">
        <v>103</v>
      </c>
      <c r="H962" t="s">
        <v>28</v>
      </c>
      <c r="I962" t="s">
        <v>69</v>
      </c>
      <c r="J962" t="s">
        <v>70</v>
      </c>
      <c r="K962">
        <v>7</v>
      </c>
      <c r="L962">
        <v>61</v>
      </c>
      <c r="M962">
        <v>46200</v>
      </c>
      <c r="N962">
        <v>0</v>
      </c>
      <c r="O962">
        <v>46200</v>
      </c>
      <c r="P962">
        <v>29000</v>
      </c>
      <c r="Q962">
        <v>17200</v>
      </c>
      <c r="R962">
        <v>37.229999999999997</v>
      </c>
      <c r="S962" t="s">
        <v>97</v>
      </c>
      <c r="T962">
        <v>3600</v>
      </c>
      <c r="U962">
        <v>4</v>
      </c>
      <c r="V962" t="s">
        <v>79</v>
      </c>
    </row>
    <row r="963" spans="1:22" x14ac:dyDescent="0.3">
      <c r="A963" t="s">
        <v>1707</v>
      </c>
      <c r="B963" t="s">
        <v>1708</v>
      </c>
      <c r="C963" t="s">
        <v>1709</v>
      </c>
      <c r="D963" s="2">
        <v>46131</v>
      </c>
      <c r="E963" t="s">
        <v>244</v>
      </c>
      <c r="F963" t="s">
        <v>244</v>
      </c>
      <c r="G963" t="s">
        <v>67</v>
      </c>
      <c r="H963" t="s">
        <v>88</v>
      </c>
      <c r="I963" t="s">
        <v>69</v>
      </c>
      <c r="J963" t="s">
        <v>70</v>
      </c>
      <c r="K963">
        <v>6</v>
      </c>
      <c r="L963">
        <v>20</v>
      </c>
      <c r="M963">
        <v>34800</v>
      </c>
      <c r="N963">
        <v>0</v>
      </c>
      <c r="O963">
        <v>34800</v>
      </c>
      <c r="P963">
        <v>23000</v>
      </c>
      <c r="Q963">
        <v>11800</v>
      </c>
      <c r="R963">
        <v>33.909999999999997</v>
      </c>
      <c r="S963" t="s">
        <v>97</v>
      </c>
      <c r="T963">
        <v>5600</v>
      </c>
      <c r="U963">
        <v>3.9</v>
      </c>
      <c r="V963" t="s">
        <v>114</v>
      </c>
    </row>
    <row r="964" spans="1:22" x14ac:dyDescent="0.3">
      <c r="A964" t="s">
        <v>5065</v>
      </c>
      <c r="B964" t="s">
        <v>860</v>
      </c>
      <c r="C964" t="s">
        <v>861</v>
      </c>
      <c r="D964" s="2">
        <v>46131</v>
      </c>
      <c r="E964" t="s">
        <v>66</v>
      </c>
      <c r="F964" t="s">
        <v>66</v>
      </c>
      <c r="G964" t="s">
        <v>147</v>
      </c>
      <c r="H964" t="s">
        <v>229</v>
      </c>
      <c r="I964" t="s">
        <v>29</v>
      </c>
      <c r="J964" t="s">
        <v>30</v>
      </c>
      <c r="K964">
        <v>7</v>
      </c>
      <c r="L964">
        <v>9</v>
      </c>
      <c r="M964">
        <v>74500</v>
      </c>
      <c r="N964">
        <v>0</v>
      </c>
      <c r="O964">
        <v>74500</v>
      </c>
      <c r="P964">
        <v>46900</v>
      </c>
      <c r="Q964">
        <v>27600</v>
      </c>
      <c r="R964">
        <v>37.049999999999997</v>
      </c>
      <c r="S964" t="s">
        <v>79</v>
      </c>
      <c r="T964">
        <v>9800</v>
      </c>
      <c r="U964">
        <v>4.9000000000000004</v>
      </c>
      <c r="V964" t="s">
        <v>42</v>
      </c>
    </row>
    <row r="965" spans="1:22" x14ac:dyDescent="0.3">
      <c r="A965" t="s">
        <v>4978</v>
      </c>
      <c r="B965" t="s">
        <v>3537</v>
      </c>
      <c r="C965" t="s">
        <v>3538</v>
      </c>
      <c r="D965" s="2">
        <v>46132</v>
      </c>
      <c r="E965" t="s">
        <v>26</v>
      </c>
      <c r="F965" t="s">
        <v>26</v>
      </c>
      <c r="G965" t="s">
        <v>213</v>
      </c>
      <c r="H965" t="s">
        <v>5470</v>
      </c>
      <c r="I965" t="s">
        <v>69</v>
      </c>
      <c r="J965" t="s">
        <v>30</v>
      </c>
      <c r="K965">
        <v>3</v>
      </c>
      <c r="L965">
        <v>21</v>
      </c>
      <c r="M965">
        <v>38800</v>
      </c>
      <c r="N965">
        <v>1900</v>
      </c>
      <c r="O965">
        <v>36900</v>
      </c>
      <c r="P965">
        <v>17800</v>
      </c>
      <c r="Q965">
        <v>19100</v>
      </c>
      <c r="R965">
        <v>51.76</v>
      </c>
      <c r="S965" t="s">
        <v>79</v>
      </c>
      <c r="T965">
        <v>3200</v>
      </c>
      <c r="U965">
        <v>4.3</v>
      </c>
      <c r="V965" t="s">
        <v>82</v>
      </c>
    </row>
    <row r="966" spans="1:22" x14ac:dyDescent="0.3">
      <c r="A966" t="s">
        <v>3445</v>
      </c>
      <c r="B966" t="s">
        <v>1101</v>
      </c>
      <c r="C966" t="s">
        <v>1102</v>
      </c>
      <c r="D966" s="2">
        <v>46132</v>
      </c>
      <c r="E966" t="s">
        <v>244</v>
      </c>
      <c r="F966" t="s">
        <v>244</v>
      </c>
      <c r="G966" t="s">
        <v>213</v>
      </c>
      <c r="H966" t="s">
        <v>229</v>
      </c>
      <c r="I966" t="s">
        <v>69</v>
      </c>
      <c r="J966" t="s">
        <v>162</v>
      </c>
      <c r="K966">
        <v>4</v>
      </c>
      <c r="L966">
        <v>36</v>
      </c>
      <c r="M966">
        <v>66400</v>
      </c>
      <c r="N966">
        <v>10000</v>
      </c>
      <c r="O966">
        <v>56400</v>
      </c>
      <c r="P966">
        <v>39700</v>
      </c>
      <c r="Q966">
        <v>16700</v>
      </c>
      <c r="R966">
        <v>29.61</v>
      </c>
      <c r="S966" t="s">
        <v>97</v>
      </c>
      <c r="T966">
        <v>5500</v>
      </c>
      <c r="U966">
        <v>4.0999999999999996</v>
      </c>
      <c r="V966" t="s">
        <v>79</v>
      </c>
    </row>
    <row r="967" spans="1:22" x14ac:dyDescent="0.3">
      <c r="A967" t="s">
        <v>1762</v>
      </c>
      <c r="B967" t="s">
        <v>577</v>
      </c>
      <c r="C967" t="s">
        <v>578</v>
      </c>
      <c r="D967" s="2">
        <v>46132</v>
      </c>
      <c r="E967" t="s">
        <v>228</v>
      </c>
      <c r="F967" t="s">
        <v>228</v>
      </c>
      <c r="G967" t="s">
        <v>213</v>
      </c>
      <c r="H967" t="s">
        <v>28</v>
      </c>
      <c r="I967" t="s">
        <v>69</v>
      </c>
      <c r="J967" t="s">
        <v>30</v>
      </c>
      <c r="K967">
        <v>2</v>
      </c>
      <c r="L967">
        <v>26</v>
      </c>
      <c r="M967">
        <v>15500</v>
      </c>
      <c r="N967">
        <v>0</v>
      </c>
      <c r="O967">
        <v>15500</v>
      </c>
      <c r="P967">
        <v>10300</v>
      </c>
      <c r="Q967">
        <v>5200</v>
      </c>
      <c r="R967">
        <v>33.549999999999997</v>
      </c>
      <c r="S967" t="s">
        <v>79</v>
      </c>
      <c r="T967">
        <v>1500</v>
      </c>
      <c r="U967">
        <v>4.4000000000000004</v>
      </c>
      <c r="V967" t="s">
        <v>82</v>
      </c>
    </row>
    <row r="968" spans="1:22" x14ac:dyDescent="0.3">
      <c r="A968" t="s">
        <v>4106</v>
      </c>
      <c r="B968" t="s">
        <v>130</v>
      </c>
      <c r="C968" t="s">
        <v>131</v>
      </c>
      <c r="D968" s="2">
        <v>46133</v>
      </c>
      <c r="E968" t="s">
        <v>188</v>
      </c>
      <c r="F968" t="s">
        <v>188</v>
      </c>
      <c r="G968" t="s">
        <v>103</v>
      </c>
      <c r="H968" t="s">
        <v>214</v>
      </c>
      <c r="I968" t="s">
        <v>69</v>
      </c>
      <c r="J968" t="s">
        <v>30</v>
      </c>
      <c r="K968">
        <v>9</v>
      </c>
      <c r="L968">
        <v>36</v>
      </c>
      <c r="M968">
        <v>74100</v>
      </c>
      <c r="N968">
        <v>0</v>
      </c>
      <c r="O968">
        <v>74100</v>
      </c>
      <c r="P968">
        <v>35600</v>
      </c>
      <c r="Q968">
        <v>38500</v>
      </c>
      <c r="R968">
        <v>51.96</v>
      </c>
      <c r="S968" t="s">
        <v>79</v>
      </c>
      <c r="T968">
        <v>9400</v>
      </c>
      <c r="U968">
        <v>5</v>
      </c>
      <c r="V968" t="s">
        <v>79</v>
      </c>
    </row>
    <row r="969" spans="1:22" x14ac:dyDescent="0.3">
      <c r="A969" t="s">
        <v>3934</v>
      </c>
      <c r="B969" t="s">
        <v>2052</v>
      </c>
      <c r="C969" t="s">
        <v>2053</v>
      </c>
      <c r="D969" s="2">
        <v>46133</v>
      </c>
      <c r="E969" t="s">
        <v>244</v>
      </c>
      <c r="F969" t="s">
        <v>244</v>
      </c>
      <c r="G969" t="s">
        <v>147</v>
      </c>
      <c r="H969" t="s">
        <v>88</v>
      </c>
      <c r="I969" t="s">
        <v>29</v>
      </c>
      <c r="J969" t="s">
        <v>70</v>
      </c>
      <c r="K969">
        <v>6</v>
      </c>
      <c r="L969">
        <v>18</v>
      </c>
      <c r="M969">
        <v>58300</v>
      </c>
      <c r="N969">
        <v>0</v>
      </c>
      <c r="O969">
        <v>58300</v>
      </c>
      <c r="P969">
        <v>29900</v>
      </c>
      <c r="Q969">
        <v>28400</v>
      </c>
      <c r="R969">
        <v>48.71</v>
      </c>
      <c r="S969" t="s">
        <v>58</v>
      </c>
      <c r="T969">
        <v>8100</v>
      </c>
      <c r="U969">
        <v>4.0999999999999996</v>
      </c>
      <c r="V969" t="s">
        <v>82</v>
      </c>
    </row>
    <row r="970" spans="1:22" x14ac:dyDescent="0.3">
      <c r="A970" t="s">
        <v>3454</v>
      </c>
      <c r="B970" t="s">
        <v>2089</v>
      </c>
      <c r="C970" t="s">
        <v>2090</v>
      </c>
      <c r="D970" s="2">
        <v>46134</v>
      </c>
      <c r="E970" t="s">
        <v>161</v>
      </c>
      <c r="F970" t="s">
        <v>161</v>
      </c>
      <c r="G970" t="s">
        <v>27</v>
      </c>
      <c r="H970" t="s">
        <v>49</v>
      </c>
      <c r="I970" t="s">
        <v>69</v>
      </c>
      <c r="J970" t="s">
        <v>30</v>
      </c>
      <c r="K970">
        <v>2</v>
      </c>
      <c r="L970">
        <v>17</v>
      </c>
      <c r="M970">
        <v>41700</v>
      </c>
      <c r="N970">
        <v>2100</v>
      </c>
      <c r="O970">
        <v>39600</v>
      </c>
      <c r="P970">
        <v>20200</v>
      </c>
      <c r="Q970">
        <v>19400</v>
      </c>
      <c r="R970">
        <v>48.99</v>
      </c>
      <c r="S970" t="s">
        <v>79</v>
      </c>
      <c r="T970">
        <v>5700</v>
      </c>
      <c r="U970">
        <v>3.6</v>
      </c>
      <c r="V970" t="s">
        <v>82</v>
      </c>
    </row>
    <row r="971" spans="1:22" x14ac:dyDescent="0.3">
      <c r="A971" t="s">
        <v>2598</v>
      </c>
      <c r="B971" t="s">
        <v>1766</v>
      </c>
      <c r="C971" t="s">
        <v>1767</v>
      </c>
      <c r="D971" s="2">
        <v>46135</v>
      </c>
      <c r="E971" t="s">
        <v>244</v>
      </c>
      <c r="F971" t="s">
        <v>244</v>
      </c>
      <c r="G971" t="s">
        <v>147</v>
      </c>
      <c r="H971" t="s">
        <v>268</v>
      </c>
      <c r="I971" t="s">
        <v>69</v>
      </c>
      <c r="J971" t="s">
        <v>30</v>
      </c>
      <c r="K971">
        <v>4</v>
      </c>
      <c r="L971">
        <v>27</v>
      </c>
      <c r="M971">
        <v>59500</v>
      </c>
      <c r="N971">
        <v>0</v>
      </c>
      <c r="O971">
        <v>59500</v>
      </c>
      <c r="P971">
        <v>33400</v>
      </c>
      <c r="Q971">
        <v>26100</v>
      </c>
      <c r="R971">
        <v>43.87</v>
      </c>
      <c r="S971" t="s">
        <v>58</v>
      </c>
      <c r="T971">
        <v>10400</v>
      </c>
      <c r="U971">
        <v>4.5999999999999996</v>
      </c>
      <c r="V971" t="s">
        <v>58</v>
      </c>
    </row>
    <row r="972" spans="1:22" x14ac:dyDescent="0.3">
      <c r="A972" t="s">
        <v>2870</v>
      </c>
      <c r="B972" t="s">
        <v>2871</v>
      </c>
      <c r="C972" t="s">
        <v>2872</v>
      </c>
      <c r="D972" s="2">
        <v>46136</v>
      </c>
      <c r="E972" t="s">
        <v>188</v>
      </c>
      <c r="F972" t="s">
        <v>188</v>
      </c>
      <c r="G972" t="s">
        <v>5471</v>
      </c>
      <c r="H972" t="s">
        <v>68</v>
      </c>
      <c r="I972" t="s">
        <v>69</v>
      </c>
      <c r="J972" t="s">
        <v>162</v>
      </c>
      <c r="K972">
        <v>10</v>
      </c>
      <c r="L972">
        <v>5</v>
      </c>
      <c r="M972">
        <v>43500</v>
      </c>
      <c r="N972">
        <v>0</v>
      </c>
      <c r="O972">
        <v>43500</v>
      </c>
      <c r="P972">
        <v>29500</v>
      </c>
      <c r="Q972">
        <v>14000</v>
      </c>
      <c r="R972">
        <v>32.18</v>
      </c>
      <c r="S972" t="s">
        <v>182</v>
      </c>
      <c r="T972">
        <v>7200</v>
      </c>
      <c r="U972">
        <v>4</v>
      </c>
      <c r="V972" t="s">
        <v>58</v>
      </c>
    </row>
    <row r="973" spans="1:22" x14ac:dyDescent="0.3">
      <c r="A973" t="s">
        <v>4313</v>
      </c>
      <c r="B973" t="s">
        <v>2890</v>
      </c>
      <c r="C973" t="s">
        <v>2891</v>
      </c>
      <c r="D973" s="2">
        <v>46137</v>
      </c>
      <c r="E973" t="s">
        <v>188</v>
      </c>
      <c r="F973" t="s">
        <v>188</v>
      </c>
      <c r="G973" t="s">
        <v>103</v>
      </c>
      <c r="H973" t="s">
        <v>268</v>
      </c>
      <c r="I973" t="s">
        <v>69</v>
      </c>
      <c r="J973" t="s">
        <v>30</v>
      </c>
      <c r="K973">
        <v>10</v>
      </c>
      <c r="L973">
        <v>44</v>
      </c>
      <c r="M973">
        <v>53500</v>
      </c>
      <c r="N973">
        <v>2700</v>
      </c>
      <c r="O973">
        <v>50800</v>
      </c>
      <c r="P973">
        <v>23700</v>
      </c>
      <c r="Q973">
        <v>27100</v>
      </c>
      <c r="R973">
        <v>53.35</v>
      </c>
      <c r="S973" t="s">
        <v>97</v>
      </c>
      <c r="T973">
        <v>5700</v>
      </c>
      <c r="U973">
        <v>3.9</v>
      </c>
      <c r="V973" t="s">
        <v>42</v>
      </c>
    </row>
    <row r="974" spans="1:22" x14ac:dyDescent="0.3">
      <c r="A974" t="s">
        <v>3740</v>
      </c>
      <c r="B974" t="s">
        <v>1166</v>
      </c>
      <c r="C974" t="s">
        <v>1167</v>
      </c>
      <c r="D974" s="2">
        <v>46137</v>
      </c>
      <c r="E974" t="s">
        <v>282</v>
      </c>
      <c r="F974" t="s">
        <v>282</v>
      </c>
      <c r="G974" t="s">
        <v>48</v>
      </c>
      <c r="H974" t="s">
        <v>68</v>
      </c>
      <c r="I974" t="s">
        <v>69</v>
      </c>
      <c r="J974" t="s">
        <v>30</v>
      </c>
      <c r="K974">
        <v>4</v>
      </c>
      <c r="L974">
        <v>65</v>
      </c>
      <c r="M974">
        <v>63700</v>
      </c>
      <c r="N974">
        <v>6400</v>
      </c>
      <c r="O974">
        <v>57300</v>
      </c>
      <c r="P974">
        <v>46400</v>
      </c>
      <c r="Q974">
        <v>10900</v>
      </c>
      <c r="R974">
        <v>19.02</v>
      </c>
      <c r="S974" t="s">
        <v>126</v>
      </c>
      <c r="T974">
        <v>5600</v>
      </c>
      <c r="U974">
        <v>4.4000000000000004</v>
      </c>
      <c r="V974" t="s">
        <v>42</v>
      </c>
    </row>
    <row r="975" spans="1:22" x14ac:dyDescent="0.3">
      <c r="A975" t="s">
        <v>1405</v>
      </c>
      <c r="B975" t="s">
        <v>640</v>
      </c>
      <c r="C975" t="s">
        <v>641</v>
      </c>
      <c r="D975" s="2">
        <v>46139</v>
      </c>
      <c r="E975" t="s">
        <v>244</v>
      </c>
      <c r="F975" t="s">
        <v>244</v>
      </c>
      <c r="G975" t="s">
        <v>67</v>
      </c>
      <c r="H975" t="s">
        <v>88</v>
      </c>
      <c r="I975" t="s">
        <v>69</v>
      </c>
      <c r="J975" t="s">
        <v>70</v>
      </c>
      <c r="K975">
        <v>2</v>
      </c>
      <c r="L975">
        <v>30</v>
      </c>
      <c r="M975">
        <v>38000</v>
      </c>
      <c r="N975">
        <v>7600</v>
      </c>
      <c r="O975">
        <v>30400</v>
      </c>
      <c r="P975">
        <v>21400</v>
      </c>
      <c r="Q975">
        <v>9000</v>
      </c>
      <c r="R975">
        <v>29.61</v>
      </c>
      <c r="S975" t="s">
        <v>126</v>
      </c>
      <c r="T975">
        <v>4800</v>
      </c>
      <c r="U975">
        <v>4.5</v>
      </c>
      <c r="V975" t="s">
        <v>42</v>
      </c>
    </row>
    <row r="976" spans="1:22" x14ac:dyDescent="0.3">
      <c r="A976" t="s">
        <v>493</v>
      </c>
      <c r="B976" t="s">
        <v>494</v>
      </c>
      <c r="C976" t="s">
        <v>495</v>
      </c>
      <c r="D976" s="2">
        <v>46139</v>
      </c>
      <c r="E976" t="s">
        <v>161</v>
      </c>
      <c r="F976" t="s">
        <v>161</v>
      </c>
      <c r="G976" t="s">
        <v>118</v>
      </c>
      <c r="H976" t="s">
        <v>268</v>
      </c>
      <c r="I976" t="s">
        <v>29</v>
      </c>
      <c r="J976" t="s">
        <v>30</v>
      </c>
      <c r="K976">
        <v>5</v>
      </c>
      <c r="L976">
        <v>46</v>
      </c>
      <c r="M976">
        <v>42600</v>
      </c>
      <c r="N976">
        <v>0</v>
      </c>
      <c r="O976">
        <v>42600</v>
      </c>
      <c r="P976">
        <v>34300</v>
      </c>
      <c r="Q976">
        <v>8300</v>
      </c>
      <c r="R976">
        <v>19.48</v>
      </c>
      <c r="S976" t="s">
        <v>79</v>
      </c>
      <c r="T976">
        <v>2200</v>
      </c>
      <c r="U976">
        <v>3.5</v>
      </c>
      <c r="V976" t="s">
        <v>114</v>
      </c>
    </row>
    <row r="977" spans="1:22" x14ac:dyDescent="0.3">
      <c r="A977" t="s">
        <v>2403</v>
      </c>
      <c r="B977" t="s">
        <v>2005</v>
      </c>
      <c r="C977" t="s">
        <v>2006</v>
      </c>
      <c r="D977" s="2">
        <v>46139</v>
      </c>
      <c r="E977" t="s">
        <v>282</v>
      </c>
      <c r="F977" t="s">
        <v>282</v>
      </c>
      <c r="G977" t="s">
        <v>27</v>
      </c>
      <c r="H977" t="s">
        <v>214</v>
      </c>
      <c r="I977" t="s">
        <v>29</v>
      </c>
      <c r="J977" t="s">
        <v>162</v>
      </c>
      <c r="K977">
        <v>2</v>
      </c>
      <c r="L977">
        <v>16</v>
      </c>
      <c r="M977">
        <v>89700</v>
      </c>
      <c r="N977">
        <v>0</v>
      </c>
      <c r="O977">
        <v>89700</v>
      </c>
      <c r="P977">
        <v>54800</v>
      </c>
      <c r="Q977">
        <v>34900</v>
      </c>
      <c r="R977">
        <v>38.909999999999997</v>
      </c>
      <c r="S977" t="s">
        <v>79</v>
      </c>
      <c r="T977">
        <v>4300</v>
      </c>
      <c r="U977">
        <v>4.3</v>
      </c>
      <c r="V977" t="s">
        <v>58</v>
      </c>
    </row>
    <row r="978" spans="1:22" x14ac:dyDescent="0.3">
      <c r="A978" t="s">
        <v>3044</v>
      </c>
      <c r="B978" t="s">
        <v>756</v>
      </c>
      <c r="C978" t="s">
        <v>757</v>
      </c>
      <c r="D978" s="2">
        <v>46140</v>
      </c>
      <c r="E978" t="s">
        <v>66</v>
      </c>
      <c r="F978" t="s">
        <v>66</v>
      </c>
      <c r="G978" t="s">
        <v>103</v>
      </c>
      <c r="H978" t="s">
        <v>49</v>
      </c>
      <c r="I978" t="s">
        <v>69</v>
      </c>
      <c r="J978" t="s">
        <v>30</v>
      </c>
      <c r="K978">
        <v>2</v>
      </c>
      <c r="L978">
        <v>38</v>
      </c>
      <c r="M978">
        <v>24500</v>
      </c>
      <c r="N978">
        <v>3700</v>
      </c>
      <c r="O978">
        <v>20800</v>
      </c>
      <c r="P978">
        <v>10700</v>
      </c>
      <c r="Q978">
        <v>10100</v>
      </c>
      <c r="R978">
        <v>48.56</v>
      </c>
      <c r="S978" t="s">
        <v>182</v>
      </c>
      <c r="T978">
        <v>3700</v>
      </c>
      <c r="U978">
        <v>4.5</v>
      </c>
      <c r="V978" t="s">
        <v>58</v>
      </c>
    </row>
    <row r="979" spans="1:22" x14ac:dyDescent="0.3">
      <c r="A979" t="s">
        <v>4719</v>
      </c>
      <c r="B979" t="s">
        <v>4206</v>
      </c>
      <c r="C979" t="s">
        <v>4207</v>
      </c>
      <c r="D979" s="2">
        <v>46141</v>
      </c>
      <c r="E979" t="s">
        <v>282</v>
      </c>
      <c r="F979" t="s">
        <v>282</v>
      </c>
      <c r="G979" t="s">
        <v>67</v>
      </c>
      <c r="H979" t="s">
        <v>68</v>
      </c>
      <c r="I979" t="s">
        <v>69</v>
      </c>
      <c r="J979" t="s">
        <v>30</v>
      </c>
      <c r="K979">
        <v>4</v>
      </c>
      <c r="L979">
        <v>42</v>
      </c>
      <c r="M979">
        <v>43500</v>
      </c>
      <c r="N979">
        <v>0</v>
      </c>
      <c r="O979">
        <v>43500</v>
      </c>
      <c r="P979">
        <v>35000</v>
      </c>
      <c r="Q979">
        <v>8500</v>
      </c>
      <c r="R979">
        <v>19.54</v>
      </c>
      <c r="S979" t="s">
        <v>97</v>
      </c>
      <c r="T979">
        <v>5500</v>
      </c>
      <c r="U979">
        <v>3.1</v>
      </c>
      <c r="V979" t="s">
        <v>82</v>
      </c>
    </row>
    <row r="980" spans="1:22" x14ac:dyDescent="0.3">
      <c r="A980" t="s">
        <v>569</v>
      </c>
      <c r="B980" t="s">
        <v>570</v>
      </c>
      <c r="C980" t="s">
        <v>571</v>
      </c>
      <c r="D980" s="2">
        <v>46142</v>
      </c>
      <c r="E980" t="s">
        <v>134</v>
      </c>
      <c r="F980" t="s">
        <v>134</v>
      </c>
      <c r="G980" t="s">
        <v>118</v>
      </c>
      <c r="H980" t="s">
        <v>5470</v>
      </c>
      <c r="I980" t="s">
        <v>69</v>
      </c>
      <c r="J980" t="s">
        <v>70</v>
      </c>
      <c r="K980">
        <v>4</v>
      </c>
      <c r="L980">
        <v>37</v>
      </c>
      <c r="M980">
        <v>59000</v>
      </c>
      <c r="N980">
        <v>5900</v>
      </c>
      <c r="O980">
        <v>53100</v>
      </c>
      <c r="P980">
        <v>44700</v>
      </c>
      <c r="Q980">
        <v>8400</v>
      </c>
      <c r="R980">
        <v>15.82</v>
      </c>
      <c r="S980" t="s">
        <v>79</v>
      </c>
      <c r="T980">
        <v>5200</v>
      </c>
      <c r="U980">
        <v>3.6</v>
      </c>
      <c r="V980" t="s">
        <v>82</v>
      </c>
    </row>
    <row r="981" spans="1:22" x14ac:dyDescent="0.3">
      <c r="A981" t="s">
        <v>4368</v>
      </c>
      <c r="B981" t="s">
        <v>809</v>
      </c>
      <c r="C981" t="s">
        <v>810</v>
      </c>
      <c r="D981" s="2">
        <v>46143</v>
      </c>
      <c r="E981" t="s">
        <v>188</v>
      </c>
      <c r="F981" t="s">
        <v>188</v>
      </c>
      <c r="G981" t="s">
        <v>147</v>
      </c>
      <c r="H981" t="s">
        <v>68</v>
      </c>
      <c r="I981" t="s">
        <v>29</v>
      </c>
      <c r="J981" t="s">
        <v>30</v>
      </c>
      <c r="K981">
        <v>5</v>
      </c>
      <c r="L981">
        <v>20</v>
      </c>
      <c r="M981">
        <v>15000</v>
      </c>
      <c r="N981">
        <v>1500</v>
      </c>
      <c r="O981">
        <v>13500</v>
      </c>
      <c r="P981">
        <v>8800</v>
      </c>
      <c r="Q981">
        <v>4700</v>
      </c>
      <c r="R981">
        <v>34.81</v>
      </c>
      <c r="S981" t="s">
        <v>79</v>
      </c>
      <c r="T981">
        <v>1400</v>
      </c>
      <c r="U981">
        <v>4.8</v>
      </c>
      <c r="V981" t="s">
        <v>79</v>
      </c>
    </row>
    <row r="982" spans="1:22" x14ac:dyDescent="0.3">
      <c r="A982" t="s">
        <v>4439</v>
      </c>
      <c r="B982" t="s">
        <v>1617</v>
      </c>
      <c r="C982" t="s">
        <v>1618</v>
      </c>
      <c r="D982" s="2">
        <v>46143</v>
      </c>
      <c r="E982" t="s">
        <v>188</v>
      </c>
      <c r="F982" t="s">
        <v>188</v>
      </c>
      <c r="G982" t="s">
        <v>118</v>
      </c>
      <c r="H982" t="s">
        <v>229</v>
      </c>
      <c r="I982" t="s">
        <v>69</v>
      </c>
      <c r="J982" t="s">
        <v>162</v>
      </c>
      <c r="K982">
        <v>4</v>
      </c>
      <c r="L982">
        <v>58</v>
      </c>
      <c r="M982">
        <v>23700</v>
      </c>
      <c r="N982">
        <v>3600</v>
      </c>
      <c r="O982">
        <v>20100</v>
      </c>
      <c r="P982">
        <v>16300</v>
      </c>
      <c r="Q982">
        <v>3800</v>
      </c>
      <c r="R982">
        <v>18.91</v>
      </c>
      <c r="S982" t="s">
        <v>79</v>
      </c>
      <c r="T982">
        <v>3500</v>
      </c>
      <c r="U982">
        <v>3.9</v>
      </c>
      <c r="V982" t="s">
        <v>82</v>
      </c>
    </row>
    <row r="983" spans="1:22" x14ac:dyDescent="0.3">
      <c r="A983" t="s">
        <v>2345</v>
      </c>
      <c r="B983" t="s">
        <v>2346</v>
      </c>
      <c r="C983" t="s">
        <v>2347</v>
      </c>
      <c r="D983" s="2">
        <v>46144</v>
      </c>
      <c r="E983" t="s">
        <v>134</v>
      </c>
      <c r="F983" t="s">
        <v>134</v>
      </c>
      <c r="G983" t="s">
        <v>118</v>
      </c>
      <c r="H983" t="s">
        <v>268</v>
      </c>
      <c r="I983" t="s">
        <v>29</v>
      </c>
      <c r="J983" t="s">
        <v>162</v>
      </c>
      <c r="K983">
        <v>6</v>
      </c>
      <c r="L983">
        <v>64</v>
      </c>
      <c r="M983">
        <v>57000</v>
      </c>
      <c r="N983">
        <v>2800</v>
      </c>
      <c r="O983">
        <v>54200</v>
      </c>
      <c r="P983">
        <v>26200</v>
      </c>
      <c r="Q983">
        <v>28000</v>
      </c>
      <c r="R983">
        <v>51.66</v>
      </c>
      <c r="S983" t="s">
        <v>126</v>
      </c>
      <c r="T983">
        <v>6600</v>
      </c>
      <c r="U983">
        <v>4.9000000000000004</v>
      </c>
      <c r="V983" t="s">
        <v>82</v>
      </c>
    </row>
    <row r="984" spans="1:22" x14ac:dyDescent="0.3">
      <c r="A984" t="s">
        <v>4724</v>
      </c>
      <c r="B984" t="s">
        <v>510</v>
      </c>
      <c r="C984" t="s">
        <v>511</v>
      </c>
      <c r="D984" s="2">
        <v>46145</v>
      </c>
      <c r="E984" t="s">
        <v>282</v>
      </c>
      <c r="F984" t="s">
        <v>282</v>
      </c>
      <c r="G984" t="s">
        <v>103</v>
      </c>
      <c r="H984" t="s">
        <v>5470</v>
      </c>
      <c r="I984" t="s">
        <v>69</v>
      </c>
      <c r="J984" t="s">
        <v>70</v>
      </c>
      <c r="K984">
        <v>7</v>
      </c>
      <c r="L984">
        <v>21</v>
      </c>
      <c r="M984">
        <v>53000</v>
      </c>
      <c r="N984">
        <v>8000</v>
      </c>
      <c r="O984">
        <v>45000</v>
      </c>
      <c r="P984">
        <v>42000</v>
      </c>
      <c r="Q984">
        <v>3000</v>
      </c>
      <c r="R984">
        <v>6.67</v>
      </c>
      <c r="S984" t="s">
        <v>79</v>
      </c>
      <c r="T984">
        <v>5700</v>
      </c>
      <c r="U984">
        <v>4.2</v>
      </c>
      <c r="V984" t="s">
        <v>79</v>
      </c>
    </row>
    <row r="985" spans="1:22" x14ac:dyDescent="0.3">
      <c r="A985" t="s">
        <v>1291</v>
      </c>
      <c r="B985" t="s">
        <v>1292</v>
      </c>
      <c r="C985" t="s">
        <v>1293</v>
      </c>
      <c r="D985" s="2">
        <v>46145</v>
      </c>
      <c r="E985" t="s">
        <v>188</v>
      </c>
      <c r="F985" t="s">
        <v>188</v>
      </c>
      <c r="G985" t="s">
        <v>580</v>
      </c>
      <c r="H985" t="s">
        <v>5470</v>
      </c>
      <c r="I985" t="s">
        <v>69</v>
      </c>
      <c r="J985" t="s">
        <v>30</v>
      </c>
      <c r="K985">
        <v>10</v>
      </c>
      <c r="L985">
        <v>47</v>
      </c>
      <c r="M985">
        <v>108200</v>
      </c>
      <c r="N985">
        <v>0</v>
      </c>
      <c r="O985">
        <v>108200</v>
      </c>
      <c r="P985">
        <v>74200</v>
      </c>
      <c r="Q985">
        <v>34000</v>
      </c>
      <c r="R985">
        <v>31.42</v>
      </c>
      <c r="S985" t="s">
        <v>126</v>
      </c>
      <c r="T985">
        <v>18200</v>
      </c>
      <c r="U985">
        <v>5</v>
      </c>
      <c r="V985" t="s">
        <v>42</v>
      </c>
    </row>
    <row r="986" spans="1:22" x14ac:dyDescent="0.3">
      <c r="A986" t="s">
        <v>3027</v>
      </c>
      <c r="B986" t="s">
        <v>3028</v>
      </c>
      <c r="C986" t="s">
        <v>3029</v>
      </c>
      <c r="D986" s="2">
        <v>46145</v>
      </c>
      <c r="E986" t="s">
        <v>188</v>
      </c>
      <c r="F986" t="s">
        <v>188</v>
      </c>
      <c r="G986" t="s">
        <v>27</v>
      </c>
      <c r="H986" t="s">
        <v>28</v>
      </c>
      <c r="I986" t="s">
        <v>29</v>
      </c>
      <c r="J986" t="s">
        <v>30</v>
      </c>
      <c r="K986">
        <v>2</v>
      </c>
      <c r="L986">
        <v>29</v>
      </c>
      <c r="M986">
        <v>31700</v>
      </c>
      <c r="N986">
        <v>6300</v>
      </c>
      <c r="O986">
        <v>25400</v>
      </c>
      <c r="P986">
        <v>17100</v>
      </c>
      <c r="Q986">
        <v>8300</v>
      </c>
      <c r="R986">
        <v>32.68</v>
      </c>
      <c r="S986" t="s">
        <v>182</v>
      </c>
      <c r="T986">
        <v>1100</v>
      </c>
      <c r="U986">
        <v>4.8</v>
      </c>
      <c r="V986" t="s">
        <v>79</v>
      </c>
    </row>
    <row r="987" spans="1:22" x14ac:dyDescent="0.3">
      <c r="A987" t="s">
        <v>3902</v>
      </c>
      <c r="B987" t="s">
        <v>3903</v>
      </c>
      <c r="C987" t="s">
        <v>3904</v>
      </c>
      <c r="D987" s="2">
        <v>46145</v>
      </c>
      <c r="E987" t="s">
        <v>134</v>
      </c>
      <c r="F987" t="s">
        <v>134</v>
      </c>
      <c r="G987" t="s">
        <v>213</v>
      </c>
      <c r="H987" t="s">
        <v>88</v>
      </c>
      <c r="I987" t="s">
        <v>69</v>
      </c>
      <c r="J987" t="s">
        <v>162</v>
      </c>
      <c r="K987">
        <v>10</v>
      </c>
      <c r="L987">
        <v>28</v>
      </c>
      <c r="M987">
        <v>29200</v>
      </c>
      <c r="N987">
        <v>4400</v>
      </c>
      <c r="O987">
        <v>24800</v>
      </c>
      <c r="P987">
        <v>13700</v>
      </c>
      <c r="Q987">
        <v>11100</v>
      </c>
      <c r="R987">
        <v>44.76</v>
      </c>
      <c r="S987" t="s">
        <v>126</v>
      </c>
      <c r="T987">
        <v>1200</v>
      </c>
      <c r="U987">
        <v>4</v>
      </c>
      <c r="V987" t="s">
        <v>114</v>
      </c>
    </row>
    <row r="988" spans="1:22" x14ac:dyDescent="0.3">
      <c r="A988" t="s">
        <v>4619</v>
      </c>
      <c r="B988" t="s">
        <v>3270</v>
      </c>
      <c r="C988" t="s">
        <v>3271</v>
      </c>
      <c r="D988" s="2">
        <v>46147</v>
      </c>
      <c r="E988" t="s">
        <v>134</v>
      </c>
      <c r="F988" t="s">
        <v>134</v>
      </c>
      <c r="G988" t="s">
        <v>580</v>
      </c>
      <c r="H988" t="s">
        <v>49</v>
      </c>
      <c r="I988" t="s">
        <v>69</v>
      </c>
      <c r="J988" t="s">
        <v>257</v>
      </c>
      <c r="K988">
        <v>9</v>
      </c>
      <c r="L988">
        <v>65</v>
      </c>
      <c r="M988">
        <v>36300</v>
      </c>
      <c r="N988">
        <v>0</v>
      </c>
      <c r="O988">
        <v>36300</v>
      </c>
      <c r="P988">
        <v>21300</v>
      </c>
      <c r="Q988">
        <v>15000</v>
      </c>
      <c r="R988">
        <v>41.32</v>
      </c>
      <c r="S988" t="s">
        <v>5471</v>
      </c>
      <c r="T988">
        <v>2300</v>
      </c>
      <c r="U988">
        <v>4.0999999999999996</v>
      </c>
      <c r="V988" t="s">
        <v>82</v>
      </c>
    </row>
    <row r="989" spans="1:22" x14ac:dyDescent="0.3">
      <c r="A989" t="s">
        <v>3781</v>
      </c>
      <c r="B989" t="s">
        <v>116</v>
      </c>
      <c r="C989" t="s">
        <v>117</v>
      </c>
      <c r="D989" s="2">
        <v>46147</v>
      </c>
      <c r="E989" t="s">
        <v>161</v>
      </c>
      <c r="F989" t="s">
        <v>161</v>
      </c>
      <c r="G989" t="s">
        <v>67</v>
      </c>
      <c r="H989" t="s">
        <v>49</v>
      </c>
      <c r="I989" t="s">
        <v>29</v>
      </c>
      <c r="J989" t="s">
        <v>30</v>
      </c>
      <c r="K989">
        <v>6</v>
      </c>
      <c r="L989">
        <v>50</v>
      </c>
      <c r="M989">
        <v>33000</v>
      </c>
      <c r="N989">
        <v>0</v>
      </c>
      <c r="O989">
        <v>33000</v>
      </c>
      <c r="P989">
        <v>18800</v>
      </c>
      <c r="Q989">
        <v>14200</v>
      </c>
      <c r="R989">
        <v>43.03</v>
      </c>
      <c r="S989" t="s">
        <v>182</v>
      </c>
      <c r="T989">
        <v>4000</v>
      </c>
      <c r="U989">
        <v>4.9000000000000004</v>
      </c>
      <c r="V989" t="s">
        <v>79</v>
      </c>
    </row>
    <row r="990" spans="1:22" x14ac:dyDescent="0.3">
      <c r="A990" t="s">
        <v>1686</v>
      </c>
      <c r="B990" t="s">
        <v>1662</v>
      </c>
      <c r="C990" t="s">
        <v>1663</v>
      </c>
      <c r="D990" s="2">
        <v>46147</v>
      </c>
      <c r="E990" t="s">
        <v>134</v>
      </c>
      <c r="F990" t="s">
        <v>134</v>
      </c>
      <c r="G990" t="s">
        <v>48</v>
      </c>
      <c r="H990" t="s">
        <v>214</v>
      </c>
      <c r="I990" t="s">
        <v>29</v>
      </c>
      <c r="J990" t="s">
        <v>30</v>
      </c>
      <c r="K990">
        <v>4</v>
      </c>
      <c r="L990">
        <v>39</v>
      </c>
      <c r="M990">
        <v>47400</v>
      </c>
      <c r="N990">
        <v>7100</v>
      </c>
      <c r="O990">
        <v>40300</v>
      </c>
      <c r="P990">
        <v>23000</v>
      </c>
      <c r="Q990">
        <v>17300</v>
      </c>
      <c r="R990">
        <v>42.93</v>
      </c>
      <c r="S990" t="s">
        <v>182</v>
      </c>
      <c r="T990">
        <v>2100</v>
      </c>
      <c r="U990">
        <v>3.7</v>
      </c>
      <c r="V990" t="s">
        <v>114</v>
      </c>
    </row>
    <row r="991" spans="1:22" x14ac:dyDescent="0.3">
      <c r="A991" t="s">
        <v>4757</v>
      </c>
      <c r="B991" t="s">
        <v>2585</v>
      </c>
      <c r="C991" t="s">
        <v>2586</v>
      </c>
      <c r="D991" s="2">
        <v>46148</v>
      </c>
      <c r="E991" t="s">
        <v>26</v>
      </c>
      <c r="F991" t="s">
        <v>26</v>
      </c>
      <c r="G991" t="s">
        <v>27</v>
      </c>
      <c r="H991" t="s">
        <v>88</v>
      </c>
      <c r="I991" t="s">
        <v>69</v>
      </c>
      <c r="J991" t="s">
        <v>30</v>
      </c>
      <c r="K991">
        <v>4</v>
      </c>
      <c r="L991">
        <v>40</v>
      </c>
      <c r="M991">
        <v>21600</v>
      </c>
      <c r="N991">
        <v>1100</v>
      </c>
      <c r="O991">
        <v>20500</v>
      </c>
      <c r="P991">
        <v>15400</v>
      </c>
      <c r="Q991">
        <v>5100</v>
      </c>
      <c r="R991">
        <v>24.88</v>
      </c>
      <c r="S991" t="s">
        <v>58</v>
      </c>
      <c r="T991">
        <v>1300</v>
      </c>
      <c r="U991">
        <v>3.7</v>
      </c>
      <c r="V991" t="s">
        <v>58</v>
      </c>
    </row>
    <row r="992" spans="1:22" x14ac:dyDescent="0.3">
      <c r="A992" t="s">
        <v>2570</v>
      </c>
      <c r="B992" t="s">
        <v>454</v>
      </c>
      <c r="C992" t="s">
        <v>455</v>
      </c>
      <c r="D992" s="2">
        <v>46149</v>
      </c>
      <c r="E992" t="s">
        <v>188</v>
      </c>
      <c r="F992" t="s">
        <v>188</v>
      </c>
      <c r="G992" t="s">
        <v>48</v>
      </c>
      <c r="H992" t="s">
        <v>88</v>
      </c>
      <c r="I992" t="s">
        <v>69</v>
      </c>
      <c r="J992" t="s">
        <v>70</v>
      </c>
      <c r="K992">
        <v>8</v>
      </c>
      <c r="L992">
        <v>43</v>
      </c>
      <c r="M992">
        <v>36200</v>
      </c>
      <c r="N992">
        <v>3600</v>
      </c>
      <c r="O992">
        <v>32600</v>
      </c>
      <c r="P992">
        <v>24400</v>
      </c>
      <c r="Q992">
        <v>8200</v>
      </c>
      <c r="R992">
        <v>25.15</v>
      </c>
      <c r="S992" t="s">
        <v>182</v>
      </c>
      <c r="T992">
        <v>4200</v>
      </c>
      <c r="U992">
        <v>4.9000000000000004</v>
      </c>
      <c r="V992" t="s">
        <v>42</v>
      </c>
    </row>
    <row r="993" spans="1:22" x14ac:dyDescent="0.3">
      <c r="A993" t="s">
        <v>4881</v>
      </c>
      <c r="B993" t="s">
        <v>4286</v>
      </c>
      <c r="C993" t="s">
        <v>4287</v>
      </c>
      <c r="D993" s="2">
        <v>46150</v>
      </c>
      <c r="E993" t="s">
        <v>188</v>
      </c>
      <c r="F993" t="s">
        <v>188</v>
      </c>
      <c r="G993" t="s">
        <v>67</v>
      </c>
      <c r="H993" t="s">
        <v>28</v>
      </c>
      <c r="I993" t="s">
        <v>69</v>
      </c>
      <c r="J993" t="s">
        <v>30</v>
      </c>
      <c r="K993">
        <v>6</v>
      </c>
      <c r="L993">
        <v>29</v>
      </c>
      <c r="M993">
        <v>36100</v>
      </c>
      <c r="N993">
        <v>5400</v>
      </c>
      <c r="O993">
        <v>30700</v>
      </c>
      <c r="P993">
        <v>28200</v>
      </c>
      <c r="Q993">
        <v>2500</v>
      </c>
      <c r="R993">
        <v>8.14</v>
      </c>
      <c r="S993" t="s">
        <v>58</v>
      </c>
      <c r="T993">
        <v>3900</v>
      </c>
      <c r="U993">
        <v>4.3</v>
      </c>
      <c r="V993" t="s">
        <v>82</v>
      </c>
    </row>
    <row r="994" spans="1:22" x14ac:dyDescent="0.3">
      <c r="A994" t="s">
        <v>2919</v>
      </c>
      <c r="B994" t="s">
        <v>2743</v>
      </c>
      <c r="C994" t="s">
        <v>2744</v>
      </c>
      <c r="D994" s="2">
        <v>46150</v>
      </c>
      <c r="E994" t="s">
        <v>26</v>
      </c>
      <c r="F994" t="s">
        <v>26</v>
      </c>
      <c r="G994" t="s">
        <v>103</v>
      </c>
      <c r="H994" t="s">
        <v>5470</v>
      </c>
      <c r="I994" t="s">
        <v>29</v>
      </c>
      <c r="J994" t="s">
        <v>30</v>
      </c>
      <c r="K994">
        <v>6</v>
      </c>
      <c r="L994">
        <v>54</v>
      </c>
      <c r="M994">
        <v>48800</v>
      </c>
      <c r="N994">
        <v>7300</v>
      </c>
      <c r="O994">
        <v>41500</v>
      </c>
      <c r="P994">
        <v>26800</v>
      </c>
      <c r="Q994">
        <v>14700</v>
      </c>
      <c r="R994">
        <v>35.42</v>
      </c>
      <c r="S994" t="s">
        <v>79</v>
      </c>
      <c r="T994">
        <v>6500</v>
      </c>
      <c r="U994">
        <v>4.5</v>
      </c>
      <c r="V994" t="s">
        <v>79</v>
      </c>
    </row>
    <row r="995" spans="1:22" x14ac:dyDescent="0.3">
      <c r="A995" t="s">
        <v>4429</v>
      </c>
      <c r="B995" t="s">
        <v>2000</v>
      </c>
      <c r="C995" t="s">
        <v>2001</v>
      </c>
      <c r="D995" s="2">
        <v>46150</v>
      </c>
      <c r="E995" t="s">
        <v>282</v>
      </c>
      <c r="F995" t="s">
        <v>282</v>
      </c>
      <c r="G995" t="s">
        <v>118</v>
      </c>
      <c r="H995" t="s">
        <v>68</v>
      </c>
      <c r="I995" t="s">
        <v>69</v>
      </c>
      <c r="J995" t="s">
        <v>30</v>
      </c>
      <c r="K995">
        <v>8</v>
      </c>
      <c r="L995">
        <v>53</v>
      </c>
      <c r="M995">
        <v>60100</v>
      </c>
      <c r="N995">
        <v>0</v>
      </c>
      <c r="O995">
        <v>60100</v>
      </c>
      <c r="P995">
        <v>45800</v>
      </c>
      <c r="Q995">
        <v>14300</v>
      </c>
      <c r="R995">
        <v>23.79</v>
      </c>
      <c r="S995" t="s">
        <v>97</v>
      </c>
      <c r="T995">
        <v>3700</v>
      </c>
      <c r="U995">
        <v>3.4</v>
      </c>
      <c r="V995" t="s">
        <v>114</v>
      </c>
    </row>
    <row r="996" spans="1:22" x14ac:dyDescent="0.3">
      <c r="A996" t="s">
        <v>4012</v>
      </c>
      <c r="B996" t="s">
        <v>4013</v>
      </c>
      <c r="C996" t="s">
        <v>4014</v>
      </c>
      <c r="D996" s="2">
        <v>46150</v>
      </c>
      <c r="E996" t="s">
        <v>134</v>
      </c>
      <c r="F996" t="s">
        <v>134</v>
      </c>
      <c r="G996" t="s">
        <v>103</v>
      </c>
      <c r="H996" t="s">
        <v>28</v>
      </c>
      <c r="I996" t="s">
        <v>29</v>
      </c>
      <c r="J996" t="s">
        <v>70</v>
      </c>
      <c r="K996">
        <v>7</v>
      </c>
      <c r="L996">
        <v>14</v>
      </c>
      <c r="M996">
        <v>23200</v>
      </c>
      <c r="N996">
        <v>0</v>
      </c>
      <c r="O996">
        <v>23200</v>
      </c>
      <c r="P996">
        <v>15300</v>
      </c>
      <c r="Q996">
        <v>7900</v>
      </c>
      <c r="R996">
        <v>34.049999999999997</v>
      </c>
      <c r="S996" t="s">
        <v>79</v>
      </c>
      <c r="T996">
        <v>2900</v>
      </c>
      <c r="V996" t="s">
        <v>42</v>
      </c>
    </row>
    <row r="997" spans="1:22" x14ac:dyDescent="0.3">
      <c r="A997" t="s">
        <v>4517</v>
      </c>
      <c r="B997" t="s">
        <v>2163</v>
      </c>
      <c r="C997" t="s">
        <v>2164</v>
      </c>
      <c r="D997" s="2">
        <v>46151</v>
      </c>
      <c r="E997" t="s">
        <v>188</v>
      </c>
      <c r="F997" t="s">
        <v>188</v>
      </c>
      <c r="G997" t="s">
        <v>48</v>
      </c>
      <c r="H997" t="s">
        <v>229</v>
      </c>
      <c r="I997" t="s">
        <v>69</v>
      </c>
      <c r="J997" t="s">
        <v>30</v>
      </c>
      <c r="K997">
        <v>9</v>
      </c>
      <c r="L997">
        <v>36</v>
      </c>
      <c r="M997">
        <v>31100</v>
      </c>
      <c r="N997">
        <v>3100</v>
      </c>
      <c r="O997">
        <v>28000</v>
      </c>
      <c r="P997">
        <v>13700</v>
      </c>
      <c r="Q997">
        <v>14300</v>
      </c>
      <c r="R997">
        <v>51.07</v>
      </c>
      <c r="S997" t="s">
        <v>97</v>
      </c>
      <c r="T997">
        <v>4100</v>
      </c>
      <c r="U997">
        <v>2.8</v>
      </c>
      <c r="V997" t="s">
        <v>58</v>
      </c>
    </row>
    <row r="998" spans="1:22" x14ac:dyDescent="0.3">
      <c r="A998" t="s">
        <v>2696</v>
      </c>
      <c r="B998" t="s">
        <v>2697</v>
      </c>
      <c r="C998" t="s">
        <v>2698</v>
      </c>
      <c r="D998" s="2">
        <v>46151</v>
      </c>
      <c r="E998" t="s">
        <v>282</v>
      </c>
      <c r="F998" t="s">
        <v>282</v>
      </c>
      <c r="G998" t="s">
        <v>580</v>
      </c>
      <c r="H998" t="s">
        <v>68</v>
      </c>
      <c r="I998" t="s">
        <v>69</v>
      </c>
      <c r="J998" t="s">
        <v>30</v>
      </c>
      <c r="K998">
        <v>2</v>
      </c>
      <c r="L998">
        <v>46</v>
      </c>
      <c r="M998">
        <v>67900</v>
      </c>
      <c r="N998">
        <v>0</v>
      </c>
      <c r="O998">
        <v>67900</v>
      </c>
      <c r="P998">
        <v>50700</v>
      </c>
      <c r="Q998">
        <v>17200</v>
      </c>
      <c r="R998">
        <v>25.33</v>
      </c>
      <c r="S998" t="s">
        <v>79</v>
      </c>
      <c r="T998">
        <v>7800</v>
      </c>
      <c r="U998">
        <v>3.4</v>
      </c>
      <c r="V998" t="s">
        <v>42</v>
      </c>
    </row>
    <row r="999" spans="1:22" x14ac:dyDescent="0.3">
      <c r="A999" t="s">
        <v>3047</v>
      </c>
      <c r="B999" t="s">
        <v>3048</v>
      </c>
      <c r="C999" t="s">
        <v>3049</v>
      </c>
      <c r="D999" s="2">
        <v>46152</v>
      </c>
      <c r="E999" t="s">
        <v>66</v>
      </c>
      <c r="F999" t="s">
        <v>66</v>
      </c>
      <c r="G999" t="s">
        <v>147</v>
      </c>
      <c r="H999" t="s">
        <v>28</v>
      </c>
      <c r="I999" t="s">
        <v>69</v>
      </c>
      <c r="J999" t="s">
        <v>70</v>
      </c>
      <c r="K999">
        <v>4</v>
      </c>
      <c r="L999">
        <v>32</v>
      </c>
      <c r="M999">
        <v>70600</v>
      </c>
      <c r="N999">
        <v>0</v>
      </c>
      <c r="O999">
        <v>70600</v>
      </c>
      <c r="P999">
        <v>35200</v>
      </c>
      <c r="Q999">
        <v>35400</v>
      </c>
      <c r="R999">
        <v>50.14</v>
      </c>
      <c r="S999" t="s">
        <v>182</v>
      </c>
      <c r="T999">
        <v>7500</v>
      </c>
      <c r="U999">
        <v>4.5999999999999996</v>
      </c>
      <c r="V999" t="s">
        <v>58</v>
      </c>
    </row>
    <row r="1000" spans="1:22" x14ac:dyDescent="0.3">
      <c r="A1000" t="s">
        <v>3190</v>
      </c>
      <c r="B1000" t="s">
        <v>1960</v>
      </c>
      <c r="C1000" t="s">
        <v>1961</v>
      </c>
      <c r="D1000" s="2">
        <v>46152</v>
      </c>
      <c r="E1000" t="s">
        <v>244</v>
      </c>
      <c r="F1000" t="s">
        <v>244</v>
      </c>
      <c r="G1000" t="s">
        <v>580</v>
      </c>
      <c r="H1000" t="s">
        <v>268</v>
      </c>
      <c r="I1000" t="s">
        <v>69</v>
      </c>
      <c r="J1000" t="s">
        <v>30</v>
      </c>
      <c r="K1000">
        <v>10</v>
      </c>
      <c r="L1000">
        <v>28</v>
      </c>
      <c r="M1000">
        <v>50200</v>
      </c>
      <c r="N1000">
        <v>0</v>
      </c>
      <c r="O1000">
        <v>50200</v>
      </c>
      <c r="P1000">
        <v>29500</v>
      </c>
      <c r="Q1000">
        <v>20700</v>
      </c>
      <c r="R1000">
        <v>41.24</v>
      </c>
      <c r="S1000" t="s">
        <v>126</v>
      </c>
      <c r="T1000">
        <v>2200</v>
      </c>
      <c r="U1000">
        <v>2.5</v>
      </c>
      <c r="V1000" t="s">
        <v>114</v>
      </c>
    </row>
    <row r="1001" spans="1:22" x14ac:dyDescent="0.3">
      <c r="A1001" t="s">
        <v>5147</v>
      </c>
      <c r="B1001" t="s">
        <v>224</v>
      </c>
      <c r="C1001" t="s">
        <v>225</v>
      </c>
      <c r="D1001" s="2">
        <v>46152</v>
      </c>
      <c r="E1001" t="s">
        <v>188</v>
      </c>
      <c r="F1001" t="s">
        <v>188</v>
      </c>
      <c r="G1001" t="s">
        <v>67</v>
      </c>
      <c r="H1001" t="s">
        <v>5471</v>
      </c>
      <c r="I1001" t="s">
        <v>69</v>
      </c>
      <c r="J1001" t="s">
        <v>30</v>
      </c>
      <c r="K1001">
        <v>10</v>
      </c>
      <c r="L1001">
        <v>42</v>
      </c>
      <c r="M1001">
        <v>44100</v>
      </c>
      <c r="N1001">
        <v>6600</v>
      </c>
      <c r="O1001">
        <v>37500</v>
      </c>
      <c r="P1001">
        <v>24000</v>
      </c>
      <c r="Q1001">
        <v>13500</v>
      </c>
      <c r="R1001">
        <v>36</v>
      </c>
      <c r="S1001" t="s">
        <v>126</v>
      </c>
      <c r="T1001">
        <v>5200</v>
      </c>
      <c r="U1001">
        <v>4.8</v>
      </c>
      <c r="V1001" t="s">
        <v>82</v>
      </c>
    </row>
    <row r="1002" spans="1:22" x14ac:dyDescent="0.3">
      <c r="A1002" t="s">
        <v>4471</v>
      </c>
      <c r="B1002" t="s">
        <v>2233</v>
      </c>
      <c r="C1002" t="s">
        <v>2234</v>
      </c>
      <c r="D1002" s="2">
        <v>46153</v>
      </c>
      <c r="E1002" t="s">
        <v>244</v>
      </c>
      <c r="F1002" t="s">
        <v>244</v>
      </c>
      <c r="G1002" t="s">
        <v>67</v>
      </c>
      <c r="H1002" t="s">
        <v>88</v>
      </c>
      <c r="I1002" t="s">
        <v>69</v>
      </c>
      <c r="J1002" t="s">
        <v>30</v>
      </c>
      <c r="K1002">
        <v>2</v>
      </c>
      <c r="L1002">
        <v>48</v>
      </c>
      <c r="M1002">
        <v>30500</v>
      </c>
      <c r="N1002">
        <v>0</v>
      </c>
      <c r="O1002">
        <v>30500</v>
      </c>
      <c r="P1002">
        <v>19300</v>
      </c>
      <c r="Q1002">
        <v>11200</v>
      </c>
      <c r="R1002">
        <v>36.72</v>
      </c>
      <c r="S1002" t="s">
        <v>126</v>
      </c>
      <c r="T1002">
        <v>4900</v>
      </c>
      <c r="U1002">
        <v>4.0999999999999996</v>
      </c>
      <c r="V1002" t="s">
        <v>82</v>
      </c>
    </row>
    <row r="1003" spans="1:22" x14ac:dyDescent="0.3">
      <c r="A1003" t="s">
        <v>4886</v>
      </c>
      <c r="B1003" t="s">
        <v>1306</v>
      </c>
      <c r="C1003" t="s">
        <v>1307</v>
      </c>
      <c r="D1003" s="2">
        <v>46153</v>
      </c>
      <c r="E1003" t="s">
        <v>228</v>
      </c>
      <c r="F1003" t="s">
        <v>228</v>
      </c>
      <c r="G1003" t="s">
        <v>147</v>
      </c>
      <c r="H1003" t="s">
        <v>268</v>
      </c>
      <c r="I1003" t="s">
        <v>69</v>
      </c>
      <c r="J1003" t="s">
        <v>30</v>
      </c>
      <c r="K1003">
        <v>9</v>
      </c>
      <c r="L1003">
        <v>46</v>
      </c>
      <c r="M1003">
        <v>99000</v>
      </c>
      <c r="N1003">
        <v>9900</v>
      </c>
      <c r="O1003">
        <v>89100</v>
      </c>
      <c r="P1003">
        <v>51900</v>
      </c>
      <c r="Q1003">
        <v>37200</v>
      </c>
      <c r="R1003">
        <v>41.75</v>
      </c>
      <c r="S1003" t="s">
        <v>126</v>
      </c>
      <c r="T1003">
        <v>14800</v>
      </c>
      <c r="U1003">
        <v>4.7</v>
      </c>
      <c r="V1003" t="s">
        <v>58</v>
      </c>
    </row>
    <row r="1004" spans="1:22" x14ac:dyDescent="0.3">
      <c r="A1004" t="s">
        <v>3925</v>
      </c>
      <c r="B1004" t="s">
        <v>3926</v>
      </c>
      <c r="C1004" t="s">
        <v>3927</v>
      </c>
      <c r="D1004" s="2">
        <v>46153</v>
      </c>
      <c r="E1004" t="s">
        <v>161</v>
      </c>
      <c r="F1004" t="s">
        <v>161</v>
      </c>
      <c r="G1004" t="s">
        <v>147</v>
      </c>
      <c r="H1004" t="s">
        <v>268</v>
      </c>
      <c r="I1004" t="s">
        <v>29</v>
      </c>
      <c r="J1004" t="s">
        <v>30</v>
      </c>
      <c r="K1004">
        <v>2</v>
      </c>
      <c r="L1004">
        <v>23</v>
      </c>
      <c r="M1004">
        <v>35100</v>
      </c>
      <c r="N1004">
        <v>1800</v>
      </c>
      <c r="O1004">
        <v>33300</v>
      </c>
      <c r="P1004">
        <v>24600</v>
      </c>
      <c r="Q1004">
        <v>8700</v>
      </c>
      <c r="R1004">
        <v>26.13</v>
      </c>
      <c r="S1004" t="s">
        <v>182</v>
      </c>
      <c r="T1004">
        <v>3700</v>
      </c>
      <c r="U1004">
        <v>3.2</v>
      </c>
      <c r="V1004" t="s">
        <v>58</v>
      </c>
    </row>
    <row r="1005" spans="1:22" x14ac:dyDescent="0.3">
      <c r="A1005" t="s">
        <v>2682</v>
      </c>
      <c r="B1005" t="s">
        <v>876</v>
      </c>
      <c r="C1005" t="s">
        <v>877</v>
      </c>
      <c r="D1005" s="2">
        <v>46153</v>
      </c>
      <c r="E1005" t="s">
        <v>228</v>
      </c>
      <c r="F1005" t="s">
        <v>228</v>
      </c>
      <c r="G1005" t="s">
        <v>103</v>
      </c>
      <c r="H1005" t="s">
        <v>5470</v>
      </c>
      <c r="I1005" t="s">
        <v>69</v>
      </c>
      <c r="J1005" t="s">
        <v>30</v>
      </c>
      <c r="K1005">
        <v>7</v>
      </c>
      <c r="L1005">
        <v>47</v>
      </c>
      <c r="M1005">
        <v>43200</v>
      </c>
      <c r="N1005">
        <v>2200</v>
      </c>
      <c r="O1005">
        <v>41000</v>
      </c>
      <c r="P1005">
        <v>20900</v>
      </c>
      <c r="Q1005">
        <v>20100</v>
      </c>
      <c r="R1005">
        <v>49.02</v>
      </c>
      <c r="S1005" t="s">
        <v>126</v>
      </c>
      <c r="T1005">
        <v>6300</v>
      </c>
      <c r="U1005">
        <v>4.4000000000000004</v>
      </c>
      <c r="V1005" t="s">
        <v>82</v>
      </c>
    </row>
    <row r="1006" spans="1:22" x14ac:dyDescent="0.3">
      <c r="A1006" t="s">
        <v>4278</v>
      </c>
      <c r="B1006" t="s">
        <v>1851</v>
      </c>
      <c r="C1006" t="s">
        <v>1852</v>
      </c>
      <c r="D1006" s="2">
        <v>46153</v>
      </c>
      <c r="E1006" t="s">
        <v>228</v>
      </c>
      <c r="F1006" t="s">
        <v>228</v>
      </c>
      <c r="G1006" t="s">
        <v>27</v>
      </c>
      <c r="H1006" t="s">
        <v>229</v>
      </c>
      <c r="I1006" t="s">
        <v>69</v>
      </c>
      <c r="J1006" t="s">
        <v>30</v>
      </c>
      <c r="K1006">
        <v>8</v>
      </c>
      <c r="L1006">
        <v>16</v>
      </c>
      <c r="M1006">
        <v>26700</v>
      </c>
      <c r="N1006">
        <v>1300</v>
      </c>
      <c r="O1006">
        <v>25400</v>
      </c>
      <c r="P1006">
        <v>11400</v>
      </c>
      <c r="Q1006">
        <v>14000</v>
      </c>
      <c r="R1006">
        <v>55.12</v>
      </c>
      <c r="S1006" t="s">
        <v>5471</v>
      </c>
      <c r="T1006">
        <v>3300</v>
      </c>
      <c r="U1006">
        <v>5</v>
      </c>
      <c r="V1006" t="s">
        <v>58</v>
      </c>
    </row>
    <row r="1007" spans="1:22" x14ac:dyDescent="0.3">
      <c r="A1007" t="s">
        <v>1332</v>
      </c>
      <c r="B1007" t="s">
        <v>1333</v>
      </c>
      <c r="C1007" t="s">
        <v>1334</v>
      </c>
      <c r="D1007" s="2">
        <v>46155</v>
      </c>
      <c r="E1007" t="s">
        <v>188</v>
      </c>
      <c r="F1007" t="s">
        <v>188</v>
      </c>
      <c r="G1007" t="s">
        <v>213</v>
      </c>
      <c r="H1007" t="s">
        <v>5470</v>
      </c>
      <c r="I1007" t="s">
        <v>69</v>
      </c>
      <c r="J1007" t="s">
        <v>30</v>
      </c>
      <c r="K1007">
        <v>5</v>
      </c>
      <c r="L1007">
        <v>5</v>
      </c>
      <c r="M1007">
        <v>67700</v>
      </c>
      <c r="N1007">
        <v>3400</v>
      </c>
      <c r="O1007">
        <v>64300</v>
      </c>
      <c r="P1007">
        <v>40900</v>
      </c>
      <c r="Q1007">
        <v>23400</v>
      </c>
      <c r="R1007">
        <v>36.39</v>
      </c>
      <c r="S1007" t="s">
        <v>126</v>
      </c>
      <c r="T1007">
        <v>9900</v>
      </c>
      <c r="V1007" t="s">
        <v>42</v>
      </c>
    </row>
    <row r="1008" spans="1:22" x14ac:dyDescent="0.3">
      <c r="A1008" t="s">
        <v>253</v>
      </c>
      <c r="B1008" t="s">
        <v>254</v>
      </c>
      <c r="C1008" t="s">
        <v>255</v>
      </c>
      <c r="D1008" s="2">
        <v>46155</v>
      </c>
      <c r="E1008" t="s">
        <v>26</v>
      </c>
      <c r="F1008" t="s">
        <v>26</v>
      </c>
      <c r="G1008" t="s">
        <v>213</v>
      </c>
      <c r="H1008" t="s">
        <v>214</v>
      </c>
      <c r="I1008" t="s">
        <v>29</v>
      </c>
      <c r="J1008" t="s">
        <v>257</v>
      </c>
      <c r="K1008">
        <v>3</v>
      </c>
      <c r="L1008">
        <v>36</v>
      </c>
      <c r="M1008">
        <v>20300</v>
      </c>
      <c r="N1008">
        <v>4100</v>
      </c>
      <c r="O1008">
        <v>16200</v>
      </c>
      <c r="P1008">
        <v>12700</v>
      </c>
      <c r="Q1008">
        <v>3500</v>
      </c>
      <c r="R1008">
        <v>21.6</v>
      </c>
      <c r="S1008" t="s">
        <v>182</v>
      </c>
      <c r="T1008">
        <v>1000</v>
      </c>
      <c r="U1008">
        <v>4.8</v>
      </c>
      <c r="V1008" t="s">
        <v>114</v>
      </c>
    </row>
    <row r="1009" spans="1:22" x14ac:dyDescent="0.3">
      <c r="A1009" t="s">
        <v>4568</v>
      </c>
      <c r="B1009" t="s">
        <v>1921</v>
      </c>
      <c r="C1009" t="s">
        <v>1922</v>
      </c>
      <c r="D1009" s="2">
        <v>46156</v>
      </c>
      <c r="E1009" t="s">
        <v>161</v>
      </c>
      <c r="F1009" t="s">
        <v>161</v>
      </c>
      <c r="G1009" t="s">
        <v>48</v>
      </c>
      <c r="H1009" t="s">
        <v>229</v>
      </c>
      <c r="I1009" t="s">
        <v>29</v>
      </c>
      <c r="J1009" t="s">
        <v>30</v>
      </c>
      <c r="K1009">
        <v>3</v>
      </c>
      <c r="L1009">
        <v>38</v>
      </c>
      <c r="M1009">
        <v>32200</v>
      </c>
      <c r="N1009">
        <v>0</v>
      </c>
      <c r="O1009">
        <v>32200</v>
      </c>
      <c r="P1009">
        <v>19400</v>
      </c>
      <c r="Q1009">
        <v>12800</v>
      </c>
      <c r="R1009">
        <v>39.75</v>
      </c>
      <c r="S1009" t="s">
        <v>97</v>
      </c>
      <c r="T1009">
        <v>4200</v>
      </c>
      <c r="U1009">
        <v>3.1</v>
      </c>
      <c r="V1009" t="s">
        <v>79</v>
      </c>
    </row>
    <row r="1010" spans="1:22" x14ac:dyDescent="0.3">
      <c r="A1010" t="s">
        <v>5072</v>
      </c>
      <c r="B1010" t="s">
        <v>2846</v>
      </c>
      <c r="C1010" t="s">
        <v>2847</v>
      </c>
      <c r="D1010" s="2">
        <v>46156</v>
      </c>
      <c r="E1010" t="s">
        <v>26</v>
      </c>
      <c r="F1010" t="s">
        <v>26</v>
      </c>
      <c r="G1010" t="s">
        <v>103</v>
      </c>
      <c r="H1010" t="s">
        <v>229</v>
      </c>
      <c r="I1010" t="s">
        <v>69</v>
      </c>
      <c r="J1010" t="s">
        <v>257</v>
      </c>
      <c r="K1010">
        <v>10</v>
      </c>
      <c r="L1010">
        <v>41</v>
      </c>
      <c r="M1010">
        <v>27500</v>
      </c>
      <c r="N1010">
        <v>0</v>
      </c>
      <c r="O1010">
        <v>27500</v>
      </c>
      <c r="P1010">
        <v>18700</v>
      </c>
      <c r="Q1010">
        <v>8800</v>
      </c>
      <c r="R1010">
        <v>32</v>
      </c>
      <c r="S1010" t="s">
        <v>126</v>
      </c>
      <c r="T1010">
        <v>1300</v>
      </c>
      <c r="U1010">
        <v>3.7</v>
      </c>
      <c r="V1010" t="s">
        <v>82</v>
      </c>
    </row>
    <row r="1011" spans="1:22" x14ac:dyDescent="0.3">
      <c r="A1011" t="s">
        <v>4665</v>
      </c>
      <c r="B1011" t="s">
        <v>1506</v>
      </c>
      <c r="C1011" t="s">
        <v>1507</v>
      </c>
      <c r="D1011" s="2">
        <v>46156</v>
      </c>
      <c r="E1011" t="s">
        <v>228</v>
      </c>
      <c r="F1011" t="s">
        <v>228</v>
      </c>
      <c r="G1011" t="s">
        <v>147</v>
      </c>
      <c r="H1011" t="s">
        <v>214</v>
      </c>
      <c r="I1011" t="s">
        <v>29</v>
      </c>
      <c r="J1011" t="s">
        <v>30</v>
      </c>
      <c r="K1011">
        <v>6</v>
      </c>
      <c r="L1011">
        <v>26</v>
      </c>
      <c r="M1011">
        <v>17300</v>
      </c>
      <c r="N1011">
        <v>0</v>
      </c>
      <c r="O1011">
        <v>17300</v>
      </c>
      <c r="P1011">
        <v>9300</v>
      </c>
      <c r="Q1011">
        <v>8000</v>
      </c>
      <c r="R1011">
        <v>46.24</v>
      </c>
      <c r="S1011" t="s">
        <v>39</v>
      </c>
      <c r="T1011">
        <v>1000</v>
      </c>
      <c r="U1011">
        <v>2.5</v>
      </c>
      <c r="V1011" t="s">
        <v>114</v>
      </c>
    </row>
    <row r="1012" spans="1:22" x14ac:dyDescent="0.3">
      <c r="A1012" t="s">
        <v>1813</v>
      </c>
      <c r="B1012" t="s">
        <v>501</v>
      </c>
      <c r="C1012" t="s">
        <v>502</v>
      </c>
      <c r="D1012" s="2">
        <v>46157</v>
      </c>
      <c r="E1012" t="s">
        <v>282</v>
      </c>
      <c r="F1012" t="s">
        <v>282</v>
      </c>
      <c r="G1012" t="s">
        <v>48</v>
      </c>
      <c r="H1012" t="s">
        <v>88</v>
      </c>
      <c r="I1012" t="s">
        <v>69</v>
      </c>
      <c r="J1012" t="s">
        <v>30</v>
      </c>
      <c r="K1012">
        <v>2</v>
      </c>
      <c r="L1012">
        <v>27</v>
      </c>
      <c r="M1012">
        <v>25400</v>
      </c>
      <c r="N1012">
        <v>0</v>
      </c>
      <c r="O1012">
        <v>25400</v>
      </c>
      <c r="P1012">
        <v>13000</v>
      </c>
      <c r="Q1012">
        <v>12400</v>
      </c>
      <c r="R1012">
        <v>48.82</v>
      </c>
      <c r="S1012" t="s">
        <v>39</v>
      </c>
      <c r="T1012">
        <v>3200</v>
      </c>
      <c r="U1012">
        <v>4.9000000000000004</v>
      </c>
      <c r="V1012" t="s">
        <v>58</v>
      </c>
    </row>
    <row r="1013" spans="1:22" x14ac:dyDescent="0.3">
      <c r="A1013" t="s">
        <v>3808</v>
      </c>
      <c r="B1013" t="s">
        <v>962</v>
      </c>
      <c r="C1013" t="s">
        <v>963</v>
      </c>
      <c r="D1013" s="2">
        <v>46157</v>
      </c>
      <c r="E1013" t="s">
        <v>66</v>
      </c>
      <c r="F1013" t="s">
        <v>66</v>
      </c>
      <c r="G1013" t="s">
        <v>580</v>
      </c>
      <c r="H1013" t="s">
        <v>49</v>
      </c>
      <c r="I1013" t="s">
        <v>29</v>
      </c>
      <c r="J1013" t="s">
        <v>30</v>
      </c>
      <c r="K1013">
        <v>8</v>
      </c>
      <c r="L1013">
        <v>37</v>
      </c>
      <c r="M1013">
        <v>47500</v>
      </c>
      <c r="N1013">
        <v>0</v>
      </c>
      <c r="O1013">
        <v>47500</v>
      </c>
      <c r="P1013">
        <v>24700</v>
      </c>
      <c r="Q1013">
        <v>22800</v>
      </c>
      <c r="R1013">
        <v>48</v>
      </c>
      <c r="S1013" t="s">
        <v>97</v>
      </c>
      <c r="T1013">
        <v>8400</v>
      </c>
      <c r="U1013">
        <v>3.8</v>
      </c>
      <c r="V1013" t="s">
        <v>42</v>
      </c>
    </row>
    <row r="1014" spans="1:22" x14ac:dyDescent="0.3">
      <c r="A1014" t="s">
        <v>762</v>
      </c>
      <c r="B1014" t="s">
        <v>763</v>
      </c>
      <c r="C1014" t="s">
        <v>764</v>
      </c>
      <c r="D1014" s="2">
        <v>46157</v>
      </c>
      <c r="E1014" t="s">
        <v>188</v>
      </c>
      <c r="F1014" t="s">
        <v>188</v>
      </c>
      <c r="G1014" t="s">
        <v>118</v>
      </c>
      <c r="H1014" t="s">
        <v>268</v>
      </c>
      <c r="I1014" t="s">
        <v>29</v>
      </c>
      <c r="J1014" t="s">
        <v>30</v>
      </c>
      <c r="K1014">
        <v>5</v>
      </c>
      <c r="L1014">
        <v>42</v>
      </c>
      <c r="M1014">
        <v>20000</v>
      </c>
      <c r="N1014">
        <v>0</v>
      </c>
      <c r="O1014">
        <v>20000</v>
      </c>
      <c r="P1014">
        <v>14900</v>
      </c>
      <c r="Q1014">
        <v>5100</v>
      </c>
      <c r="R1014">
        <v>25.5</v>
      </c>
      <c r="S1014" t="s">
        <v>182</v>
      </c>
      <c r="T1014">
        <v>2500</v>
      </c>
      <c r="U1014">
        <v>3.2</v>
      </c>
      <c r="V1014" t="s">
        <v>82</v>
      </c>
    </row>
    <row r="1015" spans="1:22" x14ac:dyDescent="0.3">
      <c r="A1015" t="s">
        <v>5382</v>
      </c>
      <c r="B1015" t="s">
        <v>2224</v>
      </c>
      <c r="C1015" t="s">
        <v>2225</v>
      </c>
      <c r="D1015" s="2">
        <v>46158</v>
      </c>
      <c r="E1015" t="s">
        <v>26</v>
      </c>
      <c r="F1015" t="s">
        <v>26</v>
      </c>
      <c r="G1015" t="s">
        <v>213</v>
      </c>
      <c r="H1015" t="s">
        <v>268</v>
      </c>
      <c r="I1015" t="s">
        <v>29</v>
      </c>
      <c r="J1015" t="s">
        <v>30</v>
      </c>
      <c r="K1015">
        <v>3</v>
      </c>
      <c r="L1015">
        <v>40</v>
      </c>
      <c r="M1015">
        <v>32000</v>
      </c>
      <c r="N1015">
        <v>6400</v>
      </c>
      <c r="O1015">
        <v>25600</v>
      </c>
      <c r="P1015">
        <v>14600</v>
      </c>
      <c r="Q1015">
        <v>11000</v>
      </c>
      <c r="R1015">
        <v>42.97</v>
      </c>
      <c r="S1015" t="s">
        <v>97</v>
      </c>
      <c r="T1015">
        <v>3400</v>
      </c>
      <c r="U1015">
        <v>3.8</v>
      </c>
      <c r="V1015" t="s">
        <v>79</v>
      </c>
    </row>
    <row r="1016" spans="1:22" x14ac:dyDescent="0.3">
      <c r="A1016" t="s">
        <v>3889</v>
      </c>
      <c r="B1016" t="s">
        <v>3890</v>
      </c>
      <c r="C1016" t="s">
        <v>3891</v>
      </c>
      <c r="D1016" s="2">
        <v>46158</v>
      </c>
      <c r="E1016" t="s">
        <v>228</v>
      </c>
      <c r="F1016" t="s">
        <v>228</v>
      </c>
      <c r="G1016" t="s">
        <v>27</v>
      </c>
      <c r="H1016" t="s">
        <v>88</v>
      </c>
      <c r="I1016" t="s">
        <v>69</v>
      </c>
      <c r="J1016" t="s">
        <v>30</v>
      </c>
      <c r="K1016">
        <v>2</v>
      </c>
      <c r="L1016">
        <v>50</v>
      </c>
      <c r="M1016">
        <v>45000</v>
      </c>
      <c r="N1016">
        <v>2200</v>
      </c>
      <c r="O1016">
        <v>42800</v>
      </c>
      <c r="P1016">
        <v>23600</v>
      </c>
      <c r="Q1016">
        <v>19200</v>
      </c>
      <c r="R1016">
        <v>44.86</v>
      </c>
      <c r="S1016" t="s">
        <v>58</v>
      </c>
      <c r="T1016">
        <v>2800</v>
      </c>
      <c r="U1016">
        <v>3.1</v>
      </c>
      <c r="V1016" t="s">
        <v>79</v>
      </c>
    </row>
    <row r="1017" spans="1:22" x14ac:dyDescent="0.3">
      <c r="A1017" t="s">
        <v>4863</v>
      </c>
      <c r="B1017" t="s">
        <v>1675</v>
      </c>
      <c r="C1017" t="s">
        <v>1676</v>
      </c>
      <c r="D1017" s="2">
        <v>46158</v>
      </c>
      <c r="E1017" t="s">
        <v>134</v>
      </c>
      <c r="F1017" t="s">
        <v>134</v>
      </c>
      <c r="G1017" t="s">
        <v>48</v>
      </c>
      <c r="H1017" t="s">
        <v>214</v>
      </c>
      <c r="I1017" t="s">
        <v>29</v>
      </c>
      <c r="J1017" t="s">
        <v>30</v>
      </c>
      <c r="K1017">
        <v>2</v>
      </c>
      <c r="L1017">
        <v>48</v>
      </c>
      <c r="M1017">
        <v>18300</v>
      </c>
      <c r="N1017">
        <v>0</v>
      </c>
      <c r="O1017">
        <v>18300</v>
      </c>
      <c r="P1017">
        <v>10600</v>
      </c>
      <c r="Q1017">
        <v>7700</v>
      </c>
      <c r="R1017">
        <v>42.08</v>
      </c>
      <c r="S1017" t="s">
        <v>182</v>
      </c>
      <c r="T1017">
        <v>2000</v>
      </c>
      <c r="U1017">
        <v>3.5</v>
      </c>
      <c r="V1017" t="s">
        <v>114</v>
      </c>
    </row>
    <row r="1018" spans="1:22" x14ac:dyDescent="0.3">
      <c r="A1018" t="s">
        <v>1796</v>
      </c>
      <c r="B1018" t="s">
        <v>1797</v>
      </c>
      <c r="C1018" t="s">
        <v>1798</v>
      </c>
      <c r="D1018" s="2">
        <v>46158</v>
      </c>
      <c r="E1018" t="s">
        <v>66</v>
      </c>
      <c r="F1018" t="s">
        <v>66</v>
      </c>
      <c r="G1018" t="s">
        <v>118</v>
      </c>
      <c r="H1018" t="s">
        <v>68</v>
      </c>
      <c r="I1018" t="s">
        <v>69</v>
      </c>
      <c r="J1018" t="s">
        <v>30</v>
      </c>
      <c r="K1018">
        <v>9</v>
      </c>
      <c r="L1018">
        <v>35</v>
      </c>
      <c r="M1018">
        <v>75400</v>
      </c>
      <c r="N1018">
        <v>15100</v>
      </c>
      <c r="O1018">
        <v>60300</v>
      </c>
      <c r="P1018">
        <v>38700</v>
      </c>
      <c r="Q1018">
        <v>21600</v>
      </c>
      <c r="R1018">
        <v>35.82</v>
      </c>
      <c r="S1018" t="s">
        <v>79</v>
      </c>
      <c r="T1018">
        <v>7700</v>
      </c>
      <c r="U1018">
        <v>5</v>
      </c>
      <c r="V1018" t="s">
        <v>58</v>
      </c>
    </row>
    <row r="1019" spans="1:22" x14ac:dyDescent="0.3">
      <c r="A1019" t="s">
        <v>737</v>
      </c>
      <c r="B1019" t="s">
        <v>738</v>
      </c>
      <c r="C1019" t="s">
        <v>739</v>
      </c>
      <c r="D1019" s="2">
        <v>46159</v>
      </c>
      <c r="E1019" t="s">
        <v>244</v>
      </c>
      <c r="F1019" t="s">
        <v>244</v>
      </c>
      <c r="G1019" t="s">
        <v>580</v>
      </c>
      <c r="H1019" t="s">
        <v>68</v>
      </c>
      <c r="I1019" t="s">
        <v>69</v>
      </c>
      <c r="J1019" t="s">
        <v>30</v>
      </c>
      <c r="K1019">
        <v>3</v>
      </c>
      <c r="L1019">
        <v>31</v>
      </c>
      <c r="M1019">
        <v>50900</v>
      </c>
      <c r="N1019">
        <v>0</v>
      </c>
      <c r="O1019">
        <v>50900</v>
      </c>
      <c r="P1019">
        <v>40300</v>
      </c>
      <c r="Q1019">
        <v>10600</v>
      </c>
      <c r="R1019">
        <v>20.83</v>
      </c>
      <c r="S1019" t="s">
        <v>58</v>
      </c>
      <c r="T1019">
        <v>2400</v>
      </c>
      <c r="U1019">
        <v>2.7</v>
      </c>
      <c r="V1019" t="s">
        <v>114</v>
      </c>
    </row>
    <row r="1020" spans="1:22" x14ac:dyDescent="0.3">
      <c r="A1020" t="s">
        <v>2958</v>
      </c>
      <c r="B1020" t="s">
        <v>2959</v>
      </c>
      <c r="C1020" t="s">
        <v>2960</v>
      </c>
      <c r="D1020" s="2">
        <v>46159</v>
      </c>
      <c r="E1020" t="s">
        <v>161</v>
      </c>
      <c r="F1020" t="s">
        <v>161</v>
      </c>
      <c r="G1020" t="s">
        <v>67</v>
      </c>
      <c r="H1020" t="s">
        <v>88</v>
      </c>
      <c r="I1020" t="s">
        <v>69</v>
      </c>
      <c r="J1020" t="s">
        <v>70</v>
      </c>
      <c r="K1020">
        <v>10</v>
      </c>
      <c r="L1020">
        <v>69</v>
      </c>
      <c r="M1020">
        <v>33800</v>
      </c>
      <c r="N1020">
        <v>3400</v>
      </c>
      <c r="O1020">
        <v>30400</v>
      </c>
      <c r="P1020">
        <v>19500</v>
      </c>
      <c r="Q1020">
        <v>10900</v>
      </c>
      <c r="R1020">
        <v>35.86</v>
      </c>
      <c r="S1020" t="s">
        <v>126</v>
      </c>
      <c r="T1020">
        <v>3600</v>
      </c>
      <c r="U1020">
        <v>3.9</v>
      </c>
      <c r="V1020" t="s">
        <v>114</v>
      </c>
    </row>
    <row r="1021" spans="1:22" x14ac:dyDescent="0.3">
      <c r="A1021" t="s">
        <v>4170</v>
      </c>
      <c r="B1021" t="s">
        <v>1851</v>
      </c>
      <c r="C1021" t="s">
        <v>1852</v>
      </c>
      <c r="D1021" s="2">
        <v>46159</v>
      </c>
      <c r="E1021" t="s">
        <v>188</v>
      </c>
      <c r="F1021" t="s">
        <v>188</v>
      </c>
      <c r="G1021" t="s">
        <v>48</v>
      </c>
      <c r="H1021" t="s">
        <v>88</v>
      </c>
      <c r="I1021" t="s">
        <v>69</v>
      </c>
      <c r="J1021" t="s">
        <v>70</v>
      </c>
      <c r="K1021">
        <v>6</v>
      </c>
      <c r="L1021">
        <v>32</v>
      </c>
      <c r="M1021">
        <v>66300</v>
      </c>
      <c r="N1021">
        <v>6600</v>
      </c>
      <c r="O1021">
        <v>59700</v>
      </c>
      <c r="P1021">
        <v>40700</v>
      </c>
      <c r="Q1021">
        <v>19000</v>
      </c>
      <c r="R1021">
        <v>31.83</v>
      </c>
      <c r="S1021" t="s">
        <v>39</v>
      </c>
      <c r="T1021">
        <v>7000</v>
      </c>
      <c r="U1021">
        <v>3.7</v>
      </c>
      <c r="V1021" t="s">
        <v>79</v>
      </c>
    </row>
    <row r="1022" spans="1:22" x14ac:dyDescent="0.3">
      <c r="A1022" t="s">
        <v>5357</v>
      </c>
      <c r="B1022" t="s">
        <v>4013</v>
      </c>
      <c r="C1022" t="s">
        <v>4014</v>
      </c>
      <c r="D1022" s="2">
        <v>46160</v>
      </c>
      <c r="E1022" t="s">
        <v>228</v>
      </c>
      <c r="F1022" t="s">
        <v>228</v>
      </c>
      <c r="G1022" t="s">
        <v>118</v>
      </c>
      <c r="H1022" t="s">
        <v>88</v>
      </c>
      <c r="I1022" t="s">
        <v>29</v>
      </c>
      <c r="J1022" t="s">
        <v>70</v>
      </c>
      <c r="K1022">
        <v>5</v>
      </c>
      <c r="L1022">
        <v>57</v>
      </c>
      <c r="M1022">
        <v>32700</v>
      </c>
      <c r="N1022">
        <v>0</v>
      </c>
      <c r="O1022">
        <v>32700</v>
      </c>
      <c r="P1022">
        <v>22800</v>
      </c>
      <c r="Q1022">
        <v>9900</v>
      </c>
      <c r="R1022">
        <v>30.28</v>
      </c>
      <c r="S1022" t="s">
        <v>58</v>
      </c>
      <c r="T1022">
        <v>3300</v>
      </c>
      <c r="U1022">
        <v>3.6</v>
      </c>
      <c r="V1022" t="s">
        <v>58</v>
      </c>
    </row>
    <row r="1023" spans="1:22" x14ac:dyDescent="0.3">
      <c r="A1023" t="s">
        <v>4654</v>
      </c>
      <c r="B1023" t="s">
        <v>2187</v>
      </c>
      <c r="C1023" t="s">
        <v>2188</v>
      </c>
      <c r="D1023" s="2">
        <v>46160</v>
      </c>
      <c r="E1023" t="s">
        <v>188</v>
      </c>
      <c r="F1023" t="s">
        <v>188</v>
      </c>
      <c r="G1023" t="s">
        <v>580</v>
      </c>
      <c r="H1023" t="s">
        <v>268</v>
      </c>
      <c r="I1023" t="s">
        <v>69</v>
      </c>
      <c r="J1023" t="s">
        <v>257</v>
      </c>
      <c r="K1023">
        <v>7</v>
      </c>
      <c r="L1023">
        <v>24</v>
      </c>
      <c r="M1023">
        <v>36300</v>
      </c>
      <c r="N1023">
        <v>3600</v>
      </c>
      <c r="O1023">
        <v>32700</v>
      </c>
      <c r="P1023">
        <v>24100</v>
      </c>
      <c r="Q1023">
        <v>8600</v>
      </c>
      <c r="R1023">
        <v>26.3</v>
      </c>
      <c r="S1023" t="s">
        <v>126</v>
      </c>
      <c r="T1023">
        <v>4500</v>
      </c>
      <c r="U1023">
        <v>4.4000000000000004</v>
      </c>
      <c r="V1023" t="s">
        <v>79</v>
      </c>
    </row>
    <row r="1024" spans="1:22" x14ac:dyDescent="0.3">
      <c r="A1024" t="s">
        <v>3527</v>
      </c>
      <c r="B1024" t="s">
        <v>2146</v>
      </c>
      <c r="C1024" t="s">
        <v>2147</v>
      </c>
      <c r="D1024" s="2">
        <v>46160</v>
      </c>
      <c r="E1024" t="s">
        <v>66</v>
      </c>
      <c r="F1024" t="s">
        <v>66</v>
      </c>
      <c r="G1024" t="s">
        <v>67</v>
      </c>
      <c r="H1024" t="s">
        <v>214</v>
      </c>
      <c r="I1024" t="s">
        <v>69</v>
      </c>
      <c r="J1024" t="s">
        <v>70</v>
      </c>
      <c r="K1024">
        <v>2</v>
      </c>
      <c r="L1024">
        <v>21</v>
      </c>
      <c r="M1024">
        <v>37000</v>
      </c>
      <c r="N1024">
        <v>0</v>
      </c>
      <c r="O1024">
        <v>37000</v>
      </c>
      <c r="P1024">
        <v>19300</v>
      </c>
      <c r="Q1024">
        <v>17700</v>
      </c>
      <c r="R1024">
        <v>47.84</v>
      </c>
      <c r="S1024" t="s">
        <v>182</v>
      </c>
      <c r="T1024">
        <v>2500</v>
      </c>
      <c r="U1024">
        <v>4.7</v>
      </c>
      <c r="V1024" t="s">
        <v>79</v>
      </c>
    </row>
    <row r="1025" spans="1:22" x14ac:dyDescent="0.3">
      <c r="A1025" t="s">
        <v>5075</v>
      </c>
      <c r="B1025" t="s">
        <v>1180</v>
      </c>
      <c r="C1025" t="s">
        <v>1181</v>
      </c>
      <c r="D1025" s="2">
        <v>46160</v>
      </c>
      <c r="E1025" t="s">
        <v>66</v>
      </c>
      <c r="F1025" t="s">
        <v>66</v>
      </c>
      <c r="G1025" t="s">
        <v>213</v>
      </c>
      <c r="H1025" t="s">
        <v>28</v>
      </c>
      <c r="I1025" t="s">
        <v>69</v>
      </c>
      <c r="J1025" t="s">
        <v>30</v>
      </c>
      <c r="K1025">
        <v>5</v>
      </c>
      <c r="L1025">
        <v>59</v>
      </c>
      <c r="M1025">
        <v>23400</v>
      </c>
      <c r="N1025">
        <v>0</v>
      </c>
      <c r="O1025">
        <v>23400</v>
      </c>
      <c r="P1025">
        <v>13800</v>
      </c>
      <c r="Q1025">
        <v>9600</v>
      </c>
      <c r="R1025">
        <v>41.03</v>
      </c>
      <c r="S1025" t="s">
        <v>182</v>
      </c>
      <c r="T1025">
        <v>2500</v>
      </c>
      <c r="U1025">
        <v>3.9</v>
      </c>
      <c r="V1025" t="s">
        <v>42</v>
      </c>
    </row>
    <row r="1026" spans="1:22" x14ac:dyDescent="0.3">
      <c r="A1026" t="s">
        <v>2162</v>
      </c>
      <c r="B1026" t="s">
        <v>2163</v>
      </c>
      <c r="C1026" t="s">
        <v>2164</v>
      </c>
      <c r="D1026" s="2">
        <v>46161</v>
      </c>
      <c r="E1026" t="s">
        <v>134</v>
      </c>
      <c r="F1026" t="s">
        <v>134</v>
      </c>
      <c r="G1026" t="s">
        <v>67</v>
      </c>
      <c r="H1026" t="s">
        <v>5470</v>
      </c>
      <c r="I1026" t="s">
        <v>69</v>
      </c>
      <c r="J1026" t="s">
        <v>257</v>
      </c>
      <c r="K1026">
        <v>2</v>
      </c>
      <c r="L1026">
        <v>5</v>
      </c>
      <c r="M1026">
        <v>49500</v>
      </c>
      <c r="N1026">
        <v>5000</v>
      </c>
      <c r="O1026">
        <v>44500</v>
      </c>
      <c r="P1026">
        <v>36500</v>
      </c>
      <c r="Q1026">
        <v>8000</v>
      </c>
      <c r="R1026">
        <v>17.98</v>
      </c>
      <c r="S1026" t="s">
        <v>39</v>
      </c>
      <c r="T1026">
        <v>3500</v>
      </c>
      <c r="U1026">
        <v>4.8</v>
      </c>
      <c r="V1026" t="s">
        <v>114</v>
      </c>
    </row>
    <row r="1027" spans="1:22" x14ac:dyDescent="0.3">
      <c r="A1027" t="s">
        <v>5363</v>
      </c>
      <c r="B1027" t="s">
        <v>23</v>
      </c>
      <c r="C1027" t="s">
        <v>24</v>
      </c>
      <c r="D1027" s="2">
        <v>46161</v>
      </c>
      <c r="E1027" t="s">
        <v>282</v>
      </c>
      <c r="F1027" t="s">
        <v>282</v>
      </c>
      <c r="G1027" t="s">
        <v>48</v>
      </c>
      <c r="H1027" t="s">
        <v>268</v>
      </c>
      <c r="I1027" t="s">
        <v>29</v>
      </c>
      <c r="J1027" t="s">
        <v>30</v>
      </c>
      <c r="K1027">
        <v>3</v>
      </c>
      <c r="L1027">
        <v>45</v>
      </c>
      <c r="M1027">
        <v>74000</v>
      </c>
      <c r="N1027">
        <v>0</v>
      </c>
      <c r="O1027">
        <v>74000</v>
      </c>
      <c r="P1027">
        <v>34400</v>
      </c>
      <c r="Q1027">
        <v>39600</v>
      </c>
      <c r="R1027">
        <v>53.51</v>
      </c>
      <c r="S1027" t="s">
        <v>58</v>
      </c>
      <c r="T1027">
        <v>5300</v>
      </c>
      <c r="U1027">
        <v>4.4000000000000004</v>
      </c>
      <c r="V1027" t="s">
        <v>82</v>
      </c>
    </row>
    <row r="1028" spans="1:22" x14ac:dyDescent="0.3">
      <c r="A1028" t="s">
        <v>3097</v>
      </c>
      <c r="B1028" t="s">
        <v>3056</v>
      </c>
      <c r="C1028" t="s">
        <v>3057</v>
      </c>
      <c r="D1028" s="2">
        <v>46161</v>
      </c>
      <c r="E1028" t="s">
        <v>228</v>
      </c>
      <c r="F1028" t="s">
        <v>228</v>
      </c>
      <c r="G1028" t="s">
        <v>103</v>
      </c>
      <c r="H1028" t="s">
        <v>88</v>
      </c>
      <c r="I1028" t="s">
        <v>69</v>
      </c>
      <c r="J1028" t="s">
        <v>30</v>
      </c>
      <c r="K1028">
        <v>9</v>
      </c>
      <c r="L1028">
        <v>49</v>
      </c>
      <c r="M1028">
        <v>36000</v>
      </c>
      <c r="N1028">
        <v>5400</v>
      </c>
      <c r="O1028">
        <v>30600</v>
      </c>
      <c r="P1028">
        <v>26300</v>
      </c>
      <c r="Q1028">
        <v>4300</v>
      </c>
      <c r="R1028">
        <v>14.05</v>
      </c>
      <c r="S1028" t="s">
        <v>58</v>
      </c>
      <c r="T1028">
        <v>1400</v>
      </c>
      <c r="U1028">
        <v>5</v>
      </c>
      <c r="V1028" t="s">
        <v>42</v>
      </c>
    </row>
    <row r="1029" spans="1:22" x14ac:dyDescent="0.3">
      <c r="A1029" t="s">
        <v>4751</v>
      </c>
      <c r="B1029" t="s">
        <v>4752</v>
      </c>
      <c r="C1029" t="s">
        <v>4753</v>
      </c>
      <c r="D1029" s="2">
        <v>46163</v>
      </c>
      <c r="E1029" t="s">
        <v>244</v>
      </c>
      <c r="F1029" t="s">
        <v>244</v>
      </c>
      <c r="G1029" t="s">
        <v>118</v>
      </c>
      <c r="H1029" t="s">
        <v>5470</v>
      </c>
      <c r="I1029" t="s">
        <v>29</v>
      </c>
      <c r="J1029" t="s">
        <v>70</v>
      </c>
      <c r="K1029">
        <v>3</v>
      </c>
      <c r="L1029">
        <v>49</v>
      </c>
      <c r="M1029">
        <v>42400</v>
      </c>
      <c r="N1029">
        <v>0</v>
      </c>
      <c r="O1029">
        <v>42400</v>
      </c>
      <c r="P1029">
        <v>18600</v>
      </c>
      <c r="Q1029">
        <v>23800</v>
      </c>
      <c r="R1029">
        <v>56.13</v>
      </c>
      <c r="S1029" t="s">
        <v>58</v>
      </c>
      <c r="T1029">
        <v>7600</v>
      </c>
      <c r="U1029">
        <v>4.2</v>
      </c>
      <c r="V1029" t="s">
        <v>58</v>
      </c>
    </row>
    <row r="1030" spans="1:22" x14ac:dyDescent="0.3">
      <c r="A1030" t="s">
        <v>3750</v>
      </c>
      <c r="B1030" t="s">
        <v>2775</v>
      </c>
      <c r="C1030" t="s">
        <v>2776</v>
      </c>
      <c r="D1030" s="2">
        <v>46164</v>
      </c>
      <c r="E1030" t="s">
        <v>161</v>
      </c>
      <c r="F1030" t="s">
        <v>161</v>
      </c>
      <c r="G1030" t="s">
        <v>580</v>
      </c>
      <c r="H1030" t="s">
        <v>214</v>
      </c>
      <c r="I1030" t="s">
        <v>29</v>
      </c>
      <c r="J1030" t="s">
        <v>30</v>
      </c>
      <c r="K1030">
        <v>2</v>
      </c>
      <c r="L1030">
        <v>16</v>
      </c>
      <c r="M1030">
        <v>59100</v>
      </c>
      <c r="N1030">
        <v>8900</v>
      </c>
      <c r="O1030">
        <v>50200</v>
      </c>
      <c r="P1030">
        <v>29800</v>
      </c>
      <c r="Q1030">
        <v>20400</v>
      </c>
      <c r="R1030">
        <v>40.64</v>
      </c>
      <c r="S1030" t="s">
        <v>58</v>
      </c>
      <c r="T1030">
        <v>7300</v>
      </c>
      <c r="U1030">
        <v>4.4000000000000004</v>
      </c>
      <c r="V1030" t="s">
        <v>42</v>
      </c>
    </row>
    <row r="1031" spans="1:22" x14ac:dyDescent="0.3">
      <c r="A1031" t="s">
        <v>5273</v>
      </c>
      <c r="B1031" t="s">
        <v>2384</v>
      </c>
      <c r="C1031" t="s">
        <v>2385</v>
      </c>
      <c r="D1031" s="2">
        <v>46164</v>
      </c>
      <c r="E1031" t="s">
        <v>134</v>
      </c>
      <c r="F1031" t="s">
        <v>134</v>
      </c>
      <c r="G1031" t="s">
        <v>27</v>
      </c>
      <c r="H1031" t="s">
        <v>214</v>
      </c>
      <c r="I1031" t="s">
        <v>69</v>
      </c>
      <c r="J1031" t="s">
        <v>30</v>
      </c>
      <c r="K1031">
        <v>5</v>
      </c>
      <c r="L1031">
        <v>9</v>
      </c>
      <c r="M1031">
        <v>53100</v>
      </c>
      <c r="N1031">
        <v>10600</v>
      </c>
      <c r="O1031">
        <v>42500</v>
      </c>
      <c r="P1031">
        <v>30700</v>
      </c>
      <c r="Q1031">
        <v>11800</v>
      </c>
      <c r="R1031">
        <v>27.76</v>
      </c>
      <c r="S1031" t="s">
        <v>182</v>
      </c>
      <c r="T1031">
        <v>5600</v>
      </c>
      <c r="U1031">
        <v>3.9</v>
      </c>
      <c r="V1031" t="s">
        <v>58</v>
      </c>
    </row>
    <row r="1032" spans="1:22" x14ac:dyDescent="0.3">
      <c r="A1032" t="s">
        <v>2114</v>
      </c>
      <c r="B1032" t="s">
        <v>1587</v>
      </c>
      <c r="C1032" t="s">
        <v>1588</v>
      </c>
      <c r="D1032" s="2">
        <v>46166</v>
      </c>
      <c r="E1032" t="s">
        <v>244</v>
      </c>
      <c r="F1032" t="s">
        <v>244</v>
      </c>
      <c r="G1032" t="s">
        <v>213</v>
      </c>
      <c r="H1032" t="s">
        <v>229</v>
      </c>
      <c r="I1032" t="s">
        <v>29</v>
      </c>
      <c r="J1032" t="s">
        <v>30</v>
      </c>
      <c r="K1032">
        <v>7</v>
      </c>
      <c r="L1032">
        <v>39</v>
      </c>
      <c r="M1032">
        <v>53700</v>
      </c>
      <c r="N1032">
        <v>0</v>
      </c>
      <c r="O1032">
        <v>53700</v>
      </c>
      <c r="P1032">
        <v>30100</v>
      </c>
      <c r="Q1032">
        <v>23600</v>
      </c>
      <c r="R1032">
        <v>43.95</v>
      </c>
      <c r="S1032" t="s">
        <v>79</v>
      </c>
      <c r="T1032">
        <v>2300</v>
      </c>
      <c r="U1032">
        <v>3.7</v>
      </c>
      <c r="V1032" t="s">
        <v>82</v>
      </c>
    </row>
    <row r="1033" spans="1:22" x14ac:dyDescent="0.3">
      <c r="A1033" t="s">
        <v>1033</v>
      </c>
      <c r="B1033" t="s">
        <v>1034</v>
      </c>
      <c r="C1033" t="s">
        <v>1035</v>
      </c>
      <c r="D1033" s="2">
        <v>46166</v>
      </c>
      <c r="E1033" t="s">
        <v>244</v>
      </c>
      <c r="F1033" t="s">
        <v>244</v>
      </c>
      <c r="G1033" t="s">
        <v>118</v>
      </c>
      <c r="H1033" t="s">
        <v>49</v>
      </c>
      <c r="I1033" t="s">
        <v>69</v>
      </c>
      <c r="J1033" t="s">
        <v>70</v>
      </c>
      <c r="K1033">
        <v>6</v>
      </c>
      <c r="L1033">
        <v>51</v>
      </c>
      <c r="M1033">
        <v>58400</v>
      </c>
      <c r="N1033">
        <v>2900</v>
      </c>
      <c r="O1033">
        <v>55500</v>
      </c>
      <c r="P1033">
        <v>46200</v>
      </c>
      <c r="Q1033">
        <v>9300</v>
      </c>
      <c r="R1033">
        <v>16.760000000000002</v>
      </c>
      <c r="S1033" t="s">
        <v>97</v>
      </c>
      <c r="T1033">
        <v>6700</v>
      </c>
      <c r="U1033">
        <v>3.5</v>
      </c>
      <c r="V1033" t="s">
        <v>114</v>
      </c>
    </row>
    <row r="1034" spans="1:22" x14ac:dyDescent="0.3">
      <c r="A1034" t="s">
        <v>5385</v>
      </c>
      <c r="B1034" t="s">
        <v>1180</v>
      </c>
      <c r="C1034" t="s">
        <v>1181</v>
      </c>
      <c r="D1034" s="2">
        <v>46167</v>
      </c>
      <c r="E1034" t="s">
        <v>26</v>
      </c>
      <c r="F1034" t="s">
        <v>26</v>
      </c>
      <c r="G1034" t="s">
        <v>580</v>
      </c>
      <c r="H1034" t="s">
        <v>214</v>
      </c>
      <c r="I1034" t="s">
        <v>69</v>
      </c>
      <c r="J1034" t="s">
        <v>30</v>
      </c>
      <c r="K1034">
        <v>5</v>
      </c>
      <c r="L1034">
        <v>52</v>
      </c>
      <c r="M1034">
        <v>45200</v>
      </c>
      <c r="N1034">
        <v>0</v>
      </c>
      <c r="O1034">
        <v>45200</v>
      </c>
      <c r="P1034">
        <v>28900</v>
      </c>
      <c r="Q1034">
        <v>16300</v>
      </c>
      <c r="R1034">
        <v>36.06</v>
      </c>
      <c r="S1034" t="s">
        <v>39</v>
      </c>
      <c r="T1034">
        <v>8000</v>
      </c>
      <c r="U1034">
        <v>4.7</v>
      </c>
      <c r="V1034" t="s">
        <v>42</v>
      </c>
    </row>
    <row r="1035" spans="1:22" x14ac:dyDescent="0.3">
      <c r="A1035" t="s">
        <v>3614</v>
      </c>
      <c r="B1035" t="s">
        <v>839</v>
      </c>
      <c r="C1035" t="s">
        <v>840</v>
      </c>
      <c r="D1035" s="2">
        <v>46167</v>
      </c>
      <c r="E1035" t="s">
        <v>66</v>
      </c>
      <c r="F1035" t="s">
        <v>66</v>
      </c>
      <c r="G1035" t="s">
        <v>118</v>
      </c>
      <c r="H1035" t="s">
        <v>88</v>
      </c>
      <c r="I1035" t="s">
        <v>69</v>
      </c>
      <c r="J1035" t="s">
        <v>30</v>
      </c>
      <c r="K1035">
        <v>9</v>
      </c>
      <c r="L1035">
        <v>25</v>
      </c>
      <c r="M1035">
        <v>41300</v>
      </c>
      <c r="N1035">
        <v>0</v>
      </c>
      <c r="O1035">
        <v>41300</v>
      </c>
      <c r="P1035">
        <v>23900</v>
      </c>
      <c r="Q1035">
        <v>17400</v>
      </c>
      <c r="R1035">
        <v>42.13</v>
      </c>
      <c r="S1035" t="s">
        <v>39</v>
      </c>
      <c r="T1035">
        <v>2100</v>
      </c>
      <c r="U1035">
        <v>4.7</v>
      </c>
      <c r="V1035" t="s">
        <v>79</v>
      </c>
    </row>
    <row r="1036" spans="1:22" x14ac:dyDescent="0.3">
      <c r="A1036" t="s">
        <v>1436</v>
      </c>
      <c r="B1036" t="s">
        <v>1437</v>
      </c>
      <c r="C1036" t="s">
        <v>1438</v>
      </c>
      <c r="D1036" s="2">
        <v>46167</v>
      </c>
      <c r="E1036" t="s">
        <v>282</v>
      </c>
      <c r="F1036" t="s">
        <v>282</v>
      </c>
      <c r="G1036" t="s">
        <v>67</v>
      </c>
      <c r="H1036" t="s">
        <v>5470</v>
      </c>
      <c r="I1036" t="s">
        <v>69</v>
      </c>
      <c r="J1036" t="s">
        <v>162</v>
      </c>
      <c r="K1036">
        <v>7</v>
      </c>
      <c r="L1036">
        <v>31</v>
      </c>
      <c r="M1036">
        <v>23300</v>
      </c>
      <c r="N1036">
        <v>4700</v>
      </c>
      <c r="O1036">
        <v>18600</v>
      </c>
      <c r="P1036">
        <v>16900</v>
      </c>
      <c r="Q1036">
        <v>1700</v>
      </c>
      <c r="R1036">
        <v>9.14</v>
      </c>
      <c r="S1036" t="s">
        <v>97</v>
      </c>
      <c r="T1036">
        <v>3300</v>
      </c>
      <c r="U1036">
        <v>4</v>
      </c>
      <c r="V1036" t="s">
        <v>79</v>
      </c>
    </row>
    <row r="1037" spans="1:22" x14ac:dyDescent="0.3">
      <c r="A1037" t="s">
        <v>3375</v>
      </c>
      <c r="B1037" t="s">
        <v>825</v>
      </c>
      <c r="C1037" t="s">
        <v>826</v>
      </c>
      <c r="D1037" s="2">
        <v>46167</v>
      </c>
      <c r="E1037" t="s">
        <v>26</v>
      </c>
      <c r="F1037" t="s">
        <v>26</v>
      </c>
      <c r="G1037" t="s">
        <v>48</v>
      </c>
      <c r="H1037" t="s">
        <v>229</v>
      </c>
      <c r="I1037" t="s">
        <v>29</v>
      </c>
      <c r="J1037" t="s">
        <v>30</v>
      </c>
      <c r="K1037">
        <v>5</v>
      </c>
      <c r="L1037">
        <v>45</v>
      </c>
      <c r="M1037">
        <v>54700</v>
      </c>
      <c r="N1037">
        <v>2700</v>
      </c>
      <c r="O1037">
        <v>52000</v>
      </c>
      <c r="P1037">
        <v>34400</v>
      </c>
      <c r="Q1037">
        <v>17600</v>
      </c>
      <c r="R1037">
        <v>33.85</v>
      </c>
      <c r="S1037" t="s">
        <v>97</v>
      </c>
      <c r="T1037">
        <v>7100</v>
      </c>
      <c r="U1037">
        <v>4</v>
      </c>
      <c r="V1037" t="s">
        <v>79</v>
      </c>
    </row>
    <row r="1038" spans="1:22" x14ac:dyDescent="0.3">
      <c r="A1038" t="s">
        <v>2908</v>
      </c>
      <c r="B1038" t="s">
        <v>716</v>
      </c>
      <c r="C1038" t="s">
        <v>717</v>
      </c>
      <c r="D1038" s="2">
        <v>46168</v>
      </c>
      <c r="E1038" t="s">
        <v>161</v>
      </c>
      <c r="F1038" t="s">
        <v>161</v>
      </c>
      <c r="G1038" t="s">
        <v>118</v>
      </c>
      <c r="H1038" t="s">
        <v>5470</v>
      </c>
      <c r="I1038" t="s">
        <v>29</v>
      </c>
      <c r="J1038" t="s">
        <v>30</v>
      </c>
      <c r="K1038">
        <v>7</v>
      </c>
      <c r="L1038">
        <v>54</v>
      </c>
      <c r="M1038">
        <v>25100</v>
      </c>
      <c r="N1038">
        <v>3800</v>
      </c>
      <c r="O1038">
        <v>21300</v>
      </c>
      <c r="P1038">
        <v>15300</v>
      </c>
      <c r="Q1038">
        <v>6000</v>
      </c>
      <c r="R1038">
        <v>28.17</v>
      </c>
      <c r="S1038" t="s">
        <v>79</v>
      </c>
      <c r="T1038">
        <v>3000</v>
      </c>
      <c r="U1038">
        <v>4.4000000000000004</v>
      </c>
      <c r="V1038" t="s">
        <v>42</v>
      </c>
    </row>
    <row r="1039" spans="1:22" x14ac:dyDescent="0.3">
      <c r="A1039" t="s">
        <v>2522</v>
      </c>
      <c r="B1039" t="s">
        <v>2523</v>
      </c>
      <c r="C1039" t="s">
        <v>2524</v>
      </c>
      <c r="D1039" s="2">
        <v>46168</v>
      </c>
      <c r="E1039" t="s">
        <v>282</v>
      </c>
      <c r="F1039" t="s">
        <v>282</v>
      </c>
      <c r="G1039" t="s">
        <v>147</v>
      </c>
      <c r="H1039" t="s">
        <v>5470</v>
      </c>
      <c r="I1039" t="s">
        <v>29</v>
      </c>
      <c r="J1039" t="s">
        <v>30</v>
      </c>
      <c r="K1039">
        <v>9</v>
      </c>
      <c r="L1039">
        <v>35</v>
      </c>
      <c r="M1039">
        <v>45400</v>
      </c>
      <c r="N1039">
        <v>6800</v>
      </c>
      <c r="O1039">
        <v>38600</v>
      </c>
      <c r="P1039">
        <v>23900</v>
      </c>
      <c r="Q1039">
        <v>14700</v>
      </c>
      <c r="R1039">
        <v>38.08</v>
      </c>
      <c r="S1039" t="s">
        <v>58</v>
      </c>
      <c r="T1039">
        <v>5300</v>
      </c>
      <c r="U1039">
        <v>3.4</v>
      </c>
      <c r="V1039" t="s">
        <v>79</v>
      </c>
    </row>
    <row r="1040" spans="1:22" x14ac:dyDescent="0.3">
      <c r="A1040" t="s">
        <v>3269</v>
      </c>
      <c r="B1040" t="s">
        <v>3270</v>
      </c>
      <c r="C1040" t="s">
        <v>3271</v>
      </c>
      <c r="D1040" s="2">
        <v>46168</v>
      </c>
      <c r="E1040" t="s">
        <v>244</v>
      </c>
      <c r="F1040" t="s">
        <v>244</v>
      </c>
      <c r="G1040" t="s">
        <v>48</v>
      </c>
      <c r="H1040" t="s">
        <v>229</v>
      </c>
      <c r="I1040" t="s">
        <v>69</v>
      </c>
      <c r="J1040" t="s">
        <v>70</v>
      </c>
      <c r="K1040">
        <v>5</v>
      </c>
      <c r="L1040">
        <v>15</v>
      </c>
      <c r="M1040">
        <v>54200</v>
      </c>
      <c r="N1040">
        <v>5400</v>
      </c>
      <c r="O1040">
        <v>48800</v>
      </c>
      <c r="P1040">
        <v>38500</v>
      </c>
      <c r="Q1040">
        <v>10300</v>
      </c>
      <c r="R1040">
        <v>21.11</v>
      </c>
      <c r="S1040" t="s">
        <v>39</v>
      </c>
      <c r="T1040">
        <v>6700</v>
      </c>
      <c r="U1040">
        <v>4.4000000000000004</v>
      </c>
      <c r="V1040" t="s">
        <v>42</v>
      </c>
    </row>
    <row r="1041" spans="1:22" x14ac:dyDescent="0.3">
      <c r="A1041" t="s">
        <v>1917</v>
      </c>
      <c r="B1041" t="s">
        <v>1592</v>
      </c>
      <c r="C1041" t="s">
        <v>1593</v>
      </c>
      <c r="D1041" s="2">
        <v>46169</v>
      </c>
      <c r="E1041" t="s">
        <v>161</v>
      </c>
      <c r="F1041" t="s">
        <v>161</v>
      </c>
      <c r="G1041" t="s">
        <v>67</v>
      </c>
      <c r="H1041" t="s">
        <v>68</v>
      </c>
      <c r="I1041" t="s">
        <v>69</v>
      </c>
      <c r="J1041" t="s">
        <v>70</v>
      </c>
      <c r="K1041">
        <v>4</v>
      </c>
      <c r="L1041">
        <v>44</v>
      </c>
      <c r="M1041">
        <v>15000</v>
      </c>
      <c r="N1041">
        <v>2200</v>
      </c>
      <c r="O1041">
        <v>12800</v>
      </c>
      <c r="P1041">
        <v>9200</v>
      </c>
      <c r="Q1041">
        <v>3600</v>
      </c>
      <c r="R1041">
        <v>28.12</v>
      </c>
      <c r="S1041" t="s">
        <v>97</v>
      </c>
      <c r="T1041">
        <v>1200</v>
      </c>
      <c r="U1041">
        <v>3.9</v>
      </c>
      <c r="V1041" t="s">
        <v>79</v>
      </c>
    </row>
    <row r="1042" spans="1:22" x14ac:dyDescent="0.3">
      <c r="A1042" t="s">
        <v>1055</v>
      </c>
      <c r="B1042" t="s">
        <v>1056</v>
      </c>
      <c r="C1042" t="s">
        <v>1057</v>
      </c>
      <c r="D1042" s="2">
        <v>46171</v>
      </c>
      <c r="E1042" t="s">
        <v>188</v>
      </c>
      <c r="F1042" t="s">
        <v>188</v>
      </c>
      <c r="G1042" t="s">
        <v>580</v>
      </c>
      <c r="H1042" t="s">
        <v>268</v>
      </c>
      <c r="I1042" t="s">
        <v>69</v>
      </c>
      <c r="J1042" t="s">
        <v>70</v>
      </c>
      <c r="K1042">
        <v>6</v>
      </c>
      <c r="L1042">
        <v>36</v>
      </c>
      <c r="M1042">
        <v>22800</v>
      </c>
      <c r="N1042">
        <v>0</v>
      </c>
      <c r="O1042">
        <v>22800</v>
      </c>
      <c r="P1042">
        <v>14400</v>
      </c>
      <c r="Q1042">
        <v>8400</v>
      </c>
      <c r="R1042">
        <v>36.840000000000003</v>
      </c>
      <c r="S1042" t="s">
        <v>97</v>
      </c>
      <c r="T1042">
        <v>2100</v>
      </c>
      <c r="U1042">
        <v>5</v>
      </c>
      <c r="V1042" t="s">
        <v>82</v>
      </c>
    </row>
    <row r="1043" spans="1:22" x14ac:dyDescent="0.3">
      <c r="A1043" t="s">
        <v>1683</v>
      </c>
      <c r="B1043" t="s">
        <v>853</v>
      </c>
      <c r="C1043" t="s">
        <v>854</v>
      </c>
      <c r="D1043" s="2">
        <v>46172</v>
      </c>
      <c r="E1043" t="s">
        <v>161</v>
      </c>
      <c r="F1043" t="s">
        <v>161</v>
      </c>
      <c r="G1043" t="s">
        <v>67</v>
      </c>
      <c r="H1043" t="s">
        <v>229</v>
      </c>
      <c r="I1043" t="s">
        <v>69</v>
      </c>
      <c r="J1043" t="s">
        <v>70</v>
      </c>
      <c r="K1043">
        <v>6</v>
      </c>
      <c r="M1043">
        <v>15000</v>
      </c>
      <c r="N1043">
        <v>1500</v>
      </c>
      <c r="O1043">
        <v>13500</v>
      </c>
      <c r="P1043">
        <v>10300</v>
      </c>
      <c r="Q1043">
        <v>3200</v>
      </c>
      <c r="R1043">
        <v>23.7</v>
      </c>
      <c r="S1043" t="s">
        <v>182</v>
      </c>
      <c r="T1043">
        <v>1000</v>
      </c>
      <c r="U1043">
        <v>5</v>
      </c>
      <c r="V1043" t="s">
        <v>114</v>
      </c>
    </row>
    <row r="1044" spans="1:22" x14ac:dyDescent="0.3">
      <c r="A1044" t="s">
        <v>4715</v>
      </c>
      <c r="B1044" t="s">
        <v>4184</v>
      </c>
      <c r="C1044" t="s">
        <v>4185</v>
      </c>
      <c r="D1044" s="2">
        <v>46173</v>
      </c>
      <c r="E1044" t="s">
        <v>188</v>
      </c>
      <c r="F1044" t="s">
        <v>188</v>
      </c>
      <c r="G1044" t="s">
        <v>27</v>
      </c>
      <c r="H1044" t="s">
        <v>68</v>
      </c>
      <c r="I1044" t="s">
        <v>69</v>
      </c>
      <c r="J1044" t="s">
        <v>30</v>
      </c>
      <c r="K1044">
        <v>5</v>
      </c>
      <c r="L1044">
        <v>46</v>
      </c>
      <c r="M1044">
        <v>58600</v>
      </c>
      <c r="N1044">
        <v>0</v>
      </c>
      <c r="O1044">
        <v>58600</v>
      </c>
      <c r="P1044">
        <v>44100</v>
      </c>
      <c r="Q1044">
        <v>14500</v>
      </c>
      <c r="R1044">
        <v>24.74</v>
      </c>
      <c r="S1044" t="s">
        <v>97</v>
      </c>
      <c r="T1044">
        <v>4600</v>
      </c>
      <c r="U1044">
        <v>5</v>
      </c>
      <c r="V1044" t="s">
        <v>114</v>
      </c>
    </row>
    <row r="1045" spans="1:22" x14ac:dyDescent="0.3">
      <c r="A1045" t="s">
        <v>4372</v>
      </c>
      <c r="B1045" t="s">
        <v>4373</v>
      </c>
      <c r="C1045" t="s">
        <v>4374</v>
      </c>
      <c r="D1045" s="2">
        <v>46173</v>
      </c>
      <c r="E1045" t="s">
        <v>161</v>
      </c>
      <c r="F1045" t="s">
        <v>161</v>
      </c>
      <c r="G1045" t="s">
        <v>213</v>
      </c>
      <c r="H1045" t="s">
        <v>268</v>
      </c>
      <c r="I1045" t="s">
        <v>69</v>
      </c>
      <c r="J1045" t="s">
        <v>30</v>
      </c>
      <c r="K1045">
        <v>2</v>
      </c>
      <c r="M1045">
        <v>76500</v>
      </c>
      <c r="N1045">
        <v>15300</v>
      </c>
      <c r="O1045">
        <v>61200</v>
      </c>
      <c r="P1045">
        <v>61000</v>
      </c>
      <c r="Q1045">
        <v>200</v>
      </c>
      <c r="R1045">
        <v>0.33</v>
      </c>
      <c r="S1045" t="s">
        <v>39</v>
      </c>
      <c r="T1045">
        <v>3200</v>
      </c>
      <c r="U1045">
        <v>4.2</v>
      </c>
      <c r="V1045" t="s">
        <v>58</v>
      </c>
    </row>
    <row r="1046" spans="1:22" x14ac:dyDescent="0.3">
      <c r="A1046" t="s">
        <v>4478</v>
      </c>
      <c r="B1046" t="s">
        <v>3670</v>
      </c>
      <c r="C1046" t="s">
        <v>3671</v>
      </c>
      <c r="D1046" s="2">
        <v>46173</v>
      </c>
      <c r="E1046" t="s">
        <v>188</v>
      </c>
      <c r="F1046" t="s">
        <v>188</v>
      </c>
      <c r="G1046" t="s">
        <v>147</v>
      </c>
      <c r="H1046" t="s">
        <v>28</v>
      </c>
      <c r="I1046" t="s">
        <v>69</v>
      </c>
      <c r="J1046" t="s">
        <v>30</v>
      </c>
      <c r="K1046">
        <v>3</v>
      </c>
      <c r="L1046">
        <v>51</v>
      </c>
      <c r="M1046">
        <v>45100</v>
      </c>
      <c r="N1046">
        <v>0</v>
      </c>
      <c r="O1046">
        <v>45100</v>
      </c>
      <c r="P1046">
        <v>21200</v>
      </c>
      <c r="Q1046">
        <v>23900</v>
      </c>
      <c r="R1046">
        <v>52.99</v>
      </c>
      <c r="S1046" t="s">
        <v>58</v>
      </c>
      <c r="T1046">
        <v>4400</v>
      </c>
      <c r="U1046">
        <v>3.6</v>
      </c>
      <c r="V1046" t="s">
        <v>58</v>
      </c>
    </row>
    <row r="1047" spans="1:22" x14ac:dyDescent="0.3">
      <c r="A1047" t="s">
        <v>3438</v>
      </c>
      <c r="B1047" t="s">
        <v>2443</v>
      </c>
      <c r="C1047" t="s">
        <v>2444</v>
      </c>
      <c r="D1047" s="2">
        <v>46174</v>
      </c>
      <c r="E1047" t="s">
        <v>282</v>
      </c>
      <c r="F1047" t="s">
        <v>282</v>
      </c>
      <c r="G1047" t="s">
        <v>580</v>
      </c>
      <c r="H1047" t="s">
        <v>5470</v>
      </c>
      <c r="I1047" t="s">
        <v>69</v>
      </c>
      <c r="J1047" t="s">
        <v>30</v>
      </c>
      <c r="K1047">
        <v>2</v>
      </c>
      <c r="L1047">
        <v>53</v>
      </c>
      <c r="M1047">
        <v>40300</v>
      </c>
      <c r="N1047">
        <v>6000</v>
      </c>
      <c r="O1047">
        <v>34300</v>
      </c>
      <c r="P1047">
        <v>27300</v>
      </c>
      <c r="Q1047">
        <v>7000</v>
      </c>
      <c r="R1047">
        <v>20.41</v>
      </c>
      <c r="S1047" t="s">
        <v>58</v>
      </c>
      <c r="T1047">
        <v>1900</v>
      </c>
      <c r="U1047">
        <v>3.4</v>
      </c>
      <c r="V1047" t="s">
        <v>79</v>
      </c>
    </row>
    <row r="1048" spans="1:22" x14ac:dyDescent="0.3">
      <c r="A1048" t="s">
        <v>1661</v>
      </c>
      <c r="B1048" t="s">
        <v>1662</v>
      </c>
      <c r="C1048" t="s">
        <v>1663</v>
      </c>
      <c r="D1048" s="2">
        <v>46174</v>
      </c>
      <c r="E1048" t="s">
        <v>282</v>
      </c>
      <c r="F1048" t="s">
        <v>282</v>
      </c>
      <c r="G1048" t="s">
        <v>118</v>
      </c>
      <c r="H1048" t="s">
        <v>68</v>
      </c>
      <c r="I1048" t="s">
        <v>29</v>
      </c>
      <c r="J1048" t="s">
        <v>30</v>
      </c>
      <c r="K1048">
        <v>9</v>
      </c>
      <c r="L1048">
        <v>48</v>
      </c>
      <c r="M1048">
        <v>47300</v>
      </c>
      <c r="N1048">
        <v>9500</v>
      </c>
      <c r="O1048">
        <v>37800</v>
      </c>
      <c r="P1048">
        <v>24600</v>
      </c>
      <c r="Q1048">
        <v>13200</v>
      </c>
      <c r="R1048">
        <v>34.92</v>
      </c>
      <c r="S1048" t="s">
        <v>97</v>
      </c>
      <c r="T1048">
        <v>2400</v>
      </c>
      <c r="U1048">
        <v>3.9</v>
      </c>
      <c r="V1048" t="s">
        <v>79</v>
      </c>
    </row>
    <row r="1049" spans="1:22" x14ac:dyDescent="0.3">
      <c r="A1049" t="s">
        <v>1571</v>
      </c>
      <c r="B1049" t="s">
        <v>1572</v>
      </c>
      <c r="C1049" t="s">
        <v>1573</v>
      </c>
      <c r="D1049" s="2">
        <v>46174</v>
      </c>
      <c r="E1049" t="s">
        <v>26</v>
      </c>
      <c r="F1049" t="s">
        <v>26</v>
      </c>
      <c r="G1049" t="s">
        <v>27</v>
      </c>
      <c r="H1049" t="s">
        <v>68</v>
      </c>
      <c r="I1049" t="s">
        <v>69</v>
      </c>
      <c r="J1049" t="s">
        <v>70</v>
      </c>
      <c r="K1049">
        <v>9</v>
      </c>
      <c r="L1049">
        <v>81</v>
      </c>
      <c r="M1049">
        <v>43800</v>
      </c>
      <c r="N1049">
        <v>0</v>
      </c>
      <c r="O1049">
        <v>43800</v>
      </c>
      <c r="P1049">
        <v>30700</v>
      </c>
      <c r="Q1049">
        <v>13100</v>
      </c>
      <c r="R1049">
        <v>29.91</v>
      </c>
      <c r="S1049" t="s">
        <v>39</v>
      </c>
      <c r="T1049">
        <v>6500</v>
      </c>
      <c r="U1049">
        <v>4.8</v>
      </c>
      <c r="V1049" t="s">
        <v>79</v>
      </c>
    </row>
    <row r="1050" spans="1:22" x14ac:dyDescent="0.3">
      <c r="A1050" t="s">
        <v>1556</v>
      </c>
      <c r="B1050" t="s">
        <v>669</v>
      </c>
      <c r="C1050" t="s">
        <v>670</v>
      </c>
      <c r="D1050" s="2">
        <v>46175</v>
      </c>
      <c r="E1050" t="s">
        <v>26</v>
      </c>
      <c r="F1050" t="s">
        <v>26</v>
      </c>
      <c r="G1050" t="s">
        <v>118</v>
      </c>
      <c r="H1050" t="s">
        <v>88</v>
      </c>
      <c r="I1050" t="s">
        <v>69</v>
      </c>
      <c r="J1050" t="s">
        <v>257</v>
      </c>
      <c r="K1050">
        <v>9</v>
      </c>
      <c r="L1050">
        <v>37</v>
      </c>
      <c r="M1050">
        <v>41500</v>
      </c>
      <c r="N1050">
        <v>0</v>
      </c>
      <c r="O1050">
        <v>41500</v>
      </c>
      <c r="P1050">
        <v>28700</v>
      </c>
      <c r="Q1050">
        <v>12800</v>
      </c>
      <c r="R1050">
        <v>30.84</v>
      </c>
      <c r="S1050" t="s">
        <v>39</v>
      </c>
      <c r="T1050">
        <v>4400</v>
      </c>
      <c r="U1050">
        <v>3.3</v>
      </c>
      <c r="V1050" t="s">
        <v>82</v>
      </c>
    </row>
    <row r="1051" spans="1:22" x14ac:dyDescent="0.3">
      <c r="A1051" t="s">
        <v>4809</v>
      </c>
      <c r="B1051" t="s">
        <v>4810</v>
      </c>
      <c r="C1051" t="s">
        <v>4811</v>
      </c>
      <c r="D1051" s="2">
        <v>46176</v>
      </c>
      <c r="E1051" t="s">
        <v>228</v>
      </c>
      <c r="F1051" t="s">
        <v>228</v>
      </c>
      <c r="G1051" t="s">
        <v>103</v>
      </c>
      <c r="H1051" t="s">
        <v>88</v>
      </c>
      <c r="I1051" t="s">
        <v>69</v>
      </c>
      <c r="J1051" t="s">
        <v>30</v>
      </c>
      <c r="K1051">
        <v>9</v>
      </c>
      <c r="L1051">
        <v>56</v>
      </c>
      <c r="M1051">
        <v>117400</v>
      </c>
      <c r="N1051">
        <v>11700</v>
      </c>
      <c r="O1051">
        <v>105700</v>
      </c>
      <c r="P1051">
        <v>76500</v>
      </c>
      <c r="Q1051">
        <v>29200</v>
      </c>
      <c r="R1051">
        <v>27.63</v>
      </c>
      <c r="S1051" t="s">
        <v>97</v>
      </c>
      <c r="T1051">
        <v>6700</v>
      </c>
      <c r="U1051">
        <v>4.2</v>
      </c>
      <c r="V1051" t="s">
        <v>82</v>
      </c>
    </row>
    <row r="1052" spans="1:22" x14ac:dyDescent="0.3">
      <c r="A1052" t="s">
        <v>5316</v>
      </c>
      <c r="B1052" t="s">
        <v>1546</v>
      </c>
      <c r="C1052" t="s">
        <v>1547</v>
      </c>
      <c r="D1052" s="2">
        <v>46177</v>
      </c>
      <c r="E1052" t="s">
        <v>228</v>
      </c>
      <c r="F1052" t="s">
        <v>228</v>
      </c>
      <c r="G1052" t="s">
        <v>103</v>
      </c>
      <c r="H1052" t="s">
        <v>229</v>
      </c>
      <c r="I1052" t="s">
        <v>29</v>
      </c>
      <c r="J1052" t="s">
        <v>30</v>
      </c>
      <c r="K1052">
        <v>9</v>
      </c>
      <c r="L1052">
        <v>50</v>
      </c>
      <c r="M1052">
        <v>38500</v>
      </c>
      <c r="N1052">
        <v>0</v>
      </c>
      <c r="O1052">
        <v>38500</v>
      </c>
      <c r="P1052">
        <v>27500</v>
      </c>
      <c r="Q1052">
        <v>11000</v>
      </c>
      <c r="R1052">
        <v>28.57</v>
      </c>
      <c r="S1052" t="s">
        <v>97</v>
      </c>
      <c r="T1052">
        <v>2100</v>
      </c>
      <c r="U1052">
        <v>4.7</v>
      </c>
      <c r="V1052" t="s">
        <v>58</v>
      </c>
    </row>
    <row r="1053" spans="1:22" x14ac:dyDescent="0.3">
      <c r="A1053" t="s">
        <v>5201</v>
      </c>
      <c r="B1053" t="s">
        <v>1960</v>
      </c>
      <c r="C1053" t="s">
        <v>1961</v>
      </c>
      <c r="D1053" s="2">
        <v>46177</v>
      </c>
      <c r="E1053" t="s">
        <v>26</v>
      </c>
      <c r="F1053" t="s">
        <v>26</v>
      </c>
      <c r="G1053" t="s">
        <v>580</v>
      </c>
      <c r="H1053" t="s">
        <v>88</v>
      </c>
      <c r="I1053" t="s">
        <v>69</v>
      </c>
      <c r="J1053" t="s">
        <v>30</v>
      </c>
      <c r="K1053">
        <v>7</v>
      </c>
      <c r="L1053">
        <v>33</v>
      </c>
      <c r="M1053">
        <v>65500</v>
      </c>
      <c r="N1053">
        <v>3300</v>
      </c>
      <c r="O1053">
        <v>62200</v>
      </c>
      <c r="P1053">
        <v>43400</v>
      </c>
      <c r="Q1053">
        <v>18800</v>
      </c>
      <c r="R1053">
        <v>30.23</v>
      </c>
      <c r="S1053" t="s">
        <v>39</v>
      </c>
      <c r="T1053">
        <v>10100</v>
      </c>
      <c r="U1053">
        <v>4.5999999999999996</v>
      </c>
      <c r="V1053" t="s">
        <v>79</v>
      </c>
    </row>
    <row r="1054" spans="1:22" x14ac:dyDescent="0.3">
      <c r="A1054" t="s">
        <v>4850</v>
      </c>
      <c r="B1054" t="s">
        <v>595</v>
      </c>
      <c r="C1054" t="s">
        <v>596</v>
      </c>
      <c r="D1054" s="2">
        <v>46178</v>
      </c>
      <c r="E1054" t="s">
        <v>282</v>
      </c>
      <c r="F1054" t="s">
        <v>282</v>
      </c>
      <c r="G1054" t="s">
        <v>103</v>
      </c>
      <c r="H1054" t="s">
        <v>268</v>
      </c>
      <c r="I1054" t="s">
        <v>29</v>
      </c>
      <c r="J1054" t="s">
        <v>162</v>
      </c>
      <c r="K1054">
        <v>6</v>
      </c>
      <c r="L1054">
        <v>57</v>
      </c>
      <c r="M1054">
        <v>24500</v>
      </c>
      <c r="N1054">
        <v>1200</v>
      </c>
      <c r="O1054">
        <v>23300</v>
      </c>
      <c r="P1054">
        <v>18000</v>
      </c>
      <c r="Q1054">
        <v>5300</v>
      </c>
      <c r="R1054">
        <v>22.75</v>
      </c>
      <c r="S1054" t="s">
        <v>58</v>
      </c>
      <c r="T1054">
        <v>2500</v>
      </c>
      <c r="U1054">
        <v>2.9</v>
      </c>
      <c r="V1054" t="s">
        <v>82</v>
      </c>
    </row>
    <row r="1055" spans="1:22" x14ac:dyDescent="0.3">
      <c r="A1055" t="s">
        <v>3921</v>
      </c>
      <c r="B1055" t="s">
        <v>3922</v>
      </c>
      <c r="C1055" t="s">
        <v>3923</v>
      </c>
      <c r="D1055" s="2">
        <v>46178</v>
      </c>
      <c r="E1055" t="s">
        <v>134</v>
      </c>
      <c r="F1055" t="s">
        <v>134</v>
      </c>
      <c r="G1055" t="s">
        <v>67</v>
      </c>
      <c r="H1055" t="s">
        <v>88</v>
      </c>
      <c r="I1055" t="s">
        <v>69</v>
      </c>
      <c r="J1055" t="s">
        <v>30</v>
      </c>
      <c r="K1055">
        <v>10</v>
      </c>
      <c r="L1055">
        <v>27</v>
      </c>
      <c r="M1055">
        <v>24000</v>
      </c>
      <c r="N1055">
        <v>0</v>
      </c>
      <c r="O1055">
        <v>24000</v>
      </c>
      <c r="P1055">
        <v>16000</v>
      </c>
      <c r="Q1055">
        <v>8000</v>
      </c>
      <c r="R1055">
        <v>33.33</v>
      </c>
      <c r="S1055" t="s">
        <v>126</v>
      </c>
      <c r="T1055">
        <v>1400</v>
      </c>
      <c r="U1055">
        <v>3.5</v>
      </c>
      <c r="V1055" t="s">
        <v>79</v>
      </c>
    </row>
    <row r="1056" spans="1:22" x14ac:dyDescent="0.3">
      <c r="A1056" t="s">
        <v>3063</v>
      </c>
      <c r="B1056" t="s">
        <v>679</v>
      </c>
      <c r="C1056" t="s">
        <v>680</v>
      </c>
      <c r="D1056" s="2">
        <v>46178</v>
      </c>
      <c r="E1056" t="s">
        <v>134</v>
      </c>
      <c r="F1056" t="s">
        <v>134</v>
      </c>
      <c r="G1056" t="s">
        <v>27</v>
      </c>
      <c r="H1056" t="s">
        <v>68</v>
      </c>
      <c r="I1056" t="s">
        <v>69</v>
      </c>
      <c r="J1056" t="s">
        <v>162</v>
      </c>
      <c r="K1056">
        <v>3</v>
      </c>
      <c r="L1056">
        <v>62</v>
      </c>
      <c r="M1056">
        <v>46700</v>
      </c>
      <c r="N1056">
        <v>9300</v>
      </c>
      <c r="O1056">
        <v>37400</v>
      </c>
      <c r="P1056">
        <v>35900</v>
      </c>
      <c r="Q1056">
        <v>1500</v>
      </c>
      <c r="R1056">
        <v>4.01</v>
      </c>
      <c r="S1056" t="s">
        <v>79</v>
      </c>
      <c r="T1056">
        <v>2700</v>
      </c>
      <c r="U1056">
        <v>5</v>
      </c>
      <c r="V1056" t="s">
        <v>58</v>
      </c>
    </row>
    <row r="1057" spans="1:22" x14ac:dyDescent="0.3">
      <c r="A1057" t="s">
        <v>4355</v>
      </c>
      <c r="B1057" t="s">
        <v>323</v>
      </c>
      <c r="C1057" t="s">
        <v>324</v>
      </c>
      <c r="D1057" s="2">
        <v>46180</v>
      </c>
      <c r="E1057" t="s">
        <v>282</v>
      </c>
      <c r="F1057" t="s">
        <v>282</v>
      </c>
      <c r="G1057" t="s">
        <v>27</v>
      </c>
      <c r="H1057" t="s">
        <v>268</v>
      </c>
      <c r="I1057" t="s">
        <v>29</v>
      </c>
      <c r="J1057" t="s">
        <v>70</v>
      </c>
      <c r="K1057">
        <v>8</v>
      </c>
      <c r="L1057">
        <v>30</v>
      </c>
      <c r="M1057">
        <v>73100</v>
      </c>
      <c r="N1057">
        <v>11000</v>
      </c>
      <c r="O1057">
        <v>62100</v>
      </c>
      <c r="P1057">
        <v>57800</v>
      </c>
      <c r="Q1057">
        <v>4300</v>
      </c>
      <c r="R1057">
        <v>6.92</v>
      </c>
      <c r="S1057" t="s">
        <v>126</v>
      </c>
      <c r="T1057">
        <v>4400</v>
      </c>
      <c r="U1057">
        <v>4.2</v>
      </c>
      <c r="V1057" t="s">
        <v>82</v>
      </c>
    </row>
    <row r="1058" spans="1:22" x14ac:dyDescent="0.3">
      <c r="A1058" t="s">
        <v>1700</v>
      </c>
      <c r="B1058" t="s">
        <v>1701</v>
      </c>
      <c r="C1058" t="s">
        <v>1702</v>
      </c>
      <c r="D1058" s="2">
        <v>46180</v>
      </c>
      <c r="E1058" t="s">
        <v>282</v>
      </c>
      <c r="F1058" t="s">
        <v>282</v>
      </c>
      <c r="G1058" t="s">
        <v>213</v>
      </c>
      <c r="H1058" t="s">
        <v>28</v>
      </c>
      <c r="I1058" t="s">
        <v>29</v>
      </c>
      <c r="J1058" t="s">
        <v>70</v>
      </c>
      <c r="K1058">
        <v>9</v>
      </c>
      <c r="L1058">
        <v>59</v>
      </c>
      <c r="M1058">
        <v>63000</v>
      </c>
      <c r="N1058">
        <v>9400</v>
      </c>
      <c r="O1058">
        <v>53600</v>
      </c>
      <c r="P1058">
        <v>36400</v>
      </c>
      <c r="Q1058">
        <v>17200</v>
      </c>
      <c r="R1058">
        <v>32.090000000000003</v>
      </c>
      <c r="S1058" t="s">
        <v>58</v>
      </c>
      <c r="T1058">
        <v>6500</v>
      </c>
      <c r="U1058">
        <v>3.4</v>
      </c>
      <c r="V1058" t="s">
        <v>58</v>
      </c>
    </row>
    <row r="1059" spans="1:22" x14ac:dyDescent="0.3">
      <c r="A1059" t="s">
        <v>4412</v>
      </c>
      <c r="B1059" t="s">
        <v>818</v>
      </c>
      <c r="C1059" t="s">
        <v>819</v>
      </c>
      <c r="D1059" s="2">
        <v>46181</v>
      </c>
      <c r="E1059" t="s">
        <v>66</v>
      </c>
      <c r="F1059" t="s">
        <v>66</v>
      </c>
      <c r="G1059" t="s">
        <v>147</v>
      </c>
      <c r="H1059" t="s">
        <v>49</v>
      </c>
      <c r="I1059" t="s">
        <v>29</v>
      </c>
      <c r="J1059" t="s">
        <v>30</v>
      </c>
      <c r="K1059">
        <v>8</v>
      </c>
      <c r="L1059">
        <v>44</v>
      </c>
      <c r="M1059">
        <v>128900</v>
      </c>
      <c r="N1059">
        <v>25800</v>
      </c>
      <c r="O1059">
        <v>103100</v>
      </c>
      <c r="P1059">
        <v>81100</v>
      </c>
      <c r="Q1059">
        <v>22000</v>
      </c>
      <c r="R1059">
        <v>21.34</v>
      </c>
      <c r="S1059" t="s">
        <v>58</v>
      </c>
      <c r="T1059">
        <v>12100</v>
      </c>
      <c r="U1059">
        <v>4.9000000000000004</v>
      </c>
      <c r="V1059" t="s">
        <v>79</v>
      </c>
    </row>
    <row r="1060" spans="1:22" x14ac:dyDescent="0.3">
      <c r="A1060" t="s">
        <v>4820</v>
      </c>
      <c r="B1060" t="s">
        <v>4821</v>
      </c>
      <c r="C1060" t="s">
        <v>4822</v>
      </c>
      <c r="D1060" s="2">
        <v>46181</v>
      </c>
      <c r="E1060" t="s">
        <v>282</v>
      </c>
      <c r="F1060" t="s">
        <v>282</v>
      </c>
      <c r="G1060" t="s">
        <v>118</v>
      </c>
      <c r="H1060" t="s">
        <v>28</v>
      </c>
      <c r="I1060" t="s">
        <v>29</v>
      </c>
      <c r="J1060" t="s">
        <v>30</v>
      </c>
      <c r="K1060">
        <v>3</v>
      </c>
      <c r="L1060">
        <v>33</v>
      </c>
      <c r="M1060">
        <v>45600</v>
      </c>
      <c r="N1060">
        <v>9100</v>
      </c>
      <c r="O1060">
        <v>36500</v>
      </c>
      <c r="P1060">
        <v>29500</v>
      </c>
      <c r="Q1060">
        <v>7000</v>
      </c>
      <c r="R1060">
        <v>19.18</v>
      </c>
      <c r="S1060" t="s">
        <v>39</v>
      </c>
      <c r="T1060">
        <v>2800</v>
      </c>
      <c r="U1060">
        <v>4.7</v>
      </c>
      <c r="V1060" t="s">
        <v>79</v>
      </c>
    </row>
    <row r="1061" spans="1:22" x14ac:dyDescent="0.3">
      <c r="A1061" t="s">
        <v>1992</v>
      </c>
      <c r="B1061" t="s">
        <v>1993</v>
      </c>
      <c r="C1061" t="s">
        <v>1994</v>
      </c>
      <c r="D1061" s="2">
        <v>46181</v>
      </c>
      <c r="E1061" t="s">
        <v>282</v>
      </c>
      <c r="F1061" t="s">
        <v>282</v>
      </c>
      <c r="G1061" t="s">
        <v>118</v>
      </c>
      <c r="H1061" t="s">
        <v>88</v>
      </c>
      <c r="I1061" t="s">
        <v>69</v>
      </c>
      <c r="J1061" t="s">
        <v>30</v>
      </c>
      <c r="K1061">
        <v>3</v>
      </c>
      <c r="L1061">
        <v>36</v>
      </c>
      <c r="M1061">
        <v>42300</v>
      </c>
      <c r="N1061">
        <v>2100</v>
      </c>
      <c r="O1061">
        <v>40200</v>
      </c>
      <c r="P1061">
        <v>30000</v>
      </c>
      <c r="Q1061">
        <v>10200</v>
      </c>
      <c r="R1061">
        <v>25.37</v>
      </c>
      <c r="S1061" t="s">
        <v>97</v>
      </c>
      <c r="T1061">
        <v>7000</v>
      </c>
      <c r="U1061">
        <v>3.3</v>
      </c>
      <c r="V1061" t="s">
        <v>79</v>
      </c>
    </row>
    <row r="1062" spans="1:22" x14ac:dyDescent="0.3">
      <c r="A1062" t="s">
        <v>3608</v>
      </c>
      <c r="B1062" t="s">
        <v>660</v>
      </c>
      <c r="C1062" t="s">
        <v>661</v>
      </c>
      <c r="D1062" s="2">
        <v>46181</v>
      </c>
      <c r="E1062" t="s">
        <v>161</v>
      </c>
      <c r="F1062" t="s">
        <v>161</v>
      </c>
      <c r="G1062" t="s">
        <v>27</v>
      </c>
      <c r="H1062" t="s">
        <v>5470</v>
      </c>
      <c r="I1062" t="s">
        <v>69</v>
      </c>
      <c r="J1062" t="s">
        <v>30</v>
      </c>
      <c r="K1062">
        <v>6</v>
      </c>
      <c r="L1062">
        <v>21</v>
      </c>
      <c r="M1062">
        <v>46200</v>
      </c>
      <c r="N1062">
        <v>2300</v>
      </c>
      <c r="O1062">
        <v>43900</v>
      </c>
      <c r="P1062">
        <v>31100</v>
      </c>
      <c r="Q1062">
        <v>12800</v>
      </c>
      <c r="R1062">
        <v>29.16</v>
      </c>
      <c r="S1062" t="s">
        <v>126</v>
      </c>
      <c r="T1062">
        <v>5600</v>
      </c>
      <c r="U1062">
        <v>4.2</v>
      </c>
      <c r="V1062" t="s">
        <v>79</v>
      </c>
    </row>
    <row r="1063" spans="1:22" x14ac:dyDescent="0.3">
      <c r="A1063" t="s">
        <v>1216</v>
      </c>
      <c r="B1063" t="s">
        <v>606</v>
      </c>
      <c r="C1063" t="s">
        <v>607</v>
      </c>
      <c r="D1063" s="2">
        <v>46182</v>
      </c>
      <c r="E1063" t="s">
        <v>134</v>
      </c>
      <c r="F1063" t="s">
        <v>134</v>
      </c>
      <c r="G1063" t="s">
        <v>67</v>
      </c>
      <c r="H1063" t="s">
        <v>214</v>
      </c>
      <c r="I1063" t="s">
        <v>69</v>
      </c>
      <c r="J1063" t="s">
        <v>30</v>
      </c>
      <c r="K1063">
        <v>3</v>
      </c>
      <c r="L1063">
        <v>37</v>
      </c>
      <c r="M1063">
        <v>32900</v>
      </c>
      <c r="N1063">
        <v>0</v>
      </c>
      <c r="O1063">
        <v>32900</v>
      </c>
      <c r="P1063">
        <v>21300</v>
      </c>
      <c r="Q1063">
        <v>11600</v>
      </c>
      <c r="R1063">
        <v>35.26</v>
      </c>
      <c r="S1063" t="s">
        <v>182</v>
      </c>
      <c r="T1063">
        <v>2700</v>
      </c>
      <c r="U1063">
        <v>4.3</v>
      </c>
      <c r="V1063" t="s">
        <v>82</v>
      </c>
    </row>
    <row r="1064" spans="1:22" x14ac:dyDescent="0.3">
      <c r="A1064" t="s">
        <v>4496</v>
      </c>
      <c r="B1064" t="s">
        <v>2089</v>
      </c>
      <c r="C1064" t="s">
        <v>2090</v>
      </c>
      <c r="D1064" s="2">
        <v>46182</v>
      </c>
      <c r="E1064" t="s">
        <v>282</v>
      </c>
      <c r="F1064" t="s">
        <v>282</v>
      </c>
      <c r="G1064" t="s">
        <v>48</v>
      </c>
      <c r="H1064" t="s">
        <v>214</v>
      </c>
      <c r="I1064" t="s">
        <v>69</v>
      </c>
      <c r="J1064" t="s">
        <v>30</v>
      </c>
      <c r="K1064">
        <v>7</v>
      </c>
      <c r="L1064">
        <v>16</v>
      </c>
      <c r="M1064">
        <v>40100</v>
      </c>
      <c r="N1064">
        <v>8000</v>
      </c>
      <c r="O1064">
        <v>32100</v>
      </c>
      <c r="P1064">
        <v>19700</v>
      </c>
      <c r="Q1064">
        <v>12400</v>
      </c>
      <c r="R1064">
        <v>38.630000000000003</v>
      </c>
      <c r="S1064" t="s">
        <v>126</v>
      </c>
      <c r="T1064">
        <v>4700</v>
      </c>
      <c r="U1064">
        <v>2.9</v>
      </c>
      <c r="V1064" t="s">
        <v>42</v>
      </c>
    </row>
    <row r="1065" spans="1:22" x14ac:dyDescent="0.3">
      <c r="A1065" t="s">
        <v>2774</v>
      </c>
      <c r="B1065" t="s">
        <v>2775</v>
      </c>
      <c r="C1065" t="s">
        <v>2776</v>
      </c>
      <c r="D1065" s="2">
        <v>46183</v>
      </c>
      <c r="E1065" t="s">
        <v>188</v>
      </c>
      <c r="F1065" t="s">
        <v>188</v>
      </c>
      <c r="G1065" t="s">
        <v>580</v>
      </c>
      <c r="H1065" t="s">
        <v>28</v>
      </c>
      <c r="I1065" t="s">
        <v>29</v>
      </c>
      <c r="J1065" t="s">
        <v>162</v>
      </c>
      <c r="K1065">
        <v>6</v>
      </c>
      <c r="L1065">
        <v>46</v>
      </c>
      <c r="M1065">
        <v>21100</v>
      </c>
      <c r="N1065">
        <v>4200</v>
      </c>
      <c r="O1065">
        <v>16900</v>
      </c>
      <c r="P1065">
        <v>13900</v>
      </c>
      <c r="Q1065">
        <v>3000</v>
      </c>
      <c r="R1065">
        <v>17.75</v>
      </c>
      <c r="S1065" t="s">
        <v>182</v>
      </c>
      <c r="T1065">
        <v>2900</v>
      </c>
      <c r="U1065">
        <v>4.4000000000000004</v>
      </c>
      <c r="V1065" t="s">
        <v>79</v>
      </c>
    </row>
    <row r="1066" spans="1:22" x14ac:dyDescent="0.3">
      <c r="A1066" t="s">
        <v>5444</v>
      </c>
      <c r="B1066" t="s">
        <v>548</v>
      </c>
      <c r="C1066" t="s">
        <v>549</v>
      </c>
      <c r="D1066" s="2">
        <v>46183</v>
      </c>
      <c r="E1066" t="s">
        <v>66</v>
      </c>
      <c r="F1066" t="s">
        <v>66</v>
      </c>
      <c r="G1066" t="s">
        <v>580</v>
      </c>
      <c r="H1066" t="s">
        <v>229</v>
      </c>
      <c r="I1066" t="s">
        <v>29</v>
      </c>
      <c r="J1066" t="s">
        <v>257</v>
      </c>
      <c r="K1066">
        <v>6</v>
      </c>
      <c r="L1066">
        <v>37</v>
      </c>
      <c r="M1066">
        <v>93900</v>
      </c>
      <c r="N1066">
        <v>0</v>
      </c>
      <c r="O1066">
        <v>93900</v>
      </c>
      <c r="P1066">
        <v>47200</v>
      </c>
      <c r="Q1066">
        <v>46700</v>
      </c>
      <c r="R1066">
        <v>49.73</v>
      </c>
      <c r="S1066" t="s">
        <v>79</v>
      </c>
      <c r="T1066">
        <v>15100</v>
      </c>
      <c r="U1066">
        <v>2.5</v>
      </c>
      <c r="V1066" t="s">
        <v>42</v>
      </c>
    </row>
    <row r="1067" spans="1:22" x14ac:dyDescent="0.3">
      <c r="A1067" t="s">
        <v>4994</v>
      </c>
      <c r="B1067" t="s">
        <v>1701</v>
      </c>
      <c r="C1067" t="s">
        <v>1702</v>
      </c>
      <c r="D1067" s="2">
        <v>46183</v>
      </c>
      <c r="E1067" t="s">
        <v>66</v>
      </c>
      <c r="F1067" t="s">
        <v>66</v>
      </c>
      <c r="G1067" t="s">
        <v>67</v>
      </c>
      <c r="H1067" t="s">
        <v>88</v>
      </c>
      <c r="I1067" t="s">
        <v>29</v>
      </c>
      <c r="J1067" t="s">
        <v>30</v>
      </c>
      <c r="K1067">
        <v>5</v>
      </c>
      <c r="L1067">
        <v>48</v>
      </c>
      <c r="M1067">
        <v>179400</v>
      </c>
      <c r="N1067">
        <v>9000</v>
      </c>
      <c r="O1067">
        <v>170400</v>
      </c>
      <c r="P1067">
        <v>128600</v>
      </c>
      <c r="Q1067">
        <v>41800</v>
      </c>
      <c r="R1067">
        <v>24.53</v>
      </c>
      <c r="S1067" t="s">
        <v>39</v>
      </c>
      <c r="T1067">
        <v>7600</v>
      </c>
      <c r="U1067">
        <v>4.3</v>
      </c>
      <c r="V1067" t="s">
        <v>58</v>
      </c>
    </row>
    <row r="1068" spans="1:22" x14ac:dyDescent="0.3">
      <c r="A1068" t="s">
        <v>5058</v>
      </c>
      <c r="B1068" t="s">
        <v>746</v>
      </c>
      <c r="C1068" t="s">
        <v>747</v>
      </c>
      <c r="D1068" s="2">
        <v>46184</v>
      </c>
      <c r="E1068" t="s">
        <v>66</v>
      </c>
      <c r="F1068" t="s">
        <v>66</v>
      </c>
      <c r="G1068" t="s">
        <v>147</v>
      </c>
      <c r="H1068" t="s">
        <v>229</v>
      </c>
      <c r="I1068" t="s">
        <v>69</v>
      </c>
      <c r="J1068" t="s">
        <v>162</v>
      </c>
      <c r="K1068">
        <v>10</v>
      </c>
      <c r="L1068">
        <v>44</v>
      </c>
      <c r="M1068">
        <v>30400</v>
      </c>
      <c r="N1068">
        <v>0</v>
      </c>
      <c r="O1068">
        <v>30400</v>
      </c>
      <c r="P1068">
        <v>18100</v>
      </c>
      <c r="Q1068">
        <v>12300</v>
      </c>
      <c r="R1068">
        <v>40.46</v>
      </c>
      <c r="S1068" t="s">
        <v>182</v>
      </c>
      <c r="T1068">
        <v>5100</v>
      </c>
      <c r="U1068">
        <v>3.6</v>
      </c>
      <c r="V1068" t="s">
        <v>79</v>
      </c>
    </row>
    <row r="1069" spans="1:22" x14ac:dyDescent="0.3">
      <c r="A1069" t="s">
        <v>4331</v>
      </c>
      <c r="B1069" t="s">
        <v>264</v>
      </c>
      <c r="C1069" t="s">
        <v>265</v>
      </c>
      <c r="D1069" s="2">
        <v>46184</v>
      </c>
      <c r="E1069" t="s">
        <v>26</v>
      </c>
      <c r="F1069" t="s">
        <v>26</v>
      </c>
      <c r="G1069" t="s">
        <v>147</v>
      </c>
      <c r="H1069" t="s">
        <v>68</v>
      </c>
      <c r="I1069" t="s">
        <v>69</v>
      </c>
      <c r="J1069" t="s">
        <v>30</v>
      </c>
      <c r="K1069">
        <v>4</v>
      </c>
      <c r="L1069">
        <v>50</v>
      </c>
      <c r="M1069">
        <v>53800</v>
      </c>
      <c r="N1069">
        <v>2700</v>
      </c>
      <c r="O1069">
        <v>51100</v>
      </c>
      <c r="P1069">
        <v>43000</v>
      </c>
      <c r="Q1069">
        <v>8100</v>
      </c>
      <c r="R1069">
        <v>15.85</v>
      </c>
      <c r="S1069" t="s">
        <v>97</v>
      </c>
      <c r="T1069">
        <v>7800</v>
      </c>
      <c r="U1069">
        <v>4.0999999999999996</v>
      </c>
      <c r="V1069" t="s">
        <v>82</v>
      </c>
    </row>
    <row r="1070" spans="1:22" x14ac:dyDescent="0.3">
      <c r="A1070" t="s">
        <v>3634</v>
      </c>
      <c r="B1070" t="s">
        <v>2938</v>
      </c>
      <c r="C1070" t="s">
        <v>2939</v>
      </c>
      <c r="D1070" s="2">
        <v>46185</v>
      </c>
      <c r="E1070" t="s">
        <v>161</v>
      </c>
      <c r="F1070" t="s">
        <v>161</v>
      </c>
      <c r="G1070" t="s">
        <v>580</v>
      </c>
      <c r="H1070" t="s">
        <v>5471</v>
      </c>
      <c r="I1070" t="s">
        <v>69</v>
      </c>
      <c r="J1070" t="s">
        <v>30</v>
      </c>
      <c r="K1070">
        <v>8</v>
      </c>
      <c r="L1070">
        <v>60</v>
      </c>
      <c r="M1070">
        <v>34700</v>
      </c>
      <c r="N1070">
        <v>5200</v>
      </c>
      <c r="O1070">
        <v>29500</v>
      </c>
      <c r="P1070">
        <v>19300</v>
      </c>
      <c r="Q1070">
        <v>10200</v>
      </c>
      <c r="R1070">
        <v>34.58</v>
      </c>
      <c r="S1070" t="s">
        <v>126</v>
      </c>
      <c r="T1070">
        <v>4000</v>
      </c>
      <c r="U1070">
        <v>4.2</v>
      </c>
      <c r="V1070" t="s">
        <v>79</v>
      </c>
    </row>
    <row r="1071" spans="1:22" x14ac:dyDescent="0.3">
      <c r="A1071" t="s">
        <v>2139</v>
      </c>
      <c r="B1071" t="s">
        <v>2140</v>
      </c>
      <c r="C1071" t="s">
        <v>2141</v>
      </c>
      <c r="D1071" s="2">
        <v>46186</v>
      </c>
      <c r="E1071" t="s">
        <v>228</v>
      </c>
      <c r="F1071" t="s">
        <v>228</v>
      </c>
      <c r="G1071" t="s">
        <v>580</v>
      </c>
      <c r="H1071" t="s">
        <v>268</v>
      </c>
      <c r="I1071" t="s">
        <v>29</v>
      </c>
      <c r="J1071" t="s">
        <v>257</v>
      </c>
      <c r="K1071">
        <v>2</v>
      </c>
      <c r="L1071">
        <v>25</v>
      </c>
      <c r="M1071">
        <v>33500</v>
      </c>
      <c r="N1071">
        <v>6700</v>
      </c>
      <c r="O1071">
        <v>26800</v>
      </c>
      <c r="P1071">
        <v>18500</v>
      </c>
      <c r="Q1071">
        <v>8300</v>
      </c>
      <c r="R1071">
        <v>30.97</v>
      </c>
      <c r="S1071" t="s">
        <v>126</v>
      </c>
      <c r="T1071">
        <v>3900</v>
      </c>
      <c r="U1071">
        <v>3.5</v>
      </c>
      <c r="V1071" t="s">
        <v>82</v>
      </c>
    </row>
    <row r="1072" spans="1:22" x14ac:dyDescent="0.3">
      <c r="A1072" t="s">
        <v>4483</v>
      </c>
      <c r="B1072" t="s">
        <v>4184</v>
      </c>
      <c r="C1072" t="s">
        <v>4185</v>
      </c>
      <c r="D1072" s="2">
        <v>46186</v>
      </c>
      <c r="E1072" t="s">
        <v>228</v>
      </c>
      <c r="F1072" t="s">
        <v>228</v>
      </c>
      <c r="G1072" t="s">
        <v>580</v>
      </c>
      <c r="H1072" t="s">
        <v>68</v>
      </c>
      <c r="I1072" t="s">
        <v>69</v>
      </c>
      <c r="J1072" t="s">
        <v>162</v>
      </c>
      <c r="K1072">
        <v>10</v>
      </c>
      <c r="L1072">
        <v>25</v>
      </c>
      <c r="M1072">
        <v>64000</v>
      </c>
      <c r="N1072">
        <v>0</v>
      </c>
      <c r="O1072">
        <v>64000</v>
      </c>
      <c r="P1072">
        <v>42000</v>
      </c>
      <c r="Q1072">
        <v>22000</v>
      </c>
      <c r="R1072">
        <v>34.380000000000003</v>
      </c>
      <c r="S1072" t="s">
        <v>126</v>
      </c>
      <c r="T1072">
        <v>3600</v>
      </c>
      <c r="U1072">
        <v>3</v>
      </c>
      <c r="V1072" t="s">
        <v>82</v>
      </c>
    </row>
    <row r="1073" spans="1:22" x14ac:dyDescent="0.3">
      <c r="A1073" t="s">
        <v>5155</v>
      </c>
      <c r="B1073" t="s">
        <v>1904</v>
      </c>
      <c r="C1073" t="s">
        <v>1905</v>
      </c>
      <c r="D1073" s="2">
        <v>46186</v>
      </c>
      <c r="E1073" t="s">
        <v>228</v>
      </c>
      <c r="F1073" t="s">
        <v>228</v>
      </c>
      <c r="G1073" t="s">
        <v>67</v>
      </c>
      <c r="H1073" t="s">
        <v>49</v>
      </c>
      <c r="I1073" t="s">
        <v>29</v>
      </c>
      <c r="J1073" t="s">
        <v>70</v>
      </c>
      <c r="K1073">
        <v>9</v>
      </c>
      <c r="L1073">
        <v>42</v>
      </c>
      <c r="M1073">
        <v>28000</v>
      </c>
      <c r="N1073">
        <v>5600</v>
      </c>
      <c r="O1073">
        <v>22400</v>
      </c>
      <c r="P1073">
        <v>14000</v>
      </c>
      <c r="Q1073">
        <v>8400</v>
      </c>
      <c r="R1073">
        <v>37.5</v>
      </c>
      <c r="S1073" t="s">
        <v>126</v>
      </c>
      <c r="T1073">
        <v>3300</v>
      </c>
      <c r="U1073">
        <v>3.8</v>
      </c>
      <c r="V1073" t="s">
        <v>79</v>
      </c>
    </row>
    <row r="1074" spans="1:22" x14ac:dyDescent="0.3">
      <c r="A1074" t="s">
        <v>3846</v>
      </c>
      <c r="B1074" t="s">
        <v>586</v>
      </c>
      <c r="C1074" t="s">
        <v>587</v>
      </c>
      <c r="D1074" s="2">
        <v>46187</v>
      </c>
      <c r="E1074" t="s">
        <v>244</v>
      </c>
      <c r="F1074" t="s">
        <v>244</v>
      </c>
      <c r="G1074" t="s">
        <v>48</v>
      </c>
      <c r="H1074" t="s">
        <v>68</v>
      </c>
      <c r="I1074" t="s">
        <v>69</v>
      </c>
      <c r="J1074" t="s">
        <v>30</v>
      </c>
      <c r="K1074">
        <v>3</v>
      </c>
      <c r="L1074">
        <v>66</v>
      </c>
      <c r="M1074">
        <v>45700</v>
      </c>
      <c r="N1074">
        <v>2300</v>
      </c>
      <c r="O1074">
        <v>43400</v>
      </c>
      <c r="P1074">
        <v>32300</v>
      </c>
      <c r="Q1074">
        <v>11100</v>
      </c>
      <c r="R1074">
        <v>25.58</v>
      </c>
      <c r="S1074" t="s">
        <v>58</v>
      </c>
      <c r="T1074">
        <v>4600</v>
      </c>
      <c r="U1074">
        <v>3.2</v>
      </c>
      <c r="V1074" t="s">
        <v>42</v>
      </c>
    </row>
    <row r="1075" spans="1:22" x14ac:dyDescent="0.3">
      <c r="A1075" t="s">
        <v>3276</v>
      </c>
      <c r="B1075" t="s">
        <v>706</v>
      </c>
      <c r="C1075" t="s">
        <v>707</v>
      </c>
      <c r="D1075" s="2">
        <v>46187</v>
      </c>
      <c r="E1075" t="s">
        <v>66</v>
      </c>
      <c r="F1075" t="s">
        <v>66</v>
      </c>
      <c r="G1075" t="s">
        <v>27</v>
      </c>
      <c r="H1075" t="s">
        <v>49</v>
      </c>
      <c r="I1075" t="s">
        <v>69</v>
      </c>
      <c r="J1075" t="s">
        <v>30</v>
      </c>
      <c r="K1075">
        <v>3</v>
      </c>
      <c r="L1075">
        <v>34</v>
      </c>
      <c r="M1075">
        <v>28500</v>
      </c>
      <c r="N1075">
        <v>0</v>
      </c>
      <c r="O1075">
        <v>28500</v>
      </c>
      <c r="P1075">
        <v>16600</v>
      </c>
      <c r="Q1075">
        <v>11900</v>
      </c>
      <c r="R1075">
        <v>41.75</v>
      </c>
      <c r="S1075" t="s">
        <v>58</v>
      </c>
      <c r="T1075">
        <v>1400</v>
      </c>
      <c r="U1075">
        <v>3.2</v>
      </c>
      <c r="V1075" t="s">
        <v>42</v>
      </c>
    </row>
    <row r="1076" spans="1:22" x14ac:dyDescent="0.3">
      <c r="A1076" t="s">
        <v>5354</v>
      </c>
      <c r="B1076" t="s">
        <v>3118</v>
      </c>
      <c r="C1076" t="s">
        <v>3119</v>
      </c>
      <c r="D1076" s="2">
        <v>46188</v>
      </c>
      <c r="E1076" t="s">
        <v>228</v>
      </c>
      <c r="F1076" t="s">
        <v>228</v>
      </c>
      <c r="G1076" t="s">
        <v>103</v>
      </c>
      <c r="H1076" t="s">
        <v>68</v>
      </c>
      <c r="I1076" t="s">
        <v>69</v>
      </c>
      <c r="J1076" t="s">
        <v>162</v>
      </c>
      <c r="K1076">
        <v>4</v>
      </c>
      <c r="L1076">
        <v>64</v>
      </c>
      <c r="M1076">
        <v>22100</v>
      </c>
      <c r="N1076">
        <v>0</v>
      </c>
      <c r="O1076">
        <v>22100</v>
      </c>
      <c r="P1076">
        <v>15700</v>
      </c>
      <c r="Q1076">
        <v>6400</v>
      </c>
      <c r="R1076">
        <v>28.96</v>
      </c>
      <c r="S1076" t="s">
        <v>182</v>
      </c>
      <c r="T1076">
        <v>2800</v>
      </c>
      <c r="U1076">
        <v>4.3</v>
      </c>
      <c r="V1076" t="s">
        <v>82</v>
      </c>
    </row>
    <row r="1077" spans="1:22" x14ac:dyDescent="0.3">
      <c r="A1077" t="s">
        <v>4851</v>
      </c>
      <c r="B1077" t="s">
        <v>2233</v>
      </c>
      <c r="C1077" t="s">
        <v>2234</v>
      </c>
      <c r="D1077" s="2">
        <v>46188</v>
      </c>
      <c r="E1077" t="s">
        <v>244</v>
      </c>
      <c r="F1077" t="s">
        <v>244</v>
      </c>
      <c r="G1077" t="s">
        <v>67</v>
      </c>
      <c r="H1077" t="s">
        <v>229</v>
      </c>
      <c r="I1077" t="s">
        <v>69</v>
      </c>
      <c r="J1077" t="s">
        <v>30</v>
      </c>
      <c r="K1077">
        <v>10</v>
      </c>
      <c r="L1077">
        <v>9</v>
      </c>
      <c r="M1077">
        <v>33500</v>
      </c>
      <c r="N1077">
        <v>0</v>
      </c>
      <c r="O1077">
        <v>33500</v>
      </c>
      <c r="P1077">
        <v>16700</v>
      </c>
      <c r="Q1077">
        <v>16800</v>
      </c>
      <c r="R1077">
        <v>50.15</v>
      </c>
      <c r="S1077" t="s">
        <v>58</v>
      </c>
      <c r="T1077">
        <v>2700</v>
      </c>
      <c r="U1077">
        <v>3.9</v>
      </c>
      <c r="V1077" t="s">
        <v>82</v>
      </c>
    </row>
    <row r="1078" spans="1:22" x14ac:dyDescent="0.3">
      <c r="A1078" t="s">
        <v>4048</v>
      </c>
      <c r="B1078" t="s">
        <v>995</v>
      </c>
      <c r="C1078" t="s">
        <v>996</v>
      </c>
      <c r="D1078" s="2">
        <v>46189</v>
      </c>
      <c r="E1078" t="s">
        <v>66</v>
      </c>
      <c r="F1078" t="s">
        <v>66</v>
      </c>
      <c r="G1078" t="s">
        <v>580</v>
      </c>
      <c r="H1078" t="s">
        <v>229</v>
      </c>
      <c r="I1078" t="s">
        <v>69</v>
      </c>
      <c r="J1078" t="s">
        <v>30</v>
      </c>
      <c r="K1078">
        <v>7</v>
      </c>
      <c r="L1078">
        <v>40</v>
      </c>
      <c r="M1078">
        <v>46500</v>
      </c>
      <c r="N1078">
        <v>4600</v>
      </c>
      <c r="O1078">
        <v>41900</v>
      </c>
      <c r="P1078">
        <v>26700</v>
      </c>
      <c r="Q1078">
        <v>15200</v>
      </c>
      <c r="R1078">
        <v>36.28</v>
      </c>
      <c r="S1078" t="s">
        <v>58</v>
      </c>
      <c r="T1078">
        <v>4500</v>
      </c>
      <c r="U1078">
        <v>3.5</v>
      </c>
      <c r="V1078" t="s">
        <v>79</v>
      </c>
    </row>
    <row r="1079" spans="1:22" x14ac:dyDescent="0.3">
      <c r="A1079" t="s">
        <v>4040</v>
      </c>
      <c r="B1079" t="s">
        <v>2552</v>
      </c>
      <c r="C1079" t="s">
        <v>2553</v>
      </c>
      <c r="D1079" s="2">
        <v>46189</v>
      </c>
      <c r="E1079" t="s">
        <v>188</v>
      </c>
      <c r="F1079" t="s">
        <v>188</v>
      </c>
      <c r="G1079" t="s">
        <v>580</v>
      </c>
      <c r="H1079" t="s">
        <v>214</v>
      </c>
      <c r="I1079" t="s">
        <v>69</v>
      </c>
      <c r="J1079" t="s">
        <v>30</v>
      </c>
      <c r="K1079">
        <v>9</v>
      </c>
      <c r="L1079">
        <v>47</v>
      </c>
      <c r="M1079">
        <v>93000</v>
      </c>
      <c r="N1079">
        <v>14000</v>
      </c>
      <c r="O1079">
        <v>79000</v>
      </c>
      <c r="P1079">
        <v>59000</v>
      </c>
      <c r="Q1079">
        <v>20000</v>
      </c>
      <c r="R1079">
        <v>25.32</v>
      </c>
      <c r="S1079" t="s">
        <v>58</v>
      </c>
      <c r="T1079">
        <v>5600</v>
      </c>
      <c r="U1079">
        <v>3.3</v>
      </c>
      <c r="V1079" t="s">
        <v>82</v>
      </c>
    </row>
    <row r="1080" spans="1:22" x14ac:dyDescent="0.3">
      <c r="A1080" t="s">
        <v>5275</v>
      </c>
      <c r="B1080" t="s">
        <v>1034</v>
      </c>
      <c r="C1080" t="s">
        <v>1035</v>
      </c>
      <c r="D1080" s="2">
        <v>46189</v>
      </c>
      <c r="E1080" t="s">
        <v>161</v>
      </c>
      <c r="F1080" t="s">
        <v>161</v>
      </c>
      <c r="G1080" t="s">
        <v>27</v>
      </c>
      <c r="H1080" t="s">
        <v>5470</v>
      </c>
      <c r="I1080" t="s">
        <v>69</v>
      </c>
      <c r="J1080" t="s">
        <v>30</v>
      </c>
      <c r="K1080">
        <v>8</v>
      </c>
      <c r="L1080">
        <v>53</v>
      </c>
      <c r="M1080">
        <v>42200</v>
      </c>
      <c r="N1080">
        <v>4200</v>
      </c>
      <c r="O1080">
        <v>38000</v>
      </c>
      <c r="P1080">
        <v>27900</v>
      </c>
      <c r="Q1080">
        <v>10100</v>
      </c>
      <c r="R1080">
        <v>26.58</v>
      </c>
      <c r="S1080" t="s">
        <v>39</v>
      </c>
      <c r="T1080">
        <v>2800</v>
      </c>
      <c r="U1080">
        <v>4.4000000000000004</v>
      </c>
      <c r="V1080" t="s">
        <v>114</v>
      </c>
    </row>
    <row r="1081" spans="1:22" x14ac:dyDescent="0.3">
      <c r="A1081" t="s">
        <v>883</v>
      </c>
      <c r="B1081" t="s">
        <v>688</v>
      </c>
      <c r="C1081" t="s">
        <v>689</v>
      </c>
      <c r="D1081" s="2">
        <v>46189</v>
      </c>
      <c r="E1081" t="s">
        <v>228</v>
      </c>
      <c r="F1081" t="s">
        <v>228</v>
      </c>
      <c r="G1081" t="s">
        <v>48</v>
      </c>
      <c r="H1081" t="s">
        <v>214</v>
      </c>
      <c r="I1081" t="s">
        <v>69</v>
      </c>
      <c r="J1081" t="s">
        <v>162</v>
      </c>
      <c r="K1081">
        <v>9</v>
      </c>
      <c r="L1081">
        <v>41</v>
      </c>
      <c r="M1081">
        <v>83600</v>
      </c>
      <c r="N1081">
        <v>16700</v>
      </c>
      <c r="O1081">
        <v>66900</v>
      </c>
      <c r="P1081">
        <v>53900</v>
      </c>
      <c r="Q1081">
        <v>13000</v>
      </c>
      <c r="R1081">
        <v>19.43</v>
      </c>
      <c r="S1081" t="s">
        <v>39</v>
      </c>
      <c r="T1081">
        <v>10100</v>
      </c>
      <c r="U1081">
        <v>3.7</v>
      </c>
      <c r="V1081" t="s">
        <v>79</v>
      </c>
    </row>
    <row r="1082" spans="1:22" x14ac:dyDescent="0.3">
      <c r="A1082" t="s">
        <v>4548</v>
      </c>
      <c r="B1082" t="s">
        <v>2533</v>
      </c>
      <c r="C1082" t="s">
        <v>2534</v>
      </c>
      <c r="D1082" s="2">
        <v>46189</v>
      </c>
      <c r="E1082" t="s">
        <v>188</v>
      </c>
      <c r="F1082" t="s">
        <v>188</v>
      </c>
      <c r="G1082" t="s">
        <v>103</v>
      </c>
      <c r="H1082" t="s">
        <v>28</v>
      </c>
      <c r="I1082" t="s">
        <v>69</v>
      </c>
      <c r="J1082" t="s">
        <v>30</v>
      </c>
      <c r="K1082">
        <v>7</v>
      </c>
      <c r="L1082">
        <v>83</v>
      </c>
      <c r="M1082">
        <v>24800</v>
      </c>
      <c r="N1082">
        <v>0</v>
      </c>
      <c r="O1082">
        <v>24800</v>
      </c>
      <c r="P1082">
        <v>17000</v>
      </c>
      <c r="Q1082">
        <v>7800</v>
      </c>
      <c r="R1082">
        <v>31.45</v>
      </c>
      <c r="S1082" t="s">
        <v>79</v>
      </c>
      <c r="T1082">
        <v>1900</v>
      </c>
      <c r="U1082">
        <v>3.9</v>
      </c>
      <c r="V1082" t="s">
        <v>58</v>
      </c>
    </row>
    <row r="1083" spans="1:22" x14ac:dyDescent="0.3">
      <c r="A1083" t="s">
        <v>3589</v>
      </c>
      <c r="B1083" t="s">
        <v>1386</v>
      </c>
      <c r="C1083" t="s">
        <v>1387</v>
      </c>
      <c r="D1083" s="2">
        <v>46190</v>
      </c>
      <c r="E1083" t="s">
        <v>282</v>
      </c>
      <c r="F1083" t="s">
        <v>282</v>
      </c>
      <c r="G1083" t="s">
        <v>67</v>
      </c>
      <c r="H1083" t="s">
        <v>88</v>
      </c>
      <c r="I1083" t="s">
        <v>29</v>
      </c>
      <c r="J1083" t="s">
        <v>30</v>
      </c>
      <c r="K1083">
        <v>4</v>
      </c>
      <c r="L1083">
        <v>48</v>
      </c>
      <c r="M1083">
        <v>41000</v>
      </c>
      <c r="N1083">
        <v>0</v>
      </c>
      <c r="O1083">
        <v>41000</v>
      </c>
      <c r="P1083">
        <v>31300</v>
      </c>
      <c r="Q1083">
        <v>9700</v>
      </c>
      <c r="R1083">
        <v>23.66</v>
      </c>
      <c r="S1083" t="s">
        <v>39</v>
      </c>
      <c r="T1083">
        <v>7300</v>
      </c>
      <c r="U1083">
        <v>4.3</v>
      </c>
      <c r="V1083" t="s">
        <v>82</v>
      </c>
    </row>
    <row r="1084" spans="1:22" x14ac:dyDescent="0.3">
      <c r="A1084" t="s">
        <v>2458</v>
      </c>
      <c r="B1084" t="s">
        <v>539</v>
      </c>
      <c r="C1084" t="s">
        <v>540</v>
      </c>
      <c r="D1084" s="2">
        <v>46190</v>
      </c>
      <c r="E1084" t="s">
        <v>26</v>
      </c>
      <c r="F1084" t="s">
        <v>26</v>
      </c>
      <c r="G1084" t="s">
        <v>48</v>
      </c>
      <c r="H1084" t="s">
        <v>5470</v>
      </c>
      <c r="I1084" t="s">
        <v>69</v>
      </c>
      <c r="J1084" t="s">
        <v>70</v>
      </c>
      <c r="K1084">
        <v>6</v>
      </c>
      <c r="L1084">
        <v>48</v>
      </c>
      <c r="M1084">
        <v>50500</v>
      </c>
      <c r="N1084">
        <v>7600</v>
      </c>
      <c r="O1084">
        <v>42900</v>
      </c>
      <c r="P1084">
        <v>31700</v>
      </c>
      <c r="Q1084">
        <v>11200</v>
      </c>
      <c r="R1084">
        <v>26.11</v>
      </c>
      <c r="S1084" t="s">
        <v>182</v>
      </c>
      <c r="T1084">
        <v>7200</v>
      </c>
      <c r="U1084">
        <v>5</v>
      </c>
      <c r="V1084" t="s">
        <v>58</v>
      </c>
    </row>
    <row r="1085" spans="1:22" x14ac:dyDescent="0.3">
      <c r="A1085" t="s">
        <v>1880</v>
      </c>
      <c r="B1085" t="s">
        <v>1881</v>
      </c>
      <c r="C1085" t="s">
        <v>1882</v>
      </c>
      <c r="D1085" s="2">
        <v>46191</v>
      </c>
      <c r="E1085" t="s">
        <v>134</v>
      </c>
      <c r="F1085" t="s">
        <v>134</v>
      </c>
      <c r="G1085" t="s">
        <v>213</v>
      </c>
      <c r="H1085" t="s">
        <v>268</v>
      </c>
      <c r="I1085" t="s">
        <v>69</v>
      </c>
      <c r="J1085" t="s">
        <v>70</v>
      </c>
      <c r="K1085">
        <v>4</v>
      </c>
      <c r="L1085">
        <v>54</v>
      </c>
      <c r="M1085">
        <v>28600</v>
      </c>
      <c r="N1085">
        <v>2900</v>
      </c>
      <c r="O1085">
        <v>25700</v>
      </c>
      <c r="P1085">
        <v>17500</v>
      </c>
      <c r="Q1085">
        <v>8200</v>
      </c>
      <c r="R1085">
        <v>31.91</v>
      </c>
      <c r="S1085" t="s">
        <v>126</v>
      </c>
      <c r="T1085">
        <v>1500</v>
      </c>
      <c r="U1085">
        <v>4.3</v>
      </c>
      <c r="V1085" t="s">
        <v>82</v>
      </c>
    </row>
    <row r="1086" spans="1:22" x14ac:dyDescent="0.3">
      <c r="A1086" t="s">
        <v>4573</v>
      </c>
      <c r="B1086" t="s">
        <v>2224</v>
      </c>
      <c r="C1086" t="s">
        <v>2225</v>
      </c>
      <c r="D1086" s="2">
        <v>46192</v>
      </c>
      <c r="E1086" t="s">
        <v>244</v>
      </c>
      <c r="F1086" t="s">
        <v>244</v>
      </c>
      <c r="G1086" t="s">
        <v>147</v>
      </c>
      <c r="H1086" t="s">
        <v>88</v>
      </c>
      <c r="I1086" t="s">
        <v>29</v>
      </c>
      <c r="J1086" t="s">
        <v>162</v>
      </c>
      <c r="K1086">
        <v>6</v>
      </c>
      <c r="L1086">
        <v>66</v>
      </c>
      <c r="M1086">
        <v>42500</v>
      </c>
      <c r="N1086">
        <v>6400</v>
      </c>
      <c r="O1086">
        <v>36100</v>
      </c>
      <c r="P1086">
        <v>23300</v>
      </c>
      <c r="Q1086">
        <v>12800</v>
      </c>
      <c r="R1086">
        <v>35.46</v>
      </c>
      <c r="S1086" t="s">
        <v>182</v>
      </c>
      <c r="T1086">
        <v>1700</v>
      </c>
      <c r="U1086">
        <v>4</v>
      </c>
      <c r="V1086" t="s">
        <v>58</v>
      </c>
    </row>
    <row r="1087" spans="1:22" x14ac:dyDescent="0.3">
      <c r="A1087" t="s">
        <v>4944</v>
      </c>
      <c r="B1087" t="s">
        <v>2905</v>
      </c>
      <c r="C1087" t="s">
        <v>2906</v>
      </c>
      <c r="D1087" s="2">
        <v>46192</v>
      </c>
      <c r="E1087" t="s">
        <v>26</v>
      </c>
      <c r="F1087" t="s">
        <v>26</v>
      </c>
      <c r="G1087" t="s">
        <v>580</v>
      </c>
      <c r="H1087" t="s">
        <v>49</v>
      </c>
      <c r="I1087" t="s">
        <v>29</v>
      </c>
      <c r="J1087" t="s">
        <v>30</v>
      </c>
      <c r="K1087">
        <v>8</v>
      </c>
      <c r="L1087">
        <v>44</v>
      </c>
      <c r="M1087">
        <v>46400</v>
      </c>
      <c r="N1087">
        <v>9300</v>
      </c>
      <c r="O1087">
        <v>37100</v>
      </c>
      <c r="P1087">
        <v>26400</v>
      </c>
      <c r="Q1087">
        <v>10700</v>
      </c>
      <c r="R1087">
        <v>28.84</v>
      </c>
      <c r="S1087" t="s">
        <v>79</v>
      </c>
      <c r="T1087">
        <v>1800</v>
      </c>
      <c r="U1087">
        <v>4.4000000000000004</v>
      </c>
      <c r="V1087" t="s">
        <v>42</v>
      </c>
    </row>
    <row r="1088" spans="1:22" x14ac:dyDescent="0.3">
      <c r="A1088" t="s">
        <v>5268</v>
      </c>
      <c r="B1088" t="s">
        <v>2312</v>
      </c>
      <c r="C1088" t="s">
        <v>2313</v>
      </c>
      <c r="D1088" s="2">
        <v>46193</v>
      </c>
      <c r="E1088" t="s">
        <v>66</v>
      </c>
      <c r="F1088" t="s">
        <v>66</v>
      </c>
      <c r="G1088" t="s">
        <v>118</v>
      </c>
      <c r="H1088" t="s">
        <v>49</v>
      </c>
      <c r="I1088" t="s">
        <v>29</v>
      </c>
      <c r="J1088" t="s">
        <v>30</v>
      </c>
      <c r="K1088">
        <v>3</v>
      </c>
      <c r="L1088">
        <v>40</v>
      </c>
      <c r="M1088">
        <v>22600</v>
      </c>
      <c r="N1088">
        <v>4500</v>
      </c>
      <c r="O1088">
        <v>18100</v>
      </c>
      <c r="P1088">
        <v>10600</v>
      </c>
      <c r="Q1088">
        <v>7500</v>
      </c>
      <c r="R1088">
        <v>41.44</v>
      </c>
      <c r="S1088" t="s">
        <v>97</v>
      </c>
      <c r="T1088">
        <v>1600</v>
      </c>
      <c r="U1088">
        <v>4.2</v>
      </c>
      <c r="V1088" t="s">
        <v>79</v>
      </c>
    </row>
    <row r="1089" spans="1:22" x14ac:dyDescent="0.3">
      <c r="A1089" t="s">
        <v>3885</v>
      </c>
      <c r="B1089" t="s">
        <v>1298</v>
      </c>
      <c r="C1089" t="s">
        <v>1299</v>
      </c>
      <c r="D1089" s="2">
        <v>46193</v>
      </c>
      <c r="E1089" t="s">
        <v>66</v>
      </c>
      <c r="F1089" t="s">
        <v>66</v>
      </c>
      <c r="G1089" t="s">
        <v>118</v>
      </c>
      <c r="H1089" t="s">
        <v>268</v>
      </c>
      <c r="I1089" t="s">
        <v>29</v>
      </c>
      <c r="J1089" t="s">
        <v>30</v>
      </c>
      <c r="K1089">
        <v>4</v>
      </c>
      <c r="L1089">
        <v>27</v>
      </c>
      <c r="M1089">
        <v>35700</v>
      </c>
      <c r="N1089">
        <v>3600</v>
      </c>
      <c r="O1089">
        <v>32100</v>
      </c>
      <c r="P1089">
        <v>19900</v>
      </c>
      <c r="Q1089">
        <v>12200</v>
      </c>
      <c r="R1089">
        <v>38.01</v>
      </c>
      <c r="S1089" t="s">
        <v>126</v>
      </c>
      <c r="T1089">
        <v>2400</v>
      </c>
      <c r="U1089">
        <v>3.4</v>
      </c>
      <c r="V1089" t="s">
        <v>79</v>
      </c>
    </row>
    <row r="1090" spans="1:22" x14ac:dyDescent="0.3">
      <c r="A1090" t="s">
        <v>3019</v>
      </c>
      <c r="B1090" t="s">
        <v>3020</v>
      </c>
      <c r="C1090" t="s">
        <v>3021</v>
      </c>
      <c r="D1090" s="2">
        <v>46194</v>
      </c>
      <c r="E1090" t="s">
        <v>244</v>
      </c>
      <c r="F1090" t="s">
        <v>244</v>
      </c>
      <c r="G1090" t="s">
        <v>118</v>
      </c>
      <c r="H1090" t="s">
        <v>49</v>
      </c>
      <c r="I1090" t="s">
        <v>29</v>
      </c>
      <c r="J1090" t="s">
        <v>30</v>
      </c>
      <c r="K1090">
        <v>2</v>
      </c>
      <c r="L1090">
        <v>62</v>
      </c>
      <c r="M1090">
        <v>42100</v>
      </c>
      <c r="N1090">
        <v>0</v>
      </c>
      <c r="O1090">
        <v>42100</v>
      </c>
      <c r="P1090">
        <v>18600</v>
      </c>
      <c r="Q1090">
        <v>23500</v>
      </c>
      <c r="R1090">
        <v>55.82</v>
      </c>
      <c r="S1090" t="s">
        <v>79</v>
      </c>
      <c r="T1090">
        <v>2100</v>
      </c>
      <c r="U1090">
        <v>3.3</v>
      </c>
      <c r="V1090" t="s">
        <v>42</v>
      </c>
    </row>
    <row r="1091" spans="1:22" x14ac:dyDescent="0.3">
      <c r="A1091" t="s">
        <v>4832</v>
      </c>
      <c r="B1091" t="s">
        <v>501</v>
      </c>
      <c r="C1091" t="s">
        <v>502</v>
      </c>
      <c r="D1091" s="2">
        <v>46195</v>
      </c>
      <c r="E1091" t="s">
        <v>282</v>
      </c>
      <c r="F1091" t="s">
        <v>282</v>
      </c>
      <c r="G1091" t="s">
        <v>103</v>
      </c>
      <c r="H1091" t="s">
        <v>268</v>
      </c>
      <c r="I1091" t="s">
        <v>69</v>
      </c>
      <c r="J1091" t="s">
        <v>30</v>
      </c>
      <c r="K1091">
        <v>10</v>
      </c>
      <c r="L1091">
        <v>5</v>
      </c>
      <c r="M1091">
        <v>40900</v>
      </c>
      <c r="N1091">
        <v>6100</v>
      </c>
      <c r="O1091">
        <v>34800</v>
      </c>
      <c r="P1091">
        <v>32300</v>
      </c>
      <c r="Q1091">
        <v>2500</v>
      </c>
      <c r="R1091">
        <v>7.18</v>
      </c>
      <c r="S1091" t="s">
        <v>79</v>
      </c>
      <c r="T1091">
        <v>4700</v>
      </c>
      <c r="U1091">
        <v>3.1</v>
      </c>
      <c r="V1091" t="s">
        <v>82</v>
      </c>
    </row>
    <row r="1092" spans="1:22" x14ac:dyDescent="0.3">
      <c r="A1092" t="s">
        <v>3187</v>
      </c>
      <c r="B1092" t="s">
        <v>2191</v>
      </c>
      <c r="C1092" t="s">
        <v>2192</v>
      </c>
      <c r="D1092" s="2">
        <v>46195</v>
      </c>
      <c r="E1092" t="s">
        <v>66</v>
      </c>
      <c r="F1092" t="s">
        <v>66</v>
      </c>
      <c r="G1092" t="s">
        <v>147</v>
      </c>
      <c r="H1092" t="s">
        <v>49</v>
      </c>
      <c r="I1092" t="s">
        <v>29</v>
      </c>
      <c r="J1092" t="s">
        <v>30</v>
      </c>
      <c r="K1092">
        <v>6</v>
      </c>
      <c r="L1092">
        <v>14</v>
      </c>
      <c r="M1092">
        <v>57900</v>
      </c>
      <c r="N1092">
        <v>0</v>
      </c>
      <c r="O1092">
        <v>57900</v>
      </c>
      <c r="P1092">
        <v>33200</v>
      </c>
      <c r="Q1092">
        <v>24700</v>
      </c>
      <c r="R1092">
        <v>42.66</v>
      </c>
      <c r="S1092" t="s">
        <v>39</v>
      </c>
      <c r="T1092">
        <v>4600</v>
      </c>
      <c r="U1092">
        <v>4.4000000000000004</v>
      </c>
      <c r="V1092" t="s">
        <v>79</v>
      </c>
    </row>
    <row r="1093" spans="1:22" x14ac:dyDescent="0.3">
      <c r="A1093" t="s">
        <v>3719</v>
      </c>
      <c r="B1093" t="s">
        <v>971</v>
      </c>
      <c r="C1093" t="s">
        <v>972</v>
      </c>
      <c r="D1093" s="2">
        <v>46196</v>
      </c>
      <c r="E1093" t="s">
        <v>26</v>
      </c>
      <c r="F1093" t="s">
        <v>26</v>
      </c>
      <c r="G1093" t="s">
        <v>580</v>
      </c>
      <c r="H1093" t="s">
        <v>5470</v>
      </c>
      <c r="I1093" t="s">
        <v>29</v>
      </c>
      <c r="J1093" t="s">
        <v>70</v>
      </c>
      <c r="K1093">
        <v>8</v>
      </c>
      <c r="L1093">
        <v>61</v>
      </c>
      <c r="M1093">
        <v>60400</v>
      </c>
      <c r="N1093">
        <v>12100</v>
      </c>
      <c r="O1093">
        <v>48300</v>
      </c>
      <c r="P1093">
        <v>26400</v>
      </c>
      <c r="Q1093">
        <v>21900</v>
      </c>
      <c r="R1093">
        <v>45.34</v>
      </c>
      <c r="S1093" t="s">
        <v>79</v>
      </c>
      <c r="T1093">
        <v>4600</v>
      </c>
      <c r="U1093">
        <v>2.8</v>
      </c>
      <c r="V1093" t="s">
        <v>114</v>
      </c>
    </row>
    <row r="1094" spans="1:22" x14ac:dyDescent="0.3">
      <c r="A1094" t="s">
        <v>2807</v>
      </c>
      <c r="B1094" t="s">
        <v>2808</v>
      </c>
      <c r="C1094" t="s">
        <v>2809</v>
      </c>
      <c r="D1094" s="2">
        <v>46196</v>
      </c>
      <c r="E1094" t="s">
        <v>228</v>
      </c>
      <c r="F1094" t="s">
        <v>228</v>
      </c>
      <c r="G1094" t="s">
        <v>118</v>
      </c>
      <c r="H1094" t="s">
        <v>28</v>
      </c>
      <c r="I1094" t="s">
        <v>29</v>
      </c>
      <c r="J1094" t="s">
        <v>30</v>
      </c>
      <c r="K1094">
        <v>8</v>
      </c>
      <c r="L1094">
        <v>47</v>
      </c>
      <c r="M1094">
        <v>25000</v>
      </c>
      <c r="N1094">
        <v>3800</v>
      </c>
      <c r="O1094">
        <v>21200</v>
      </c>
      <c r="P1094">
        <v>19300</v>
      </c>
      <c r="Q1094">
        <v>1900</v>
      </c>
      <c r="R1094">
        <v>8.9600000000000009</v>
      </c>
      <c r="S1094" t="s">
        <v>97</v>
      </c>
      <c r="T1094">
        <v>3300</v>
      </c>
      <c r="U1094">
        <v>5</v>
      </c>
      <c r="V1094" t="s">
        <v>114</v>
      </c>
    </row>
    <row r="1095" spans="1:22" x14ac:dyDescent="0.3">
      <c r="A1095" t="s">
        <v>3154</v>
      </c>
      <c r="B1095" t="s">
        <v>2627</v>
      </c>
      <c r="C1095" t="s">
        <v>2628</v>
      </c>
      <c r="D1095" s="2">
        <v>46196</v>
      </c>
      <c r="E1095" t="s">
        <v>188</v>
      </c>
      <c r="F1095" t="s">
        <v>188</v>
      </c>
      <c r="G1095" t="s">
        <v>580</v>
      </c>
      <c r="H1095" t="s">
        <v>214</v>
      </c>
      <c r="I1095" t="s">
        <v>29</v>
      </c>
      <c r="J1095" t="s">
        <v>162</v>
      </c>
      <c r="K1095">
        <v>7</v>
      </c>
      <c r="L1095">
        <v>53</v>
      </c>
      <c r="M1095">
        <v>88300</v>
      </c>
      <c r="N1095">
        <v>8800</v>
      </c>
      <c r="O1095">
        <v>79500</v>
      </c>
      <c r="P1095">
        <v>70000</v>
      </c>
      <c r="Q1095">
        <v>9500</v>
      </c>
      <c r="R1095">
        <v>11.95</v>
      </c>
      <c r="S1095" t="s">
        <v>79</v>
      </c>
      <c r="T1095">
        <v>12900</v>
      </c>
      <c r="U1095">
        <v>5</v>
      </c>
      <c r="V1095" t="s">
        <v>58</v>
      </c>
    </row>
    <row r="1096" spans="1:22" x14ac:dyDescent="0.3">
      <c r="A1096" t="s">
        <v>5173</v>
      </c>
      <c r="B1096" t="s">
        <v>1617</v>
      </c>
      <c r="C1096" t="s">
        <v>1618</v>
      </c>
      <c r="D1096" s="2">
        <v>46201</v>
      </c>
      <c r="E1096" t="s">
        <v>66</v>
      </c>
      <c r="F1096" t="s">
        <v>66</v>
      </c>
      <c r="G1096" t="s">
        <v>27</v>
      </c>
      <c r="H1096" t="s">
        <v>229</v>
      </c>
      <c r="I1096" t="s">
        <v>69</v>
      </c>
      <c r="J1096" t="s">
        <v>70</v>
      </c>
      <c r="K1096">
        <v>6</v>
      </c>
      <c r="L1096">
        <v>58</v>
      </c>
      <c r="M1096">
        <v>38700</v>
      </c>
      <c r="N1096">
        <v>1900</v>
      </c>
      <c r="O1096">
        <v>36800</v>
      </c>
      <c r="P1096">
        <v>22500</v>
      </c>
      <c r="Q1096">
        <v>14300</v>
      </c>
      <c r="R1096">
        <v>38.86</v>
      </c>
      <c r="S1096" t="s">
        <v>126</v>
      </c>
      <c r="T1096">
        <v>1700</v>
      </c>
      <c r="U1096">
        <v>3.9</v>
      </c>
      <c r="V1096" t="s">
        <v>79</v>
      </c>
    </row>
    <row r="1097" spans="1:22" x14ac:dyDescent="0.3">
      <c r="A1097" t="s">
        <v>5251</v>
      </c>
      <c r="B1097" t="s">
        <v>5252</v>
      </c>
      <c r="C1097" t="s">
        <v>5253</v>
      </c>
      <c r="D1097" s="2">
        <v>46201</v>
      </c>
      <c r="E1097" t="s">
        <v>134</v>
      </c>
      <c r="F1097" t="s">
        <v>134</v>
      </c>
      <c r="G1097" t="s">
        <v>213</v>
      </c>
      <c r="H1097" t="s">
        <v>49</v>
      </c>
      <c r="I1097" t="s">
        <v>69</v>
      </c>
      <c r="J1097" t="s">
        <v>30</v>
      </c>
      <c r="K1097">
        <v>4</v>
      </c>
      <c r="L1097">
        <v>30</v>
      </c>
      <c r="M1097">
        <v>27900</v>
      </c>
      <c r="N1097">
        <v>0</v>
      </c>
      <c r="O1097">
        <v>27900</v>
      </c>
      <c r="P1097">
        <v>22600</v>
      </c>
      <c r="Q1097">
        <v>5300</v>
      </c>
      <c r="R1097">
        <v>19</v>
      </c>
      <c r="S1097" t="s">
        <v>97</v>
      </c>
      <c r="T1097">
        <v>2700</v>
      </c>
      <c r="U1097">
        <v>4</v>
      </c>
      <c r="V1097" t="s">
        <v>114</v>
      </c>
    </row>
    <row r="1098" spans="1:22" x14ac:dyDescent="0.3">
      <c r="A1098" t="s">
        <v>374</v>
      </c>
      <c r="B1098" t="s">
        <v>375</v>
      </c>
      <c r="C1098" t="s">
        <v>376</v>
      </c>
      <c r="D1098" s="2">
        <v>46201</v>
      </c>
      <c r="E1098" t="s">
        <v>282</v>
      </c>
      <c r="F1098" t="s">
        <v>282</v>
      </c>
      <c r="G1098" t="s">
        <v>27</v>
      </c>
      <c r="H1098" t="s">
        <v>68</v>
      </c>
      <c r="I1098" t="s">
        <v>69</v>
      </c>
      <c r="J1098" t="s">
        <v>30</v>
      </c>
      <c r="K1098">
        <v>4</v>
      </c>
      <c r="L1098">
        <v>52</v>
      </c>
      <c r="M1098">
        <v>56200</v>
      </c>
      <c r="N1098">
        <v>5600</v>
      </c>
      <c r="O1098">
        <v>50600</v>
      </c>
      <c r="P1098">
        <v>30900</v>
      </c>
      <c r="Q1098">
        <v>19700</v>
      </c>
      <c r="R1098">
        <v>38.93</v>
      </c>
      <c r="S1098" t="s">
        <v>39</v>
      </c>
      <c r="T1098">
        <v>2100</v>
      </c>
      <c r="U1098">
        <v>3.1</v>
      </c>
      <c r="V1098" t="s">
        <v>58</v>
      </c>
    </row>
    <row r="1099" spans="1:22" x14ac:dyDescent="0.3">
      <c r="A1099" t="s">
        <v>2722</v>
      </c>
      <c r="B1099" t="s">
        <v>2010</v>
      </c>
      <c r="C1099" t="s">
        <v>2011</v>
      </c>
      <c r="D1099" s="2">
        <v>46202</v>
      </c>
      <c r="E1099" t="s">
        <v>244</v>
      </c>
      <c r="F1099" t="s">
        <v>244</v>
      </c>
      <c r="G1099" t="s">
        <v>580</v>
      </c>
      <c r="H1099" t="s">
        <v>68</v>
      </c>
      <c r="I1099" t="s">
        <v>69</v>
      </c>
      <c r="J1099" t="s">
        <v>70</v>
      </c>
      <c r="K1099">
        <v>10</v>
      </c>
      <c r="L1099">
        <v>53</v>
      </c>
      <c r="M1099">
        <v>51300</v>
      </c>
      <c r="N1099">
        <v>7700</v>
      </c>
      <c r="O1099">
        <v>43600</v>
      </c>
      <c r="P1099">
        <v>37700</v>
      </c>
      <c r="Q1099">
        <v>5900</v>
      </c>
      <c r="R1099">
        <v>13.53</v>
      </c>
      <c r="S1099" t="s">
        <v>182</v>
      </c>
      <c r="T1099">
        <v>2400</v>
      </c>
      <c r="U1099">
        <v>3.9</v>
      </c>
      <c r="V1099" t="s">
        <v>58</v>
      </c>
    </row>
    <row r="1100" spans="1:22" x14ac:dyDescent="0.3">
      <c r="A1100" t="s">
        <v>3310</v>
      </c>
      <c r="B1100" t="s">
        <v>1546</v>
      </c>
      <c r="C1100" t="s">
        <v>1547</v>
      </c>
      <c r="D1100" s="2">
        <v>46202</v>
      </c>
      <c r="E1100" t="s">
        <v>244</v>
      </c>
      <c r="F1100" t="s">
        <v>244</v>
      </c>
      <c r="G1100" t="s">
        <v>67</v>
      </c>
      <c r="H1100" t="s">
        <v>229</v>
      </c>
      <c r="I1100" t="s">
        <v>29</v>
      </c>
      <c r="J1100" t="s">
        <v>257</v>
      </c>
      <c r="K1100">
        <v>7</v>
      </c>
      <c r="L1100">
        <v>68</v>
      </c>
      <c r="M1100">
        <v>108300</v>
      </c>
      <c r="N1100">
        <v>21700</v>
      </c>
      <c r="O1100">
        <v>86600</v>
      </c>
      <c r="P1100">
        <v>70400</v>
      </c>
      <c r="Q1100">
        <v>16200</v>
      </c>
      <c r="R1100">
        <v>18.71</v>
      </c>
      <c r="S1100" t="s">
        <v>126</v>
      </c>
      <c r="T1100">
        <v>8000</v>
      </c>
      <c r="U1100">
        <v>4.7</v>
      </c>
      <c r="V1100" t="s">
        <v>82</v>
      </c>
    </row>
    <row r="1101" spans="1:22" x14ac:dyDescent="0.3">
      <c r="A1101" t="s">
        <v>4183</v>
      </c>
      <c r="B1101" t="s">
        <v>4184</v>
      </c>
      <c r="C1101" t="s">
        <v>4185</v>
      </c>
      <c r="D1101" s="2">
        <v>46203</v>
      </c>
      <c r="E1101" t="s">
        <v>66</v>
      </c>
      <c r="F1101" t="s">
        <v>66</v>
      </c>
      <c r="G1101" t="s">
        <v>48</v>
      </c>
      <c r="H1101" t="s">
        <v>5470</v>
      </c>
      <c r="I1101" t="s">
        <v>69</v>
      </c>
      <c r="J1101" t="s">
        <v>30</v>
      </c>
      <c r="K1101">
        <v>8</v>
      </c>
      <c r="L1101">
        <v>40</v>
      </c>
      <c r="M1101">
        <v>68400</v>
      </c>
      <c r="N1101">
        <v>0</v>
      </c>
      <c r="O1101">
        <v>68400</v>
      </c>
      <c r="P1101">
        <v>41400</v>
      </c>
      <c r="Q1101">
        <v>27000</v>
      </c>
      <c r="R1101">
        <v>39.47</v>
      </c>
      <c r="S1101" t="s">
        <v>39</v>
      </c>
      <c r="T1101">
        <v>4600</v>
      </c>
      <c r="U1101">
        <v>3.9</v>
      </c>
      <c r="V1101" t="s">
        <v>58</v>
      </c>
    </row>
    <row r="1102" spans="1:22" x14ac:dyDescent="0.3">
      <c r="A1102" t="s">
        <v>3654</v>
      </c>
      <c r="B1102" t="s">
        <v>615</v>
      </c>
      <c r="C1102" t="s">
        <v>616</v>
      </c>
      <c r="D1102" s="2">
        <v>46203</v>
      </c>
      <c r="E1102" t="s">
        <v>66</v>
      </c>
      <c r="F1102" t="s">
        <v>66</v>
      </c>
      <c r="G1102" t="s">
        <v>147</v>
      </c>
      <c r="H1102" t="s">
        <v>49</v>
      </c>
      <c r="I1102" t="s">
        <v>69</v>
      </c>
      <c r="J1102" t="s">
        <v>162</v>
      </c>
      <c r="K1102">
        <v>8</v>
      </c>
      <c r="L1102">
        <v>16</v>
      </c>
      <c r="M1102">
        <v>57300</v>
      </c>
      <c r="N1102">
        <v>2900</v>
      </c>
      <c r="O1102">
        <v>54400</v>
      </c>
      <c r="P1102">
        <v>26900</v>
      </c>
      <c r="Q1102">
        <v>27500</v>
      </c>
      <c r="R1102">
        <v>50.55</v>
      </c>
      <c r="S1102" t="s">
        <v>126</v>
      </c>
      <c r="T1102">
        <v>4700</v>
      </c>
      <c r="U1102">
        <v>3.7</v>
      </c>
      <c r="V1102" t="s">
        <v>79</v>
      </c>
    </row>
    <row r="1103" spans="1:22" x14ac:dyDescent="0.3">
      <c r="A1103" t="s">
        <v>4113</v>
      </c>
      <c r="B1103" t="s">
        <v>387</v>
      </c>
      <c r="C1103" t="s">
        <v>388</v>
      </c>
      <c r="D1103" s="2">
        <v>46203</v>
      </c>
      <c r="E1103" t="s">
        <v>244</v>
      </c>
      <c r="F1103" t="s">
        <v>244</v>
      </c>
      <c r="G1103" t="s">
        <v>27</v>
      </c>
      <c r="H1103" t="s">
        <v>28</v>
      </c>
      <c r="I1103" t="s">
        <v>69</v>
      </c>
      <c r="J1103" t="s">
        <v>30</v>
      </c>
      <c r="K1103">
        <v>5</v>
      </c>
      <c r="L1103">
        <v>26</v>
      </c>
      <c r="M1103">
        <v>40200</v>
      </c>
      <c r="N1103">
        <v>4000</v>
      </c>
      <c r="O1103">
        <v>36200</v>
      </c>
      <c r="P1103">
        <v>32500</v>
      </c>
      <c r="Q1103">
        <v>3700</v>
      </c>
      <c r="R1103">
        <v>10.220000000000001</v>
      </c>
      <c r="S1103" t="s">
        <v>97</v>
      </c>
      <c r="T1103">
        <v>4600</v>
      </c>
      <c r="U1103">
        <v>2.9</v>
      </c>
      <c r="V1103" t="s">
        <v>82</v>
      </c>
    </row>
    <row r="1104" spans="1:22" x14ac:dyDescent="0.3">
      <c r="A1104" t="s">
        <v>2635</v>
      </c>
      <c r="B1104" t="s">
        <v>1205</v>
      </c>
      <c r="C1104" t="s">
        <v>1206</v>
      </c>
      <c r="D1104" s="2">
        <v>46204</v>
      </c>
      <c r="E1104" t="s">
        <v>282</v>
      </c>
      <c r="F1104" t="s">
        <v>282</v>
      </c>
      <c r="G1104" t="s">
        <v>67</v>
      </c>
      <c r="H1104" t="s">
        <v>68</v>
      </c>
      <c r="I1104" t="s">
        <v>29</v>
      </c>
      <c r="J1104" t="s">
        <v>30</v>
      </c>
      <c r="K1104">
        <v>5</v>
      </c>
      <c r="L1104">
        <v>65</v>
      </c>
      <c r="M1104">
        <v>20000</v>
      </c>
      <c r="N1104">
        <v>0</v>
      </c>
      <c r="O1104">
        <v>20000</v>
      </c>
      <c r="P1104">
        <v>13100</v>
      </c>
      <c r="Q1104">
        <v>6900</v>
      </c>
      <c r="R1104">
        <v>34.5</v>
      </c>
      <c r="S1104" t="s">
        <v>126</v>
      </c>
      <c r="T1104">
        <v>1600</v>
      </c>
      <c r="U1104">
        <v>4.0999999999999996</v>
      </c>
      <c r="V1104" t="s">
        <v>82</v>
      </c>
    </row>
    <row r="1105" spans="1:22" x14ac:dyDescent="0.3">
      <c r="A1105" t="s">
        <v>4289</v>
      </c>
      <c r="B1105" t="s">
        <v>501</v>
      </c>
      <c r="C1105" t="s">
        <v>502</v>
      </c>
      <c r="D1105" s="2">
        <v>46204</v>
      </c>
      <c r="E1105" t="s">
        <v>66</v>
      </c>
      <c r="F1105" t="s">
        <v>66</v>
      </c>
      <c r="G1105" t="s">
        <v>118</v>
      </c>
      <c r="H1105" t="s">
        <v>229</v>
      </c>
      <c r="I1105" t="s">
        <v>69</v>
      </c>
      <c r="J1105" t="s">
        <v>30</v>
      </c>
      <c r="K1105">
        <v>9</v>
      </c>
      <c r="L1105">
        <v>58</v>
      </c>
      <c r="M1105">
        <v>23600</v>
      </c>
      <c r="N1105">
        <v>0</v>
      </c>
      <c r="O1105">
        <v>23600</v>
      </c>
      <c r="P1105">
        <v>18100</v>
      </c>
      <c r="Q1105">
        <v>5500</v>
      </c>
      <c r="R1105">
        <v>23.31</v>
      </c>
      <c r="S1105" t="s">
        <v>182</v>
      </c>
      <c r="T1105">
        <v>1100</v>
      </c>
      <c r="U1105">
        <v>4.3</v>
      </c>
      <c r="V1105" t="s">
        <v>58</v>
      </c>
    </row>
    <row r="1106" spans="1:22" x14ac:dyDescent="0.3">
      <c r="A1106" t="s">
        <v>5083</v>
      </c>
      <c r="B1106" t="s">
        <v>375</v>
      </c>
      <c r="C1106" t="s">
        <v>376</v>
      </c>
      <c r="D1106" s="2">
        <v>46206</v>
      </c>
      <c r="E1106" t="s">
        <v>188</v>
      </c>
      <c r="F1106" t="s">
        <v>188</v>
      </c>
      <c r="G1106" t="s">
        <v>580</v>
      </c>
      <c r="H1106" t="s">
        <v>214</v>
      </c>
      <c r="I1106" t="s">
        <v>69</v>
      </c>
      <c r="J1106" t="s">
        <v>30</v>
      </c>
      <c r="K1106">
        <v>10</v>
      </c>
      <c r="L1106">
        <v>53</v>
      </c>
      <c r="M1106">
        <v>87500</v>
      </c>
      <c r="N1106">
        <v>17500</v>
      </c>
      <c r="O1106">
        <v>70000</v>
      </c>
      <c r="P1106">
        <v>65300</v>
      </c>
      <c r="Q1106">
        <v>4700</v>
      </c>
      <c r="R1106">
        <v>6.71</v>
      </c>
      <c r="S1106" t="s">
        <v>126</v>
      </c>
      <c r="T1106">
        <v>10700</v>
      </c>
      <c r="U1106">
        <v>3.4</v>
      </c>
      <c r="V1106" t="s">
        <v>79</v>
      </c>
    </row>
    <row r="1107" spans="1:22" x14ac:dyDescent="0.3">
      <c r="A1107" t="s">
        <v>3366</v>
      </c>
      <c r="B1107" t="s">
        <v>510</v>
      </c>
      <c r="C1107" t="s">
        <v>511</v>
      </c>
      <c r="D1107" s="2">
        <v>46207</v>
      </c>
      <c r="E1107" t="s">
        <v>282</v>
      </c>
      <c r="F1107" t="s">
        <v>282</v>
      </c>
      <c r="G1107" t="s">
        <v>27</v>
      </c>
      <c r="H1107" t="s">
        <v>88</v>
      </c>
      <c r="I1107" t="s">
        <v>69</v>
      </c>
      <c r="J1107" t="s">
        <v>70</v>
      </c>
      <c r="K1107">
        <v>4</v>
      </c>
      <c r="L1107">
        <v>50</v>
      </c>
      <c r="M1107">
        <v>81100</v>
      </c>
      <c r="N1107">
        <v>8100</v>
      </c>
      <c r="O1107">
        <v>73000</v>
      </c>
      <c r="P1107">
        <v>59000</v>
      </c>
      <c r="Q1107">
        <v>14000</v>
      </c>
      <c r="R1107">
        <v>19.18</v>
      </c>
      <c r="S1107" t="s">
        <v>97</v>
      </c>
      <c r="T1107">
        <v>7400</v>
      </c>
      <c r="U1107">
        <v>4.8</v>
      </c>
      <c r="V1107" t="s">
        <v>114</v>
      </c>
    </row>
    <row r="1108" spans="1:22" x14ac:dyDescent="0.3">
      <c r="A1108" t="s">
        <v>1959</v>
      </c>
      <c r="B1108" t="s">
        <v>1960</v>
      </c>
      <c r="C1108" t="s">
        <v>1961</v>
      </c>
      <c r="D1108" s="2">
        <v>46207</v>
      </c>
      <c r="E1108" t="s">
        <v>26</v>
      </c>
      <c r="F1108" t="s">
        <v>26</v>
      </c>
      <c r="G1108" t="s">
        <v>580</v>
      </c>
      <c r="H1108" t="s">
        <v>5470</v>
      </c>
      <c r="I1108" t="s">
        <v>69</v>
      </c>
      <c r="J1108" t="s">
        <v>30</v>
      </c>
      <c r="K1108">
        <v>4</v>
      </c>
      <c r="L1108">
        <v>60</v>
      </c>
      <c r="M1108">
        <v>15000</v>
      </c>
      <c r="N1108">
        <v>0</v>
      </c>
      <c r="O1108">
        <v>15000</v>
      </c>
      <c r="P1108">
        <v>11300</v>
      </c>
      <c r="Q1108">
        <v>3700</v>
      </c>
      <c r="R1108">
        <v>24.67</v>
      </c>
      <c r="S1108" t="s">
        <v>126</v>
      </c>
      <c r="T1108">
        <v>1000</v>
      </c>
      <c r="U1108">
        <v>4.7</v>
      </c>
      <c r="V1108" t="s">
        <v>79</v>
      </c>
    </row>
    <row r="1109" spans="1:22" x14ac:dyDescent="0.3">
      <c r="A1109" t="s">
        <v>509</v>
      </c>
      <c r="B1109" t="s">
        <v>510</v>
      </c>
      <c r="C1109" t="s">
        <v>511</v>
      </c>
      <c r="D1109" s="2">
        <v>46207</v>
      </c>
      <c r="E1109" t="s">
        <v>161</v>
      </c>
      <c r="F1109" t="s">
        <v>161</v>
      </c>
      <c r="G1109" t="s">
        <v>67</v>
      </c>
      <c r="H1109" t="s">
        <v>68</v>
      </c>
      <c r="I1109" t="s">
        <v>69</v>
      </c>
      <c r="J1109" t="s">
        <v>162</v>
      </c>
      <c r="K1109">
        <v>7</v>
      </c>
      <c r="L1109">
        <v>49</v>
      </c>
      <c r="M1109">
        <v>117000</v>
      </c>
      <c r="N1109">
        <v>23400</v>
      </c>
      <c r="O1109">
        <v>93600</v>
      </c>
      <c r="P1109">
        <v>53700</v>
      </c>
      <c r="Q1109">
        <v>39900</v>
      </c>
      <c r="R1109">
        <v>42.63</v>
      </c>
      <c r="S1109" t="s">
        <v>182</v>
      </c>
      <c r="T1109">
        <v>8400</v>
      </c>
      <c r="U1109">
        <v>3.5</v>
      </c>
      <c r="V1109" t="s">
        <v>82</v>
      </c>
    </row>
    <row r="1110" spans="1:22" x14ac:dyDescent="0.3">
      <c r="A1110" t="s">
        <v>4086</v>
      </c>
      <c r="B1110" t="s">
        <v>2954</v>
      </c>
      <c r="C1110" t="s">
        <v>2955</v>
      </c>
      <c r="D1110" s="2">
        <v>46207</v>
      </c>
      <c r="E1110" t="s">
        <v>26</v>
      </c>
      <c r="F1110" t="s">
        <v>26</v>
      </c>
      <c r="G1110" t="s">
        <v>48</v>
      </c>
      <c r="H1110" t="s">
        <v>49</v>
      </c>
      <c r="I1110" t="s">
        <v>29</v>
      </c>
      <c r="J1110" t="s">
        <v>30</v>
      </c>
      <c r="K1110">
        <v>8</v>
      </c>
      <c r="L1110">
        <v>46</v>
      </c>
      <c r="M1110">
        <v>64700</v>
      </c>
      <c r="N1110">
        <v>0</v>
      </c>
      <c r="O1110">
        <v>64700</v>
      </c>
      <c r="P1110">
        <v>35500</v>
      </c>
      <c r="Q1110">
        <v>29200</v>
      </c>
      <c r="R1110">
        <v>45.13</v>
      </c>
      <c r="S1110" t="s">
        <v>79</v>
      </c>
      <c r="T1110">
        <v>4100</v>
      </c>
      <c r="U1110">
        <v>3.6</v>
      </c>
      <c r="V1110" t="s">
        <v>114</v>
      </c>
    </row>
    <row r="1111" spans="1:22" x14ac:dyDescent="0.3">
      <c r="A1111" t="s">
        <v>1696</v>
      </c>
      <c r="B1111" t="s">
        <v>1697</v>
      </c>
      <c r="C1111" t="s">
        <v>1698</v>
      </c>
      <c r="D1111" s="2">
        <v>46207</v>
      </c>
      <c r="E1111" t="s">
        <v>134</v>
      </c>
      <c r="F1111" t="s">
        <v>134</v>
      </c>
      <c r="G1111" t="s">
        <v>27</v>
      </c>
      <c r="H1111" t="s">
        <v>49</v>
      </c>
      <c r="I1111" t="s">
        <v>69</v>
      </c>
      <c r="J1111" t="s">
        <v>30</v>
      </c>
      <c r="K1111">
        <v>4</v>
      </c>
      <c r="L1111">
        <v>41</v>
      </c>
      <c r="M1111">
        <v>48600</v>
      </c>
      <c r="N1111">
        <v>2400</v>
      </c>
      <c r="O1111">
        <v>46200</v>
      </c>
      <c r="P1111">
        <v>35400</v>
      </c>
      <c r="Q1111">
        <v>10800</v>
      </c>
      <c r="R1111">
        <v>23.38</v>
      </c>
      <c r="S1111" t="s">
        <v>97</v>
      </c>
      <c r="T1111">
        <v>7900</v>
      </c>
      <c r="U1111">
        <v>4.8</v>
      </c>
      <c r="V1111" t="s">
        <v>58</v>
      </c>
    </row>
    <row r="1112" spans="1:22" x14ac:dyDescent="0.3">
      <c r="A1112" t="s">
        <v>1066</v>
      </c>
      <c r="B1112" t="s">
        <v>425</v>
      </c>
      <c r="C1112" t="s">
        <v>426</v>
      </c>
      <c r="D1112" s="2">
        <v>46207</v>
      </c>
      <c r="E1112" t="s">
        <v>244</v>
      </c>
      <c r="F1112" t="s">
        <v>244</v>
      </c>
      <c r="G1112" t="s">
        <v>48</v>
      </c>
      <c r="H1112" t="s">
        <v>229</v>
      </c>
      <c r="I1112" t="s">
        <v>29</v>
      </c>
      <c r="J1112" t="s">
        <v>30</v>
      </c>
      <c r="K1112">
        <v>3</v>
      </c>
      <c r="L1112">
        <v>57</v>
      </c>
      <c r="M1112">
        <v>67800</v>
      </c>
      <c r="N1112">
        <v>13600</v>
      </c>
      <c r="O1112">
        <v>54200</v>
      </c>
      <c r="P1112">
        <v>44600</v>
      </c>
      <c r="Q1112">
        <v>9600</v>
      </c>
      <c r="R1112">
        <v>17.71</v>
      </c>
      <c r="S1112" t="s">
        <v>39</v>
      </c>
      <c r="T1112">
        <v>5300</v>
      </c>
      <c r="U1112">
        <v>4.5</v>
      </c>
      <c r="V1112" t="s">
        <v>114</v>
      </c>
    </row>
    <row r="1113" spans="1:22" x14ac:dyDescent="0.3">
      <c r="A1113" t="s">
        <v>1976</v>
      </c>
      <c r="B1113" t="s">
        <v>1512</v>
      </c>
      <c r="C1113" t="s">
        <v>1513</v>
      </c>
      <c r="D1113" s="2">
        <v>46208</v>
      </c>
      <c r="E1113" t="s">
        <v>282</v>
      </c>
      <c r="F1113" t="s">
        <v>282</v>
      </c>
      <c r="G1113" t="s">
        <v>67</v>
      </c>
      <c r="H1113" t="s">
        <v>68</v>
      </c>
      <c r="I1113" t="s">
        <v>69</v>
      </c>
      <c r="J1113" t="s">
        <v>30</v>
      </c>
      <c r="K1113">
        <v>4</v>
      </c>
      <c r="L1113">
        <v>23</v>
      </c>
      <c r="M1113">
        <v>49600</v>
      </c>
      <c r="N1113">
        <v>9900</v>
      </c>
      <c r="O1113">
        <v>39700</v>
      </c>
      <c r="P1113">
        <v>28300</v>
      </c>
      <c r="Q1113">
        <v>11400</v>
      </c>
      <c r="R1113">
        <v>28.72</v>
      </c>
      <c r="S1113" t="s">
        <v>79</v>
      </c>
      <c r="T1113">
        <v>4000</v>
      </c>
      <c r="U1113">
        <v>4.5</v>
      </c>
      <c r="V1113" t="s">
        <v>82</v>
      </c>
    </row>
    <row r="1114" spans="1:22" x14ac:dyDescent="0.3">
      <c r="A1114" t="s">
        <v>745</v>
      </c>
      <c r="B1114" t="s">
        <v>746</v>
      </c>
      <c r="C1114" t="s">
        <v>747</v>
      </c>
      <c r="D1114" s="2">
        <v>46209</v>
      </c>
      <c r="E1114" t="s">
        <v>66</v>
      </c>
      <c r="F1114" t="s">
        <v>66</v>
      </c>
      <c r="G1114" t="s">
        <v>67</v>
      </c>
      <c r="H1114" t="s">
        <v>229</v>
      </c>
      <c r="I1114" t="s">
        <v>69</v>
      </c>
      <c r="J1114" t="s">
        <v>30</v>
      </c>
      <c r="K1114">
        <v>9</v>
      </c>
      <c r="L1114">
        <v>69</v>
      </c>
      <c r="M1114">
        <v>37400</v>
      </c>
      <c r="N1114">
        <v>3700</v>
      </c>
      <c r="O1114">
        <v>33700</v>
      </c>
      <c r="P1114">
        <v>17500</v>
      </c>
      <c r="Q1114">
        <v>16200</v>
      </c>
      <c r="R1114">
        <v>48.07</v>
      </c>
      <c r="S1114" t="s">
        <v>79</v>
      </c>
      <c r="T1114">
        <v>4600</v>
      </c>
      <c r="U1114">
        <v>4.5999999999999996</v>
      </c>
      <c r="V1114" t="s">
        <v>42</v>
      </c>
    </row>
    <row r="1115" spans="1:22" x14ac:dyDescent="0.3">
      <c r="A1115" t="s">
        <v>3801</v>
      </c>
      <c r="B1115" t="s">
        <v>1754</v>
      </c>
      <c r="C1115" t="s">
        <v>1755</v>
      </c>
      <c r="D1115" s="2">
        <v>46209</v>
      </c>
      <c r="E1115" t="s">
        <v>161</v>
      </c>
      <c r="F1115" t="s">
        <v>161</v>
      </c>
      <c r="G1115" t="s">
        <v>213</v>
      </c>
      <c r="H1115" t="s">
        <v>214</v>
      </c>
      <c r="I1115" t="s">
        <v>69</v>
      </c>
      <c r="J1115" t="s">
        <v>30</v>
      </c>
      <c r="K1115">
        <v>5</v>
      </c>
      <c r="L1115">
        <v>33</v>
      </c>
      <c r="M1115">
        <v>67000</v>
      </c>
      <c r="N1115">
        <v>10000</v>
      </c>
      <c r="O1115">
        <v>57000</v>
      </c>
      <c r="P1115">
        <v>44800</v>
      </c>
      <c r="Q1115">
        <v>12200</v>
      </c>
      <c r="R1115">
        <v>21.4</v>
      </c>
      <c r="S1115" t="s">
        <v>58</v>
      </c>
      <c r="T1115">
        <v>4800</v>
      </c>
      <c r="U1115">
        <v>4.3</v>
      </c>
      <c r="V1115" t="s">
        <v>42</v>
      </c>
    </row>
    <row r="1116" spans="1:22" x14ac:dyDescent="0.3">
      <c r="A1116" t="s">
        <v>5329</v>
      </c>
      <c r="B1116" t="s">
        <v>1459</v>
      </c>
      <c r="C1116" t="s">
        <v>1460</v>
      </c>
      <c r="D1116" s="2">
        <v>46210</v>
      </c>
      <c r="E1116" t="s">
        <v>161</v>
      </c>
      <c r="F1116" t="s">
        <v>161</v>
      </c>
      <c r="G1116" t="s">
        <v>147</v>
      </c>
      <c r="H1116" t="s">
        <v>229</v>
      </c>
      <c r="I1116" t="s">
        <v>29</v>
      </c>
      <c r="J1116" t="s">
        <v>162</v>
      </c>
      <c r="K1116">
        <v>7</v>
      </c>
      <c r="L1116">
        <v>48</v>
      </c>
      <c r="M1116">
        <v>65900</v>
      </c>
      <c r="N1116">
        <v>3300</v>
      </c>
      <c r="O1116">
        <v>62600</v>
      </c>
      <c r="P1116">
        <v>37100</v>
      </c>
      <c r="Q1116">
        <v>25500</v>
      </c>
      <c r="R1116">
        <v>40.729999999999997</v>
      </c>
      <c r="S1116" t="s">
        <v>182</v>
      </c>
      <c r="T1116">
        <v>9300</v>
      </c>
      <c r="U1116">
        <v>4</v>
      </c>
      <c r="V1116" t="s">
        <v>42</v>
      </c>
    </row>
    <row r="1117" spans="1:22" x14ac:dyDescent="0.3">
      <c r="A1117" t="s">
        <v>3484</v>
      </c>
      <c r="B1117" t="s">
        <v>777</v>
      </c>
      <c r="C1117" t="s">
        <v>778</v>
      </c>
      <c r="D1117" s="2">
        <v>46210</v>
      </c>
      <c r="E1117" t="s">
        <v>188</v>
      </c>
      <c r="F1117" t="s">
        <v>188</v>
      </c>
      <c r="G1117" t="s">
        <v>147</v>
      </c>
      <c r="H1117" t="s">
        <v>5471</v>
      </c>
      <c r="I1117" t="s">
        <v>69</v>
      </c>
      <c r="J1117" t="s">
        <v>30</v>
      </c>
      <c r="K1117">
        <v>4</v>
      </c>
      <c r="L1117">
        <v>34</v>
      </c>
      <c r="M1117">
        <v>64400</v>
      </c>
      <c r="N1117">
        <v>3200</v>
      </c>
      <c r="O1117">
        <v>61200</v>
      </c>
      <c r="P1117">
        <v>27500</v>
      </c>
      <c r="Q1117">
        <v>33700</v>
      </c>
      <c r="R1117">
        <v>55.07</v>
      </c>
      <c r="S1117" t="s">
        <v>58</v>
      </c>
      <c r="T1117">
        <v>5300</v>
      </c>
      <c r="U1117">
        <v>5</v>
      </c>
      <c r="V1117" t="s">
        <v>114</v>
      </c>
    </row>
    <row r="1118" spans="1:22" x14ac:dyDescent="0.3">
      <c r="A1118" t="s">
        <v>338</v>
      </c>
      <c r="B1118" t="s">
        <v>339</v>
      </c>
      <c r="C1118" t="s">
        <v>340</v>
      </c>
      <c r="D1118" s="2">
        <v>46211</v>
      </c>
      <c r="E1118" t="s">
        <v>244</v>
      </c>
      <c r="F1118" t="s">
        <v>244</v>
      </c>
      <c r="G1118" t="s">
        <v>213</v>
      </c>
      <c r="H1118" t="s">
        <v>28</v>
      </c>
      <c r="I1118" t="s">
        <v>69</v>
      </c>
      <c r="J1118" t="s">
        <v>257</v>
      </c>
      <c r="K1118">
        <v>2</v>
      </c>
      <c r="L1118">
        <v>36</v>
      </c>
      <c r="M1118">
        <v>87600</v>
      </c>
      <c r="N1118">
        <v>13100</v>
      </c>
      <c r="O1118">
        <v>74500</v>
      </c>
      <c r="P1118">
        <v>60600</v>
      </c>
      <c r="Q1118">
        <v>13900</v>
      </c>
      <c r="R1118">
        <v>18.66</v>
      </c>
      <c r="S1118" t="s">
        <v>58</v>
      </c>
      <c r="T1118">
        <v>8100</v>
      </c>
      <c r="U1118">
        <v>3.2</v>
      </c>
      <c r="V1118" t="s">
        <v>79</v>
      </c>
    </row>
    <row r="1119" spans="1:22" x14ac:dyDescent="0.3">
      <c r="A1119" t="s">
        <v>3897</v>
      </c>
      <c r="B1119" t="s">
        <v>1166</v>
      </c>
      <c r="C1119" t="s">
        <v>1167</v>
      </c>
      <c r="D1119" s="2">
        <v>46211</v>
      </c>
      <c r="E1119" t="s">
        <v>161</v>
      </c>
      <c r="F1119" t="s">
        <v>161</v>
      </c>
      <c r="G1119" t="s">
        <v>67</v>
      </c>
      <c r="H1119" t="s">
        <v>5470</v>
      </c>
      <c r="I1119" t="s">
        <v>69</v>
      </c>
      <c r="J1119" t="s">
        <v>257</v>
      </c>
      <c r="K1119">
        <v>2</v>
      </c>
      <c r="L1119">
        <v>36</v>
      </c>
      <c r="M1119">
        <v>27200</v>
      </c>
      <c r="N1119">
        <v>1400</v>
      </c>
      <c r="O1119">
        <v>25800</v>
      </c>
      <c r="P1119">
        <v>15700</v>
      </c>
      <c r="Q1119">
        <v>10100</v>
      </c>
      <c r="R1119">
        <v>39.15</v>
      </c>
      <c r="S1119" t="s">
        <v>79</v>
      </c>
      <c r="T1119">
        <v>3600</v>
      </c>
      <c r="U1119">
        <v>4.3</v>
      </c>
      <c r="V1119" t="s">
        <v>42</v>
      </c>
    </row>
    <row r="1120" spans="1:22" x14ac:dyDescent="0.3">
      <c r="A1120" t="s">
        <v>3332</v>
      </c>
      <c r="B1120" t="s">
        <v>1459</v>
      </c>
      <c r="C1120" t="s">
        <v>1460</v>
      </c>
      <c r="D1120" s="2">
        <v>46211</v>
      </c>
      <c r="E1120" t="s">
        <v>26</v>
      </c>
      <c r="F1120" t="s">
        <v>26</v>
      </c>
      <c r="G1120" t="s">
        <v>580</v>
      </c>
      <c r="H1120" t="s">
        <v>268</v>
      </c>
      <c r="I1120" t="s">
        <v>29</v>
      </c>
      <c r="J1120" t="s">
        <v>30</v>
      </c>
      <c r="K1120">
        <v>8</v>
      </c>
      <c r="L1120">
        <v>71</v>
      </c>
      <c r="M1120">
        <v>70500</v>
      </c>
      <c r="N1120">
        <v>10600</v>
      </c>
      <c r="O1120">
        <v>59900</v>
      </c>
      <c r="P1120">
        <v>31900</v>
      </c>
      <c r="Q1120">
        <v>28000</v>
      </c>
      <c r="R1120">
        <v>46.74</v>
      </c>
      <c r="S1120" t="s">
        <v>39</v>
      </c>
      <c r="T1120">
        <v>7900</v>
      </c>
      <c r="U1120">
        <v>3.6</v>
      </c>
      <c r="V1120" t="s">
        <v>42</v>
      </c>
    </row>
    <row r="1121" spans="1:22" x14ac:dyDescent="0.3">
      <c r="A1121" t="s">
        <v>1803</v>
      </c>
      <c r="B1121" t="s">
        <v>1804</v>
      </c>
      <c r="C1121" t="s">
        <v>1805</v>
      </c>
      <c r="D1121" s="2">
        <v>46213</v>
      </c>
      <c r="E1121" t="s">
        <v>282</v>
      </c>
      <c r="F1121" t="s">
        <v>282</v>
      </c>
      <c r="G1121" t="s">
        <v>147</v>
      </c>
      <c r="H1121" t="s">
        <v>88</v>
      </c>
      <c r="I1121" t="s">
        <v>29</v>
      </c>
      <c r="J1121" t="s">
        <v>30</v>
      </c>
      <c r="K1121">
        <v>2</v>
      </c>
      <c r="L1121">
        <v>50</v>
      </c>
      <c r="M1121">
        <v>18900</v>
      </c>
      <c r="N1121">
        <v>0</v>
      </c>
      <c r="O1121">
        <v>18900</v>
      </c>
      <c r="P1121">
        <v>13000</v>
      </c>
      <c r="Q1121">
        <v>5900</v>
      </c>
      <c r="R1121">
        <v>31.22</v>
      </c>
      <c r="S1121" t="s">
        <v>58</v>
      </c>
      <c r="T1121">
        <v>1900</v>
      </c>
      <c r="U1121">
        <v>4.7</v>
      </c>
      <c r="V1121" t="s">
        <v>114</v>
      </c>
    </row>
    <row r="1122" spans="1:22" x14ac:dyDescent="0.3">
      <c r="A1122" t="s">
        <v>1426</v>
      </c>
      <c r="B1122" t="s">
        <v>1427</v>
      </c>
      <c r="C1122" t="s">
        <v>1428</v>
      </c>
      <c r="D1122" s="2">
        <v>46214</v>
      </c>
      <c r="E1122" t="s">
        <v>161</v>
      </c>
      <c r="F1122" t="s">
        <v>161</v>
      </c>
      <c r="G1122" t="s">
        <v>103</v>
      </c>
      <c r="H1122" t="s">
        <v>268</v>
      </c>
      <c r="I1122" t="s">
        <v>69</v>
      </c>
      <c r="J1122" t="s">
        <v>30</v>
      </c>
      <c r="K1122">
        <v>9</v>
      </c>
      <c r="L1122">
        <v>26</v>
      </c>
      <c r="M1122">
        <v>33100</v>
      </c>
      <c r="N1122">
        <v>0</v>
      </c>
      <c r="O1122">
        <v>33100</v>
      </c>
      <c r="P1122">
        <v>16800</v>
      </c>
      <c r="Q1122">
        <v>16300</v>
      </c>
      <c r="R1122">
        <v>49.24</v>
      </c>
      <c r="S1122" t="s">
        <v>126</v>
      </c>
      <c r="T1122">
        <v>5800</v>
      </c>
      <c r="U1122">
        <v>4.4000000000000004</v>
      </c>
      <c r="V1122" t="s">
        <v>42</v>
      </c>
    </row>
    <row r="1123" spans="1:22" x14ac:dyDescent="0.3">
      <c r="A1123" t="s">
        <v>4968</v>
      </c>
      <c r="B1123" t="s">
        <v>1546</v>
      </c>
      <c r="C1123" t="s">
        <v>1547</v>
      </c>
      <c r="D1123" s="2">
        <v>46215</v>
      </c>
      <c r="E1123" t="s">
        <v>188</v>
      </c>
      <c r="F1123" t="s">
        <v>188</v>
      </c>
      <c r="G1123" t="s">
        <v>147</v>
      </c>
      <c r="H1123" t="s">
        <v>229</v>
      </c>
      <c r="I1123" t="s">
        <v>29</v>
      </c>
      <c r="J1123" t="s">
        <v>257</v>
      </c>
      <c r="K1123">
        <v>6</v>
      </c>
      <c r="L1123">
        <v>16</v>
      </c>
      <c r="M1123">
        <v>57700</v>
      </c>
      <c r="N1123">
        <v>2900</v>
      </c>
      <c r="O1123">
        <v>54800</v>
      </c>
      <c r="P1123">
        <v>40100</v>
      </c>
      <c r="Q1123">
        <v>14700</v>
      </c>
      <c r="R1123">
        <v>26.82</v>
      </c>
      <c r="S1123" t="s">
        <v>97</v>
      </c>
      <c r="T1123">
        <v>7400</v>
      </c>
      <c r="U1123">
        <v>5</v>
      </c>
      <c r="V1123" t="s">
        <v>82</v>
      </c>
    </row>
    <row r="1124" spans="1:22" x14ac:dyDescent="0.3">
      <c r="A1124" t="s">
        <v>2088</v>
      </c>
      <c r="B1124" t="s">
        <v>2089</v>
      </c>
      <c r="C1124" t="s">
        <v>2090</v>
      </c>
      <c r="D1124" s="2">
        <v>46217</v>
      </c>
      <c r="E1124" t="s">
        <v>161</v>
      </c>
      <c r="F1124" t="s">
        <v>161</v>
      </c>
      <c r="G1124" t="s">
        <v>147</v>
      </c>
      <c r="H1124" t="s">
        <v>5470</v>
      </c>
      <c r="I1124" t="s">
        <v>69</v>
      </c>
      <c r="J1124" t="s">
        <v>70</v>
      </c>
      <c r="K1124">
        <v>4</v>
      </c>
      <c r="L1124">
        <v>21</v>
      </c>
      <c r="M1124">
        <v>53900</v>
      </c>
      <c r="N1124">
        <v>10800</v>
      </c>
      <c r="O1124">
        <v>43100</v>
      </c>
      <c r="P1124">
        <v>28000</v>
      </c>
      <c r="Q1124">
        <v>15100</v>
      </c>
      <c r="R1124">
        <v>35.03</v>
      </c>
      <c r="S1124" t="s">
        <v>39</v>
      </c>
      <c r="T1124">
        <v>4300</v>
      </c>
      <c r="U1124">
        <v>4</v>
      </c>
      <c r="V1124" t="s">
        <v>82</v>
      </c>
    </row>
    <row r="1125" spans="1:22" x14ac:dyDescent="0.3">
      <c r="A1125" t="s">
        <v>4915</v>
      </c>
      <c r="B1125" t="s">
        <v>1797</v>
      </c>
      <c r="C1125" t="s">
        <v>1798</v>
      </c>
      <c r="D1125" s="2">
        <v>46217</v>
      </c>
      <c r="E1125" t="s">
        <v>188</v>
      </c>
      <c r="F1125" t="s">
        <v>188</v>
      </c>
      <c r="G1125" t="s">
        <v>48</v>
      </c>
      <c r="H1125" t="s">
        <v>49</v>
      </c>
      <c r="I1125" t="s">
        <v>69</v>
      </c>
      <c r="J1125" t="s">
        <v>30</v>
      </c>
      <c r="K1125">
        <v>3</v>
      </c>
      <c r="L1125">
        <v>28</v>
      </c>
      <c r="M1125">
        <v>115700</v>
      </c>
      <c r="N1125">
        <v>0</v>
      </c>
      <c r="O1125">
        <v>115700</v>
      </c>
      <c r="P1125">
        <v>53800</v>
      </c>
      <c r="Q1125">
        <v>61900</v>
      </c>
      <c r="R1125">
        <v>53.5</v>
      </c>
      <c r="S1125" t="s">
        <v>58</v>
      </c>
      <c r="T1125">
        <v>20200</v>
      </c>
      <c r="U1125">
        <v>4.7</v>
      </c>
      <c r="V1125" t="s">
        <v>82</v>
      </c>
    </row>
    <row r="1126" spans="1:22" x14ac:dyDescent="0.3">
      <c r="A1126" t="s">
        <v>5001</v>
      </c>
      <c r="B1126" t="s">
        <v>1060</v>
      </c>
      <c r="C1126" t="s">
        <v>1061</v>
      </c>
      <c r="D1126" s="2">
        <v>46217</v>
      </c>
      <c r="E1126" t="s">
        <v>228</v>
      </c>
      <c r="F1126" t="s">
        <v>228</v>
      </c>
      <c r="G1126" t="s">
        <v>580</v>
      </c>
      <c r="H1126" t="s">
        <v>28</v>
      </c>
      <c r="I1126" t="s">
        <v>69</v>
      </c>
      <c r="J1126" t="s">
        <v>70</v>
      </c>
      <c r="K1126">
        <v>4</v>
      </c>
      <c r="L1126">
        <v>54</v>
      </c>
      <c r="M1126">
        <v>97600</v>
      </c>
      <c r="N1126">
        <v>14600</v>
      </c>
      <c r="O1126">
        <v>83000</v>
      </c>
      <c r="P1126">
        <v>44600</v>
      </c>
      <c r="Q1126">
        <v>38400</v>
      </c>
      <c r="R1126">
        <v>46.27</v>
      </c>
      <c r="S1126" t="s">
        <v>97</v>
      </c>
      <c r="T1126">
        <v>12300</v>
      </c>
      <c r="U1126">
        <v>3.9</v>
      </c>
      <c r="V1126" t="s">
        <v>79</v>
      </c>
    </row>
    <row r="1127" spans="1:22" x14ac:dyDescent="0.3">
      <c r="A1127" t="s">
        <v>4526</v>
      </c>
      <c r="B1127" t="s">
        <v>2351</v>
      </c>
      <c r="C1127" t="s">
        <v>2352</v>
      </c>
      <c r="D1127" s="2">
        <v>46217</v>
      </c>
      <c r="E1127" t="s">
        <v>161</v>
      </c>
      <c r="F1127" t="s">
        <v>161</v>
      </c>
      <c r="G1127" t="s">
        <v>118</v>
      </c>
      <c r="H1127" t="s">
        <v>49</v>
      </c>
      <c r="I1127" t="s">
        <v>69</v>
      </c>
      <c r="J1127" t="s">
        <v>30</v>
      </c>
      <c r="K1127">
        <v>4</v>
      </c>
      <c r="L1127">
        <v>5</v>
      </c>
      <c r="M1127">
        <v>66800</v>
      </c>
      <c r="N1127">
        <v>0</v>
      </c>
      <c r="O1127">
        <v>66800</v>
      </c>
      <c r="P1127">
        <v>53500</v>
      </c>
      <c r="Q1127">
        <v>13300</v>
      </c>
      <c r="R1127">
        <v>19.91</v>
      </c>
      <c r="S1127" t="s">
        <v>79</v>
      </c>
      <c r="T1127">
        <v>5500</v>
      </c>
      <c r="U1127">
        <v>5</v>
      </c>
      <c r="V1127" t="s">
        <v>58</v>
      </c>
    </row>
    <row r="1128" spans="1:22" x14ac:dyDescent="0.3">
      <c r="A1128" t="s">
        <v>3653</v>
      </c>
      <c r="B1128" t="s">
        <v>130</v>
      </c>
      <c r="C1128" t="s">
        <v>131</v>
      </c>
      <c r="D1128" s="2">
        <v>46218</v>
      </c>
      <c r="E1128" t="s">
        <v>282</v>
      </c>
      <c r="F1128" t="s">
        <v>282</v>
      </c>
      <c r="G1128" t="s">
        <v>213</v>
      </c>
      <c r="H1128" t="s">
        <v>214</v>
      </c>
      <c r="I1128" t="s">
        <v>69</v>
      </c>
      <c r="J1128" t="s">
        <v>162</v>
      </c>
      <c r="K1128">
        <v>4</v>
      </c>
      <c r="L1128">
        <v>60</v>
      </c>
      <c r="M1128">
        <v>47700</v>
      </c>
      <c r="N1128">
        <v>0</v>
      </c>
      <c r="O1128">
        <v>47700</v>
      </c>
      <c r="P1128">
        <v>26500</v>
      </c>
      <c r="Q1128">
        <v>21200</v>
      </c>
      <c r="R1128">
        <v>44.44</v>
      </c>
      <c r="S1128" t="s">
        <v>79</v>
      </c>
      <c r="T1128">
        <v>3900</v>
      </c>
      <c r="U1128">
        <v>3.4</v>
      </c>
      <c r="V1128" t="s">
        <v>79</v>
      </c>
    </row>
    <row r="1129" spans="1:22" x14ac:dyDescent="0.3">
      <c r="A1129" t="s">
        <v>2562</v>
      </c>
      <c r="B1129" t="s">
        <v>2563</v>
      </c>
      <c r="C1129" t="s">
        <v>2564</v>
      </c>
      <c r="D1129" s="2">
        <v>46218</v>
      </c>
      <c r="E1129" t="s">
        <v>66</v>
      </c>
      <c r="F1129" t="s">
        <v>66</v>
      </c>
      <c r="G1129" t="s">
        <v>103</v>
      </c>
      <c r="H1129" t="s">
        <v>49</v>
      </c>
      <c r="I1129" t="s">
        <v>69</v>
      </c>
      <c r="J1129" t="s">
        <v>70</v>
      </c>
      <c r="K1129">
        <v>7</v>
      </c>
      <c r="L1129">
        <v>38</v>
      </c>
      <c r="M1129">
        <v>50400</v>
      </c>
      <c r="N1129">
        <v>5000</v>
      </c>
      <c r="O1129">
        <v>45400</v>
      </c>
      <c r="P1129">
        <v>40600</v>
      </c>
      <c r="Q1129">
        <v>4800</v>
      </c>
      <c r="R1129">
        <v>10.57</v>
      </c>
      <c r="S1129" t="s">
        <v>79</v>
      </c>
      <c r="T1129">
        <v>6800</v>
      </c>
      <c r="U1129">
        <v>4.5</v>
      </c>
      <c r="V1129" t="s">
        <v>58</v>
      </c>
    </row>
    <row r="1130" spans="1:22" x14ac:dyDescent="0.3">
      <c r="A1130" t="s">
        <v>2452</v>
      </c>
      <c r="B1130" t="s">
        <v>2453</v>
      </c>
      <c r="C1130" t="s">
        <v>2454</v>
      </c>
      <c r="D1130" s="2">
        <v>46218</v>
      </c>
      <c r="E1130" t="s">
        <v>161</v>
      </c>
      <c r="F1130" t="s">
        <v>161</v>
      </c>
      <c r="G1130" t="s">
        <v>103</v>
      </c>
      <c r="H1130" t="s">
        <v>88</v>
      </c>
      <c r="I1130" t="s">
        <v>29</v>
      </c>
      <c r="J1130" t="s">
        <v>30</v>
      </c>
      <c r="K1130">
        <v>6</v>
      </c>
      <c r="L1130">
        <v>41</v>
      </c>
      <c r="M1130">
        <v>90100</v>
      </c>
      <c r="N1130">
        <v>0</v>
      </c>
      <c r="O1130">
        <v>90100</v>
      </c>
      <c r="P1130">
        <v>60800</v>
      </c>
      <c r="Q1130">
        <v>29300</v>
      </c>
      <c r="R1130">
        <v>32.520000000000003</v>
      </c>
      <c r="S1130" t="s">
        <v>126</v>
      </c>
      <c r="T1130">
        <v>6700</v>
      </c>
      <c r="U1130">
        <v>4.5999999999999996</v>
      </c>
      <c r="V1130" t="s">
        <v>79</v>
      </c>
    </row>
    <row r="1131" spans="1:22" x14ac:dyDescent="0.3">
      <c r="A1131" t="s">
        <v>5355</v>
      </c>
      <c r="B1131" t="s">
        <v>501</v>
      </c>
      <c r="C1131" t="s">
        <v>502</v>
      </c>
      <c r="D1131" s="2">
        <v>46219</v>
      </c>
      <c r="E1131" t="s">
        <v>282</v>
      </c>
      <c r="F1131" t="s">
        <v>282</v>
      </c>
      <c r="G1131" t="s">
        <v>27</v>
      </c>
      <c r="H1131" t="s">
        <v>229</v>
      </c>
      <c r="I1131" t="s">
        <v>69</v>
      </c>
      <c r="J1131" t="s">
        <v>70</v>
      </c>
      <c r="K1131">
        <v>8</v>
      </c>
      <c r="L1131">
        <v>37</v>
      </c>
      <c r="M1131">
        <v>28700</v>
      </c>
      <c r="N1131">
        <v>1400</v>
      </c>
      <c r="O1131">
        <v>27300</v>
      </c>
      <c r="P1131">
        <v>23300</v>
      </c>
      <c r="Q1131">
        <v>4000</v>
      </c>
      <c r="R1131">
        <v>14.65</v>
      </c>
      <c r="S1131" t="s">
        <v>79</v>
      </c>
      <c r="T1131">
        <v>1900</v>
      </c>
      <c r="U1131">
        <v>4.0999999999999996</v>
      </c>
      <c r="V1131" t="s">
        <v>82</v>
      </c>
    </row>
    <row r="1132" spans="1:22" x14ac:dyDescent="0.3">
      <c r="A1132" t="s">
        <v>5305</v>
      </c>
      <c r="B1132" t="s">
        <v>1530</v>
      </c>
      <c r="C1132" t="s">
        <v>1531</v>
      </c>
      <c r="D1132" s="2">
        <v>46219</v>
      </c>
      <c r="E1132" t="s">
        <v>244</v>
      </c>
      <c r="F1132" t="s">
        <v>244</v>
      </c>
      <c r="G1132" t="s">
        <v>147</v>
      </c>
      <c r="H1132" t="s">
        <v>214</v>
      </c>
      <c r="I1132" t="s">
        <v>29</v>
      </c>
      <c r="J1132" t="s">
        <v>70</v>
      </c>
      <c r="K1132">
        <v>4</v>
      </c>
      <c r="L1132">
        <v>24</v>
      </c>
      <c r="M1132">
        <v>24900</v>
      </c>
      <c r="N1132">
        <v>2500</v>
      </c>
      <c r="O1132">
        <v>22400</v>
      </c>
      <c r="P1132">
        <v>20300</v>
      </c>
      <c r="Q1132">
        <v>2100</v>
      </c>
      <c r="R1132">
        <v>9.3800000000000008</v>
      </c>
      <c r="S1132" t="s">
        <v>79</v>
      </c>
      <c r="T1132">
        <v>1000</v>
      </c>
      <c r="U1132">
        <v>4.5999999999999996</v>
      </c>
      <c r="V1132" t="s">
        <v>114</v>
      </c>
    </row>
    <row r="1133" spans="1:22" x14ac:dyDescent="0.3">
      <c r="A1133" t="s">
        <v>4432</v>
      </c>
      <c r="B1133" t="s">
        <v>2163</v>
      </c>
      <c r="C1133" t="s">
        <v>2164</v>
      </c>
      <c r="D1133" s="2">
        <v>46220</v>
      </c>
      <c r="E1133" t="s">
        <v>161</v>
      </c>
      <c r="F1133" t="s">
        <v>161</v>
      </c>
      <c r="G1133" t="s">
        <v>103</v>
      </c>
      <c r="H1133" t="s">
        <v>28</v>
      </c>
      <c r="I1133" t="s">
        <v>69</v>
      </c>
      <c r="J1133" t="s">
        <v>30</v>
      </c>
      <c r="K1133">
        <v>9</v>
      </c>
      <c r="L1133">
        <v>52</v>
      </c>
      <c r="M1133">
        <v>168400</v>
      </c>
      <c r="N1133">
        <v>8400</v>
      </c>
      <c r="O1133">
        <v>160000</v>
      </c>
      <c r="P1133">
        <v>130500</v>
      </c>
      <c r="Q1133">
        <v>29500</v>
      </c>
      <c r="R1133">
        <v>18.440000000000001</v>
      </c>
      <c r="S1133" t="s">
        <v>39</v>
      </c>
      <c r="T1133">
        <v>23100</v>
      </c>
      <c r="U1133">
        <v>3.6</v>
      </c>
      <c r="V1133" t="s">
        <v>58</v>
      </c>
    </row>
    <row r="1134" spans="1:22" x14ac:dyDescent="0.3">
      <c r="A1134" t="s">
        <v>2530</v>
      </c>
      <c r="B1134" t="s">
        <v>1617</v>
      </c>
      <c r="C1134" t="s">
        <v>1618</v>
      </c>
      <c r="D1134" s="2">
        <v>46220</v>
      </c>
      <c r="E1134" t="s">
        <v>244</v>
      </c>
      <c r="F1134" t="s">
        <v>244</v>
      </c>
      <c r="G1134" t="s">
        <v>103</v>
      </c>
      <c r="H1134" t="s">
        <v>214</v>
      </c>
      <c r="I1134" t="s">
        <v>69</v>
      </c>
      <c r="J1134" t="s">
        <v>70</v>
      </c>
      <c r="K1134">
        <v>2</v>
      </c>
      <c r="L1134">
        <v>43</v>
      </c>
      <c r="M1134">
        <v>40100</v>
      </c>
      <c r="N1134">
        <v>0</v>
      </c>
      <c r="O1134">
        <v>40100</v>
      </c>
      <c r="P1134">
        <v>30300</v>
      </c>
      <c r="Q1134">
        <v>9800</v>
      </c>
      <c r="R1134">
        <v>24.44</v>
      </c>
      <c r="S1134" t="s">
        <v>126</v>
      </c>
      <c r="T1134">
        <v>2300</v>
      </c>
      <c r="U1134">
        <v>4</v>
      </c>
      <c r="V1134" t="s">
        <v>82</v>
      </c>
    </row>
    <row r="1135" spans="1:22" x14ac:dyDescent="0.3">
      <c r="A1135" t="s">
        <v>1911</v>
      </c>
      <c r="B1135" t="s">
        <v>1912</v>
      </c>
      <c r="C1135" t="s">
        <v>1913</v>
      </c>
      <c r="D1135" s="2">
        <v>46221</v>
      </c>
      <c r="E1135" t="s">
        <v>228</v>
      </c>
      <c r="F1135" t="s">
        <v>228</v>
      </c>
      <c r="G1135" t="s">
        <v>103</v>
      </c>
      <c r="H1135" t="s">
        <v>214</v>
      </c>
      <c r="I1135" t="s">
        <v>69</v>
      </c>
      <c r="J1135" t="s">
        <v>257</v>
      </c>
      <c r="K1135">
        <v>2</v>
      </c>
      <c r="L1135">
        <v>79</v>
      </c>
      <c r="M1135">
        <v>25000</v>
      </c>
      <c r="N1135">
        <v>5000</v>
      </c>
      <c r="O1135">
        <v>20000</v>
      </c>
      <c r="P1135">
        <v>19400</v>
      </c>
      <c r="Q1135">
        <v>600</v>
      </c>
      <c r="R1135">
        <v>3</v>
      </c>
      <c r="S1135" t="s">
        <v>126</v>
      </c>
      <c r="T1135">
        <v>2600</v>
      </c>
      <c r="U1135">
        <v>4</v>
      </c>
      <c r="V1135" t="s">
        <v>42</v>
      </c>
    </row>
    <row r="1136" spans="1:22" x14ac:dyDescent="0.3">
      <c r="A1136" t="s">
        <v>5017</v>
      </c>
      <c r="B1136" t="s">
        <v>3148</v>
      </c>
      <c r="C1136" t="s">
        <v>3149</v>
      </c>
      <c r="D1136" s="2">
        <v>46221</v>
      </c>
      <c r="E1136" t="s">
        <v>26</v>
      </c>
      <c r="F1136" t="s">
        <v>26</v>
      </c>
      <c r="G1136" t="s">
        <v>48</v>
      </c>
      <c r="H1136" t="s">
        <v>214</v>
      </c>
      <c r="I1136" t="s">
        <v>69</v>
      </c>
      <c r="J1136" t="s">
        <v>70</v>
      </c>
      <c r="K1136">
        <v>8</v>
      </c>
      <c r="L1136">
        <v>61</v>
      </c>
      <c r="M1136">
        <v>125400</v>
      </c>
      <c r="N1136">
        <v>18800</v>
      </c>
      <c r="O1136">
        <v>106600</v>
      </c>
      <c r="P1136">
        <v>60900</v>
      </c>
      <c r="Q1136">
        <v>45700</v>
      </c>
      <c r="R1136">
        <v>42.87</v>
      </c>
      <c r="S1136" t="s">
        <v>97</v>
      </c>
      <c r="T1136">
        <v>6900</v>
      </c>
      <c r="U1136">
        <v>4.4000000000000004</v>
      </c>
      <c r="V1136" t="s">
        <v>114</v>
      </c>
    </row>
    <row r="1137" spans="1:22" x14ac:dyDescent="0.3">
      <c r="A1137" t="s">
        <v>4441</v>
      </c>
      <c r="B1137" t="s">
        <v>1459</v>
      </c>
      <c r="C1137" t="s">
        <v>1460</v>
      </c>
      <c r="D1137" s="2">
        <v>46222</v>
      </c>
      <c r="E1137" t="s">
        <v>282</v>
      </c>
      <c r="F1137" t="s">
        <v>282</v>
      </c>
      <c r="G1137" t="s">
        <v>147</v>
      </c>
      <c r="H1137" t="s">
        <v>68</v>
      </c>
      <c r="I1137" t="s">
        <v>29</v>
      </c>
      <c r="J1137" t="s">
        <v>30</v>
      </c>
      <c r="K1137">
        <v>8</v>
      </c>
      <c r="L1137">
        <v>41</v>
      </c>
      <c r="M1137">
        <v>26100</v>
      </c>
      <c r="N1137">
        <v>3900</v>
      </c>
      <c r="O1137">
        <v>22200</v>
      </c>
      <c r="P1137">
        <v>20000</v>
      </c>
      <c r="Q1137">
        <v>2200</v>
      </c>
      <c r="R1137">
        <v>9.91</v>
      </c>
      <c r="S1137" t="s">
        <v>39</v>
      </c>
      <c r="T1137">
        <v>3200</v>
      </c>
      <c r="U1137">
        <v>4</v>
      </c>
      <c r="V1137" t="s">
        <v>114</v>
      </c>
    </row>
    <row r="1138" spans="1:22" x14ac:dyDescent="0.3">
      <c r="A1138" t="s">
        <v>1494</v>
      </c>
      <c r="B1138" t="s">
        <v>1060</v>
      </c>
      <c r="C1138" t="s">
        <v>1061</v>
      </c>
      <c r="D1138" s="2">
        <v>46222</v>
      </c>
      <c r="E1138" t="s">
        <v>188</v>
      </c>
      <c r="F1138" t="s">
        <v>188</v>
      </c>
      <c r="G1138" t="s">
        <v>27</v>
      </c>
      <c r="H1138" t="s">
        <v>268</v>
      </c>
      <c r="I1138" t="s">
        <v>69</v>
      </c>
      <c r="J1138" t="s">
        <v>30</v>
      </c>
      <c r="K1138">
        <v>4</v>
      </c>
      <c r="L1138">
        <v>33</v>
      </c>
      <c r="M1138">
        <v>23100</v>
      </c>
      <c r="N1138">
        <v>4600</v>
      </c>
      <c r="O1138">
        <v>18500</v>
      </c>
      <c r="P1138">
        <v>16700</v>
      </c>
      <c r="Q1138">
        <v>1800</v>
      </c>
      <c r="R1138">
        <v>9.73</v>
      </c>
      <c r="S1138" t="s">
        <v>58</v>
      </c>
      <c r="T1138">
        <v>3200</v>
      </c>
      <c r="U1138">
        <v>3.8</v>
      </c>
      <c r="V1138" t="s">
        <v>79</v>
      </c>
    </row>
    <row r="1139" spans="1:22" x14ac:dyDescent="0.3">
      <c r="A1139" t="s">
        <v>5448</v>
      </c>
      <c r="B1139" t="s">
        <v>3345</v>
      </c>
      <c r="C1139" t="s">
        <v>3346</v>
      </c>
      <c r="D1139" s="2">
        <v>46222</v>
      </c>
      <c r="E1139" t="s">
        <v>26</v>
      </c>
      <c r="F1139" t="s">
        <v>26</v>
      </c>
      <c r="G1139" t="s">
        <v>147</v>
      </c>
      <c r="H1139" t="s">
        <v>268</v>
      </c>
      <c r="I1139" t="s">
        <v>69</v>
      </c>
      <c r="J1139" t="s">
        <v>30</v>
      </c>
      <c r="K1139">
        <v>2</v>
      </c>
      <c r="L1139">
        <v>40</v>
      </c>
      <c r="M1139">
        <v>50300</v>
      </c>
      <c r="N1139">
        <v>7500</v>
      </c>
      <c r="O1139">
        <v>42800</v>
      </c>
      <c r="P1139">
        <v>25000</v>
      </c>
      <c r="Q1139">
        <v>17800</v>
      </c>
      <c r="R1139">
        <v>41.59</v>
      </c>
      <c r="S1139" t="s">
        <v>58</v>
      </c>
      <c r="T1139">
        <v>3400</v>
      </c>
      <c r="U1139">
        <v>4.5999999999999996</v>
      </c>
      <c r="V1139" t="s">
        <v>114</v>
      </c>
    </row>
    <row r="1140" spans="1:22" x14ac:dyDescent="0.3">
      <c r="A1140" t="s">
        <v>4804</v>
      </c>
      <c r="B1140" t="s">
        <v>2064</v>
      </c>
      <c r="C1140" t="s">
        <v>2065</v>
      </c>
      <c r="D1140" s="2">
        <v>46222</v>
      </c>
      <c r="E1140" t="s">
        <v>66</v>
      </c>
      <c r="F1140" t="s">
        <v>66</v>
      </c>
      <c r="G1140" t="s">
        <v>213</v>
      </c>
      <c r="H1140" t="s">
        <v>268</v>
      </c>
      <c r="I1140" t="s">
        <v>69</v>
      </c>
      <c r="J1140" t="s">
        <v>257</v>
      </c>
      <c r="K1140">
        <v>7</v>
      </c>
      <c r="L1140">
        <v>40</v>
      </c>
      <c r="M1140">
        <v>41700</v>
      </c>
      <c r="N1140">
        <v>2100</v>
      </c>
      <c r="O1140">
        <v>39600</v>
      </c>
      <c r="P1140">
        <v>29300</v>
      </c>
      <c r="Q1140">
        <v>10300</v>
      </c>
      <c r="R1140">
        <v>26.01</v>
      </c>
      <c r="S1140" t="s">
        <v>126</v>
      </c>
      <c r="T1140">
        <v>4600</v>
      </c>
      <c r="U1140">
        <v>3.7</v>
      </c>
      <c r="V1140" t="s">
        <v>82</v>
      </c>
    </row>
    <row r="1141" spans="1:22" x14ac:dyDescent="0.3">
      <c r="A1141" t="s">
        <v>1500</v>
      </c>
      <c r="B1141" t="s">
        <v>1501</v>
      </c>
      <c r="C1141" t="s">
        <v>1502</v>
      </c>
      <c r="D1141" s="2">
        <v>46222</v>
      </c>
      <c r="E1141" t="s">
        <v>188</v>
      </c>
      <c r="F1141" t="s">
        <v>188</v>
      </c>
      <c r="G1141" t="s">
        <v>48</v>
      </c>
      <c r="H1141" t="s">
        <v>88</v>
      </c>
      <c r="I1141" t="s">
        <v>29</v>
      </c>
      <c r="J1141" t="s">
        <v>70</v>
      </c>
      <c r="K1141">
        <v>4</v>
      </c>
      <c r="L1141">
        <v>71</v>
      </c>
      <c r="M1141">
        <v>32100</v>
      </c>
      <c r="N1141">
        <v>3200</v>
      </c>
      <c r="O1141">
        <v>28900</v>
      </c>
      <c r="P1141">
        <v>21800</v>
      </c>
      <c r="Q1141">
        <v>7100</v>
      </c>
      <c r="R1141">
        <v>24.57</v>
      </c>
      <c r="S1141" t="s">
        <v>39</v>
      </c>
      <c r="T1141">
        <v>4200</v>
      </c>
      <c r="U1141">
        <v>5</v>
      </c>
      <c r="V1141" t="s">
        <v>58</v>
      </c>
    </row>
    <row r="1142" spans="1:22" x14ac:dyDescent="0.3">
      <c r="A1142" t="s">
        <v>933</v>
      </c>
      <c r="B1142" t="s">
        <v>934</v>
      </c>
      <c r="C1142" t="s">
        <v>935</v>
      </c>
      <c r="D1142" s="2">
        <v>46222</v>
      </c>
      <c r="E1142" t="s">
        <v>134</v>
      </c>
      <c r="F1142" t="s">
        <v>134</v>
      </c>
      <c r="G1142" t="s">
        <v>27</v>
      </c>
      <c r="H1142" t="s">
        <v>268</v>
      </c>
      <c r="I1142" t="s">
        <v>69</v>
      </c>
      <c r="J1142" t="s">
        <v>30</v>
      </c>
      <c r="K1142">
        <v>4</v>
      </c>
      <c r="L1142">
        <v>32</v>
      </c>
      <c r="M1142">
        <v>137400</v>
      </c>
      <c r="N1142">
        <v>0</v>
      </c>
      <c r="O1142">
        <v>137400</v>
      </c>
      <c r="P1142">
        <v>67200</v>
      </c>
      <c r="Q1142">
        <v>70200</v>
      </c>
      <c r="R1142">
        <v>51.09</v>
      </c>
      <c r="S1142" t="s">
        <v>58</v>
      </c>
      <c r="T1142">
        <v>9800</v>
      </c>
      <c r="U1142">
        <v>3.9</v>
      </c>
      <c r="V1142" t="s">
        <v>82</v>
      </c>
    </row>
    <row r="1143" spans="1:22" x14ac:dyDescent="0.3">
      <c r="A1143" t="s">
        <v>1511</v>
      </c>
      <c r="B1143" t="s">
        <v>1512</v>
      </c>
      <c r="C1143" t="s">
        <v>1513</v>
      </c>
      <c r="D1143" s="2">
        <v>46222</v>
      </c>
      <c r="E1143" t="s">
        <v>134</v>
      </c>
      <c r="F1143" t="s">
        <v>134</v>
      </c>
      <c r="G1143" t="s">
        <v>27</v>
      </c>
      <c r="H1143" t="s">
        <v>68</v>
      </c>
      <c r="I1143" t="s">
        <v>69</v>
      </c>
      <c r="J1143" t="s">
        <v>30</v>
      </c>
      <c r="K1143">
        <v>6</v>
      </c>
      <c r="L1143">
        <v>15</v>
      </c>
      <c r="M1143">
        <v>46600</v>
      </c>
      <c r="N1143">
        <v>2300</v>
      </c>
      <c r="O1143">
        <v>44300</v>
      </c>
      <c r="P1143">
        <v>35000</v>
      </c>
      <c r="Q1143">
        <v>9300</v>
      </c>
      <c r="R1143">
        <v>20.99</v>
      </c>
      <c r="S1143" t="s">
        <v>182</v>
      </c>
      <c r="T1143">
        <v>3100</v>
      </c>
      <c r="U1143">
        <v>4.9000000000000004</v>
      </c>
      <c r="V1143" t="s">
        <v>58</v>
      </c>
    </row>
    <row r="1144" spans="1:22" x14ac:dyDescent="0.3">
      <c r="A1144" t="s">
        <v>786</v>
      </c>
      <c r="B1144" t="s">
        <v>787</v>
      </c>
      <c r="C1144" t="s">
        <v>788</v>
      </c>
      <c r="D1144" s="2">
        <v>46224</v>
      </c>
      <c r="E1144" t="s">
        <v>188</v>
      </c>
      <c r="F1144" t="s">
        <v>188</v>
      </c>
      <c r="G1144" t="s">
        <v>118</v>
      </c>
      <c r="H1144" t="s">
        <v>214</v>
      </c>
      <c r="I1144" t="s">
        <v>69</v>
      </c>
      <c r="J1144" t="s">
        <v>30</v>
      </c>
      <c r="K1144">
        <v>10</v>
      </c>
      <c r="L1144">
        <v>53</v>
      </c>
      <c r="M1144">
        <v>67700</v>
      </c>
      <c r="N1144">
        <v>0</v>
      </c>
      <c r="O1144">
        <v>67700</v>
      </c>
      <c r="P1144">
        <v>50700</v>
      </c>
      <c r="Q1144">
        <v>17000</v>
      </c>
      <c r="R1144">
        <v>25.11</v>
      </c>
      <c r="S1144" t="s">
        <v>126</v>
      </c>
      <c r="T1144">
        <v>9200</v>
      </c>
      <c r="U1144">
        <v>3.7</v>
      </c>
      <c r="V1144" t="s">
        <v>82</v>
      </c>
    </row>
    <row r="1145" spans="1:22" x14ac:dyDescent="0.3">
      <c r="A1145" t="s">
        <v>5248</v>
      </c>
      <c r="B1145" t="s">
        <v>3342</v>
      </c>
      <c r="C1145" t="s">
        <v>3343</v>
      </c>
      <c r="D1145" s="2">
        <v>46224</v>
      </c>
      <c r="E1145" t="s">
        <v>282</v>
      </c>
      <c r="F1145" t="s">
        <v>282</v>
      </c>
      <c r="G1145" t="s">
        <v>213</v>
      </c>
      <c r="H1145" t="s">
        <v>28</v>
      </c>
      <c r="I1145" t="s">
        <v>69</v>
      </c>
      <c r="J1145" t="s">
        <v>257</v>
      </c>
      <c r="K1145">
        <v>3</v>
      </c>
      <c r="L1145">
        <v>5</v>
      </c>
      <c r="M1145">
        <v>26800</v>
      </c>
      <c r="N1145">
        <v>5400</v>
      </c>
      <c r="O1145">
        <v>21400</v>
      </c>
      <c r="P1145">
        <v>18900</v>
      </c>
      <c r="Q1145">
        <v>2500</v>
      </c>
      <c r="R1145">
        <v>11.68</v>
      </c>
      <c r="S1145" t="s">
        <v>182</v>
      </c>
      <c r="T1145">
        <v>2500</v>
      </c>
      <c r="U1145">
        <v>4.0999999999999996</v>
      </c>
      <c r="V1145" t="s">
        <v>114</v>
      </c>
    </row>
    <row r="1146" spans="1:22" x14ac:dyDescent="0.3">
      <c r="A1146" t="s">
        <v>1860</v>
      </c>
      <c r="B1146" t="s">
        <v>1861</v>
      </c>
      <c r="C1146" t="s">
        <v>1862</v>
      </c>
      <c r="D1146" s="2">
        <v>46224</v>
      </c>
      <c r="E1146" t="s">
        <v>134</v>
      </c>
      <c r="F1146" t="s">
        <v>134</v>
      </c>
      <c r="G1146" t="s">
        <v>27</v>
      </c>
      <c r="H1146" t="s">
        <v>268</v>
      </c>
      <c r="I1146" t="s">
        <v>69</v>
      </c>
      <c r="J1146" t="s">
        <v>30</v>
      </c>
      <c r="K1146">
        <v>8</v>
      </c>
      <c r="L1146">
        <v>76</v>
      </c>
      <c r="M1146">
        <v>23800</v>
      </c>
      <c r="N1146">
        <v>1200</v>
      </c>
      <c r="O1146">
        <v>22600</v>
      </c>
      <c r="P1146">
        <v>14900</v>
      </c>
      <c r="Q1146">
        <v>7700</v>
      </c>
      <c r="R1146">
        <v>34.07</v>
      </c>
      <c r="S1146" t="s">
        <v>79</v>
      </c>
      <c r="T1146">
        <v>3400</v>
      </c>
      <c r="U1146">
        <v>5</v>
      </c>
      <c r="V1146" t="s">
        <v>42</v>
      </c>
    </row>
    <row r="1147" spans="1:22" x14ac:dyDescent="0.3">
      <c r="A1147" t="s">
        <v>4897</v>
      </c>
      <c r="B1147" t="s">
        <v>1333</v>
      </c>
      <c r="C1147" t="s">
        <v>1334</v>
      </c>
      <c r="D1147" s="2">
        <v>46224</v>
      </c>
      <c r="E1147" t="s">
        <v>188</v>
      </c>
      <c r="F1147" t="s">
        <v>188</v>
      </c>
      <c r="G1147" t="s">
        <v>118</v>
      </c>
      <c r="H1147" t="s">
        <v>49</v>
      </c>
      <c r="I1147" t="s">
        <v>69</v>
      </c>
      <c r="J1147" t="s">
        <v>70</v>
      </c>
      <c r="K1147">
        <v>3</v>
      </c>
      <c r="L1147">
        <v>31</v>
      </c>
      <c r="M1147">
        <v>27500</v>
      </c>
      <c r="N1147">
        <v>0</v>
      </c>
      <c r="O1147">
        <v>27500</v>
      </c>
      <c r="P1147">
        <v>16600</v>
      </c>
      <c r="Q1147">
        <v>10900</v>
      </c>
      <c r="R1147">
        <v>39.64</v>
      </c>
      <c r="S1147" t="s">
        <v>79</v>
      </c>
      <c r="T1147">
        <v>3800</v>
      </c>
      <c r="U1147">
        <v>3.7</v>
      </c>
      <c r="V1147" t="s">
        <v>58</v>
      </c>
    </row>
    <row r="1148" spans="1:22" x14ac:dyDescent="0.3">
      <c r="A1148" t="s">
        <v>4779</v>
      </c>
      <c r="B1148" t="s">
        <v>3020</v>
      </c>
      <c r="C1148" t="s">
        <v>3021</v>
      </c>
      <c r="D1148" s="2">
        <v>46224</v>
      </c>
      <c r="E1148" t="s">
        <v>134</v>
      </c>
      <c r="F1148" t="s">
        <v>134</v>
      </c>
      <c r="G1148" t="s">
        <v>147</v>
      </c>
      <c r="H1148" t="s">
        <v>49</v>
      </c>
      <c r="I1148" t="s">
        <v>29</v>
      </c>
      <c r="J1148" t="s">
        <v>30</v>
      </c>
      <c r="K1148">
        <v>5</v>
      </c>
      <c r="L1148">
        <v>51</v>
      </c>
      <c r="M1148">
        <v>69900</v>
      </c>
      <c r="N1148">
        <v>10500</v>
      </c>
      <c r="O1148">
        <v>59400</v>
      </c>
      <c r="P1148">
        <v>48100</v>
      </c>
      <c r="Q1148">
        <v>11300</v>
      </c>
      <c r="R1148">
        <v>19.02</v>
      </c>
      <c r="S1148" t="s">
        <v>97</v>
      </c>
      <c r="T1148">
        <v>3700</v>
      </c>
      <c r="U1148">
        <v>4.7</v>
      </c>
      <c r="V1148" t="s">
        <v>79</v>
      </c>
    </row>
    <row r="1149" spans="1:22" x14ac:dyDescent="0.3">
      <c r="A1149" t="s">
        <v>3621</v>
      </c>
      <c r="B1149" t="s">
        <v>501</v>
      </c>
      <c r="C1149" t="s">
        <v>502</v>
      </c>
      <c r="D1149" s="2">
        <v>46225</v>
      </c>
      <c r="E1149" t="s">
        <v>282</v>
      </c>
      <c r="F1149" t="s">
        <v>282</v>
      </c>
      <c r="G1149" t="s">
        <v>213</v>
      </c>
      <c r="H1149" t="s">
        <v>88</v>
      </c>
      <c r="I1149" t="s">
        <v>69</v>
      </c>
      <c r="J1149" t="s">
        <v>30</v>
      </c>
      <c r="K1149">
        <v>10</v>
      </c>
      <c r="L1149">
        <v>47</v>
      </c>
      <c r="M1149">
        <v>28000</v>
      </c>
      <c r="N1149">
        <v>4200</v>
      </c>
      <c r="O1149">
        <v>23800</v>
      </c>
      <c r="P1149">
        <v>21200</v>
      </c>
      <c r="Q1149">
        <v>2600</v>
      </c>
      <c r="R1149">
        <v>10.92</v>
      </c>
      <c r="S1149" t="s">
        <v>58</v>
      </c>
      <c r="T1149">
        <v>4000</v>
      </c>
      <c r="U1149">
        <v>4.8</v>
      </c>
      <c r="V1149" t="s">
        <v>82</v>
      </c>
    </row>
    <row r="1150" spans="1:22" x14ac:dyDescent="0.3">
      <c r="A1150" t="s">
        <v>1108</v>
      </c>
      <c r="B1150" t="s">
        <v>1109</v>
      </c>
      <c r="C1150" t="s">
        <v>1110</v>
      </c>
      <c r="D1150" s="2">
        <v>46225</v>
      </c>
      <c r="E1150" t="s">
        <v>134</v>
      </c>
      <c r="F1150" t="s">
        <v>134</v>
      </c>
      <c r="G1150" t="s">
        <v>118</v>
      </c>
      <c r="H1150" t="s">
        <v>68</v>
      </c>
      <c r="I1150" t="s">
        <v>29</v>
      </c>
      <c r="J1150" t="s">
        <v>30</v>
      </c>
      <c r="K1150">
        <v>5</v>
      </c>
      <c r="L1150">
        <v>24</v>
      </c>
      <c r="M1150">
        <v>73400</v>
      </c>
      <c r="N1150">
        <v>11000</v>
      </c>
      <c r="O1150">
        <v>62400</v>
      </c>
      <c r="P1150">
        <v>35700</v>
      </c>
      <c r="Q1150">
        <v>26700</v>
      </c>
      <c r="R1150">
        <v>42.79</v>
      </c>
      <c r="S1150" t="s">
        <v>182</v>
      </c>
      <c r="T1150">
        <v>6800</v>
      </c>
      <c r="U1150">
        <v>4.8</v>
      </c>
      <c r="V1150" t="s">
        <v>42</v>
      </c>
    </row>
    <row r="1151" spans="1:22" x14ac:dyDescent="0.3">
      <c r="A1151" t="s">
        <v>3929</v>
      </c>
      <c r="B1151" t="s">
        <v>698</v>
      </c>
      <c r="C1151" t="s">
        <v>699</v>
      </c>
      <c r="D1151" s="2">
        <v>46226</v>
      </c>
      <c r="E1151" t="s">
        <v>26</v>
      </c>
      <c r="F1151" t="s">
        <v>26</v>
      </c>
      <c r="G1151" t="s">
        <v>580</v>
      </c>
      <c r="H1151" t="s">
        <v>5470</v>
      </c>
      <c r="I1151" t="s">
        <v>29</v>
      </c>
      <c r="J1151" t="s">
        <v>30</v>
      </c>
      <c r="K1151">
        <v>4</v>
      </c>
      <c r="L1151">
        <v>33</v>
      </c>
      <c r="M1151">
        <v>77800</v>
      </c>
      <c r="N1151">
        <v>11700</v>
      </c>
      <c r="O1151">
        <v>66100</v>
      </c>
      <c r="P1151">
        <v>46500</v>
      </c>
      <c r="Q1151">
        <v>19600</v>
      </c>
      <c r="R1151">
        <v>29.65</v>
      </c>
      <c r="S1151" t="s">
        <v>97</v>
      </c>
      <c r="T1151">
        <v>3300</v>
      </c>
      <c r="U1151">
        <v>3.4</v>
      </c>
      <c r="V1151" t="s">
        <v>58</v>
      </c>
    </row>
    <row r="1152" spans="1:22" x14ac:dyDescent="0.3">
      <c r="A1152" t="s">
        <v>2639</v>
      </c>
      <c r="B1152" t="s">
        <v>2146</v>
      </c>
      <c r="C1152" t="s">
        <v>2147</v>
      </c>
      <c r="D1152" s="2">
        <v>46226</v>
      </c>
      <c r="E1152" t="s">
        <v>244</v>
      </c>
      <c r="F1152" t="s">
        <v>244</v>
      </c>
      <c r="G1152" t="s">
        <v>48</v>
      </c>
      <c r="H1152" t="s">
        <v>5470</v>
      </c>
      <c r="I1152" t="s">
        <v>69</v>
      </c>
      <c r="J1152" t="s">
        <v>30</v>
      </c>
      <c r="K1152">
        <v>4</v>
      </c>
      <c r="L1152">
        <v>30</v>
      </c>
      <c r="M1152">
        <v>46500</v>
      </c>
      <c r="N1152">
        <v>2300</v>
      </c>
      <c r="O1152">
        <v>44200</v>
      </c>
      <c r="P1152">
        <v>31400</v>
      </c>
      <c r="Q1152">
        <v>12800</v>
      </c>
      <c r="R1152">
        <v>28.96</v>
      </c>
      <c r="S1152" t="s">
        <v>126</v>
      </c>
      <c r="T1152">
        <v>2200</v>
      </c>
      <c r="U1152">
        <v>4.0999999999999996</v>
      </c>
      <c r="V1152" t="s">
        <v>114</v>
      </c>
    </row>
    <row r="1153" spans="1:22" x14ac:dyDescent="0.3">
      <c r="A1153" t="s">
        <v>3945</v>
      </c>
      <c r="B1153" t="s">
        <v>2856</v>
      </c>
      <c r="C1153" t="s">
        <v>2857</v>
      </c>
      <c r="D1153" s="2">
        <v>46227</v>
      </c>
      <c r="E1153" t="s">
        <v>228</v>
      </c>
      <c r="F1153" t="s">
        <v>228</v>
      </c>
      <c r="G1153" t="s">
        <v>27</v>
      </c>
      <c r="H1153" t="s">
        <v>88</v>
      </c>
      <c r="I1153" t="s">
        <v>69</v>
      </c>
      <c r="J1153" t="s">
        <v>70</v>
      </c>
      <c r="K1153">
        <v>9</v>
      </c>
      <c r="L1153">
        <v>79</v>
      </c>
      <c r="M1153">
        <v>15000</v>
      </c>
      <c r="N1153">
        <v>1500</v>
      </c>
      <c r="O1153">
        <v>13500</v>
      </c>
      <c r="P1153">
        <v>7400</v>
      </c>
      <c r="Q1153">
        <v>6100</v>
      </c>
      <c r="R1153">
        <v>45.19</v>
      </c>
      <c r="S1153" t="s">
        <v>97</v>
      </c>
      <c r="T1153">
        <v>1200</v>
      </c>
      <c r="U1153">
        <v>4</v>
      </c>
      <c r="V1153" t="s">
        <v>79</v>
      </c>
    </row>
    <row r="1154" spans="1:22" x14ac:dyDescent="0.3">
      <c r="A1154" t="s">
        <v>5310</v>
      </c>
      <c r="B1154" t="s">
        <v>1368</v>
      </c>
      <c r="C1154" t="s">
        <v>1369</v>
      </c>
      <c r="D1154" s="2">
        <v>46227</v>
      </c>
      <c r="E1154" t="s">
        <v>282</v>
      </c>
      <c r="F1154" t="s">
        <v>282</v>
      </c>
      <c r="G1154" t="s">
        <v>48</v>
      </c>
      <c r="H1154" t="s">
        <v>68</v>
      </c>
      <c r="I1154" t="s">
        <v>69</v>
      </c>
      <c r="J1154" t="s">
        <v>257</v>
      </c>
      <c r="K1154">
        <v>10</v>
      </c>
      <c r="L1154">
        <v>38</v>
      </c>
      <c r="M1154">
        <v>28400</v>
      </c>
      <c r="N1154">
        <v>1400</v>
      </c>
      <c r="O1154">
        <v>27000</v>
      </c>
      <c r="P1154">
        <v>19700</v>
      </c>
      <c r="Q1154">
        <v>7300</v>
      </c>
      <c r="R1154">
        <v>27.04</v>
      </c>
      <c r="S1154" t="s">
        <v>182</v>
      </c>
      <c r="T1154">
        <v>2500</v>
      </c>
      <c r="U1154">
        <v>4.3</v>
      </c>
      <c r="V1154" t="s">
        <v>58</v>
      </c>
    </row>
    <row r="1155" spans="1:22" x14ac:dyDescent="0.3">
      <c r="A1155" t="s">
        <v>1874</v>
      </c>
      <c r="B1155" t="s">
        <v>777</v>
      </c>
      <c r="C1155" t="s">
        <v>778</v>
      </c>
      <c r="D1155" s="2">
        <v>46228</v>
      </c>
      <c r="E1155" t="s">
        <v>161</v>
      </c>
      <c r="F1155" t="s">
        <v>161</v>
      </c>
      <c r="G1155" t="s">
        <v>147</v>
      </c>
      <c r="H1155" t="s">
        <v>5470</v>
      </c>
      <c r="I1155" t="s">
        <v>69</v>
      </c>
      <c r="J1155" t="s">
        <v>30</v>
      </c>
      <c r="K1155">
        <v>10</v>
      </c>
      <c r="L1155">
        <v>28</v>
      </c>
      <c r="M1155">
        <v>34900</v>
      </c>
      <c r="N1155">
        <v>0</v>
      </c>
      <c r="O1155">
        <v>34900</v>
      </c>
      <c r="P1155">
        <v>28000</v>
      </c>
      <c r="Q1155">
        <v>6900</v>
      </c>
      <c r="R1155">
        <v>19.77</v>
      </c>
      <c r="S1155" t="s">
        <v>126</v>
      </c>
      <c r="T1155">
        <v>4500</v>
      </c>
      <c r="U1155">
        <v>3.7</v>
      </c>
      <c r="V1155" t="s">
        <v>58</v>
      </c>
    </row>
    <row r="1156" spans="1:22" x14ac:dyDescent="0.3">
      <c r="A1156" t="s">
        <v>3824</v>
      </c>
      <c r="B1156" t="s">
        <v>3825</v>
      </c>
      <c r="C1156" t="s">
        <v>3826</v>
      </c>
      <c r="D1156" s="2">
        <v>46228</v>
      </c>
      <c r="E1156" t="s">
        <v>134</v>
      </c>
      <c r="F1156" t="s">
        <v>134</v>
      </c>
      <c r="G1156" t="s">
        <v>67</v>
      </c>
      <c r="H1156" t="s">
        <v>229</v>
      </c>
      <c r="I1156" t="s">
        <v>29</v>
      </c>
      <c r="J1156" t="s">
        <v>257</v>
      </c>
      <c r="K1156">
        <v>2</v>
      </c>
      <c r="L1156">
        <v>58</v>
      </c>
      <c r="M1156">
        <v>28900</v>
      </c>
      <c r="N1156">
        <v>0</v>
      </c>
      <c r="O1156">
        <v>28900</v>
      </c>
      <c r="P1156">
        <v>16700</v>
      </c>
      <c r="Q1156">
        <v>12200</v>
      </c>
      <c r="R1156">
        <v>42.21</v>
      </c>
      <c r="S1156" t="s">
        <v>97</v>
      </c>
      <c r="T1156">
        <v>1700</v>
      </c>
      <c r="U1156">
        <v>3.6</v>
      </c>
      <c r="V1156" t="s">
        <v>114</v>
      </c>
    </row>
    <row r="1157" spans="1:22" x14ac:dyDescent="0.3">
      <c r="A1157" t="s">
        <v>2980</v>
      </c>
      <c r="B1157" t="s">
        <v>1617</v>
      </c>
      <c r="C1157" t="s">
        <v>1618</v>
      </c>
      <c r="D1157" s="2">
        <v>46229</v>
      </c>
      <c r="E1157" t="s">
        <v>228</v>
      </c>
      <c r="F1157" t="s">
        <v>228</v>
      </c>
      <c r="G1157" t="s">
        <v>580</v>
      </c>
      <c r="H1157" t="s">
        <v>28</v>
      </c>
      <c r="I1157" t="s">
        <v>69</v>
      </c>
      <c r="J1157" t="s">
        <v>70</v>
      </c>
      <c r="K1157">
        <v>8</v>
      </c>
      <c r="L1157">
        <v>14</v>
      </c>
      <c r="M1157">
        <v>71500</v>
      </c>
      <c r="N1157">
        <v>7200</v>
      </c>
      <c r="O1157">
        <v>64300</v>
      </c>
      <c r="P1157">
        <v>34500</v>
      </c>
      <c r="Q1157">
        <v>29800</v>
      </c>
      <c r="R1157">
        <v>46.35</v>
      </c>
      <c r="S1157" t="s">
        <v>39</v>
      </c>
      <c r="T1157">
        <v>6300</v>
      </c>
      <c r="U1157">
        <v>3.2</v>
      </c>
      <c r="V1157" t="s">
        <v>114</v>
      </c>
    </row>
    <row r="1158" spans="1:22" x14ac:dyDescent="0.3">
      <c r="A1158" t="s">
        <v>3440</v>
      </c>
      <c r="B1158" t="s">
        <v>3028</v>
      </c>
      <c r="C1158" t="s">
        <v>3029</v>
      </c>
      <c r="D1158" s="2">
        <v>46229</v>
      </c>
      <c r="E1158" t="s">
        <v>134</v>
      </c>
      <c r="F1158" t="s">
        <v>134</v>
      </c>
      <c r="G1158" t="s">
        <v>103</v>
      </c>
      <c r="H1158" t="s">
        <v>68</v>
      </c>
      <c r="I1158" t="s">
        <v>29</v>
      </c>
      <c r="J1158" t="s">
        <v>70</v>
      </c>
      <c r="K1158">
        <v>2</v>
      </c>
      <c r="L1158">
        <v>34</v>
      </c>
      <c r="M1158">
        <v>38300</v>
      </c>
      <c r="N1158">
        <v>7700</v>
      </c>
      <c r="O1158">
        <v>30600</v>
      </c>
      <c r="P1158">
        <v>23100</v>
      </c>
      <c r="Q1158">
        <v>7500</v>
      </c>
      <c r="R1158">
        <v>24.51</v>
      </c>
      <c r="S1158" t="s">
        <v>126</v>
      </c>
      <c r="T1158">
        <v>2200</v>
      </c>
      <c r="U1158">
        <v>3.7</v>
      </c>
      <c r="V1158" t="s">
        <v>82</v>
      </c>
    </row>
    <row r="1159" spans="1:22" x14ac:dyDescent="0.3">
      <c r="A1159" t="s">
        <v>4873</v>
      </c>
      <c r="B1159" t="s">
        <v>312</v>
      </c>
      <c r="C1159" t="s">
        <v>313</v>
      </c>
      <c r="D1159" s="2">
        <v>46229</v>
      </c>
      <c r="E1159" t="s">
        <v>188</v>
      </c>
      <c r="F1159" t="s">
        <v>188</v>
      </c>
      <c r="G1159" t="s">
        <v>103</v>
      </c>
      <c r="H1159" t="s">
        <v>68</v>
      </c>
      <c r="I1159" t="s">
        <v>29</v>
      </c>
      <c r="J1159" t="s">
        <v>162</v>
      </c>
      <c r="K1159">
        <v>2</v>
      </c>
      <c r="L1159">
        <v>67</v>
      </c>
      <c r="M1159">
        <v>75400</v>
      </c>
      <c r="N1159">
        <v>0</v>
      </c>
      <c r="O1159">
        <v>75400</v>
      </c>
      <c r="P1159">
        <v>54900</v>
      </c>
      <c r="Q1159">
        <v>20500</v>
      </c>
      <c r="R1159">
        <v>27.19</v>
      </c>
      <c r="S1159" t="s">
        <v>182</v>
      </c>
      <c r="T1159">
        <v>4300</v>
      </c>
      <c r="U1159">
        <v>5</v>
      </c>
      <c r="V1159" t="s">
        <v>79</v>
      </c>
    </row>
    <row r="1160" spans="1:22" x14ac:dyDescent="0.3">
      <c r="A1160" t="s">
        <v>4370</v>
      </c>
      <c r="B1160" t="s">
        <v>2928</v>
      </c>
      <c r="C1160" t="s">
        <v>2929</v>
      </c>
      <c r="D1160" s="2">
        <v>46231</v>
      </c>
      <c r="E1160" t="s">
        <v>66</v>
      </c>
      <c r="F1160" t="s">
        <v>66</v>
      </c>
      <c r="G1160" t="s">
        <v>27</v>
      </c>
      <c r="H1160" t="s">
        <v>28</v>
      </c>
      <c r="I1160" t="s">
        <v>69</v>
      </c>
      <c r="J1160" t="s">
        <v>162</v>
      </c>
      <c r="K1160">
        <v>7</v>
      </c>
      <c r="L1160">
        <v>45</v>
      </c>
      <c r="M1160">
        <v>24600</v>
      </c>
      <c r="N1160">
        <v>4900</v>
      </c>
      <c r="O1160">
        <v>19700</v>
      </c>
      <c r="P1160">
        <v>19900</v>
      </c>
      <c r="Q1160">
        <v>-200</v>
      </c>
      <c r="R1160">
        <v>-1.02</v>
      </c>
      <c r="S1160" t="s">
        <v>39</v>
      </c>
      <c r="T1160">
        <v>3300</v>
      </c>
      <c r="U1160">
        <v>3.6</v>
      </c>
      <c r="V1160" t="s">
        <v>79</v>
      </c>
    </row>
    <row r="1161" spans="1:22" x14ac:dyDescent="0.3">
      <c r="A1161" t="s">
        <v>3207</v>
      </c>
      <c r="B1161" t="s">
        <v>3208</v>
      </c>
      <c r="C1161" t="s">
        <v>3209</v>
      </c>
      <c r="D1161" s="2">
        <v>46231</v>
      </c>
      <c r="E1161" t="s">
        <v>244</v>
      </c>
      <c r="F1161" t="s">
        <v>244</v>
      </c>
      <c r="G1161" t="s">
        <v>118</v>
      </c>
      <c r="H1161" t="s">
        <v>268</v>
      </c>
      <c r="I1161" t="s">
        <v>69</v>
      </c>
      <c r="J1161" t="s">
        <v>30</v>
      </c>
      <c r="K1161">
        <v>10</v>
      </c>
      <c r="L1161">
        <v>31</v>
      </c>
      <c r="M1161">
        <v>160100</v>
      </c>
      <c r="N1161">
        <v>32000</v>
      </c>
      <c r="O1161">
        <v>128100</v>
      </c>
      <c r="P1161">
        <v>85100</v>
      </c>
      <c r="Q1161">
        <v>43000</v>
      </c>
      <c r="R1161">
        <v>33.57</v>
      </c>
      <c r="S1161" t="s">
        <v>79</v>
      </c>
      <c r="T1161">
        <v>8400</v>
      </c>
      <c r="U1161">
        <v>5</v>
      </c>
      <c r="V1161" t="s">
        <v>82</v>
      </c>
    </row>
    <row r="1162" spans="1:22" x14ac:dyDescent="0.3">
      <c r="A1162" t="s">
        <v>4957</v>
      </c>
      <c r="B1162" t="s">
        <v>746</v>
      </c>
      <c r="C1162" t="s">
        <v>747</v>
      </c>
      <c r="D1162" s="2">
        <v>46231</v>
      </c>
      <c r="E1162" t="s">
        <v>134</v>
      </c>
      <c r="F1162" t="s">
        <v>134</v>
      </c>
      <c r="G1162" t="s">
        <v>147</v>
      </c>
      <c r="H1162" t="s">
        <v>49</v>
      </c>
      <c r="I1162" t="s">
        <v>69</v>
      </c>
      <c r="J1162" t="s">
        <v>30</v>
      </c>
      <c r="K1162">
        <v>5</v>
      </c>
      <c r="L1162">
        <v>29</v>
      </c>
      <c r="M1162">
        <v>40800</v>
      </c>
      <c r="N1162">
        <v>2000</v>
      </c>
      <c r="O1162">
        <v>38800</v>
      </c>
      <c r="P1162">
        <v>28300</v>
      </c>
      <c r="Q1162">
        <v>10500</v>
      </c>
      <c r="R1162">
        <v>27.06</v>
      </c>
      <c r="S1162" t="s">
        <v>58</v>
      </c>
      <c r="T1162">
        <v>6900</v>
      </c>
      <c r="U1162">
        <v>5</v>
      </c>
      <c r="V1162" t="s">
        <v>82</v>
      </c>
    </row>
    <row r="1163" spans="1:22" x14ac:dyDescent="0.3">
      <c r="A1163" t="s">
        <v>473</v>
      </c>
      <c r="B1163" t="s">
        <v>474</v>
      </c>
      <c r="C1163" t="s">
        <v>475</v>
      </c>
      <c r="D1163" s="2">
        <v>46231</v>
      </c>
      <c r="E1163" t="s">
        <v>26</v>
      </c>
      <c r="F1163" t="s">
        <v>26</v>
      </c>
      <c r="G1163" t="s">
        <v>103</v>
      </c>
      <c r="H1163" t="s">
        <v>68</v>
      </c>
      <c r="I1163" t="s">
        <v>69</v>
      </c>
      <c r="J1163" t="s">
        <v>257</v>
      </c>
      <c r="K1163">
        <v>8</v>
      </c>
      <c r="L1163">
        <v>53</v>
      </c>
      <c r="M1163">
        <v>55100</v>
      </c>
      <c r="N1163">
        <v>2800</v>
      </c>
      <c r="O1163">
        <v>52300</v>
      </c>
      <c r="P1163">
        <v>28200</v>
      </c>
      <c r="Q1163">
        <v>24100</v>
      </c>
      <c r="R1163">
        <v>46.08</v>
      </c>
      <c r="S1163" t="s">
        <v>79</v>
      </c>
      <c r="T1163">
        <v>6300</v>
      </c>
      <c r="U1163">
        <v>4.0999999999999996</v>
      </c>
      <c r="V1163" t="s">
        <v>79</v>
      </c>
    </row>
    <row r="1164" spans="1:22" x14ac:dyDescent="0.3">
      <c r="A1164" t="s">
        <v>4519</v>
      </c>
      <c r="B1164" t="s">
        <v>4016</v>
      </c>
      <c r="C1164" t="s">
        <v>4017</v>
      </c>
      <c r="D1164" s="2">
        <v>46232</v>
      </c>
      <c r="E1164" t="s">
        <v>161</v>
      </c>
      <c r="F1164" t="s">
        <v>161</v>
      </c>
      <c r="G1164" t="s">
        <v>213</v>
      </c>
      <c r="H1164" t="s">
        <v>229</v>
      </c>
      <c r="I1164" t="s">
        <v>29</v>
      </c>
      <c r="J1164" t="s">
        <v>30</v>
      </c>
      <c r="K1164">
        <v>5</v>
      </c>
      <c r="L1164">
        <v>37</v>
      </c>
      <c r="M1164">
        <v>52100</v>
      </c>
      <c r="N1164">
        <v>5200</v>
      </c>
      <c r="O1164">
        <v>46900</v>
      </c>
      <c r="P1164">
        <v>35900</v>
      </c>
      <c r="Q1164">
        <v>11000</v>
      </c>
      <c r="R1164">
        <v>23.45</v>
      </c>
      <c r="S1164" t="s">
        <v>97</v>
      </c>
      <c r="T1164">
        <v>2400</v>
      </c>
      <c r="U1164">
        <v>4.3</v>
      </c>
      <c r="V1164" t="s">
        <v>82</v>
      </c>
    </row>
    <row r="1165" spans="1:22" x14ac:dyDescent="0.3">
      <c r="A1165" t="s">
        <v>1541</v>
      </c>
      <c r="B1165" t="s">
        <v>302</v>
      </c>
      <c r="C1165" t="s">
        <v>303</v>
      </c>
      <c r="D1165" s="2">
        <v>46233</v>
      </c>
      <c r="E1165" t="s">
        <v>188</v>
      </c>
      <c r="F1165" t="s">
        <v>188</v>
      </c>
      <c r="G1165" t="s">
        <v>27</v>
      </c>
      <c r="H1165" t="s">
        <v>268</v>
      </c>
      <c r="I1165" t="s">
        <v>69</v>
      </c>
      <c r="J1165" t="s">
        <v>30</v>
      </c>
      <c r="K1165">
        <v>3</v>
      </c>
      <c r="L1165">
        <v>48</v>
      </c>
      <c r="M1165">
        <v>56700</v>
      </c>
      <c r="N1165">
        <v>2800</v>
      </c>
      <c r="O1165">
        <v>53900</v>
      </c>
      <c r="P1165">
        <v>41100</v>
      </c>
      <c r="Q1165">
        <v>12800</v>
      </c>
      <c r="R1165">
        <v>23.75</v>
      </c>
      <c r="S1165" t="s">
        <v>58</v>
      </c>
      <c r="T1165">
        <v>8200</v>
      </c>
      <c r="U1165">
        <v>4.4000000000000004</v>
      </c>
      <c r="V1165" t="s">
        <v>114</v>
      </c>
    </row>
    <row r="1166" spans="1:22" x14ac:dyDescent="0.3">
      <c r="A1166" t="s">
        <v>4922</v>
      </c>
      <c r="B1166" t="s">
        <v>606</v>
      </c>
      <c r="C1166" t="s">
        <v>607</v>
      </c>
      <c r="D1166" s="2">
        <v>46233</v>
      </c>
      <c r="E1166" t="s">
        <v>134</v>
      </c>
      <c r="F1166" t="s">
        <v>134</v>
      </c>
      <c r="G1166" t="s">
        <v>103</v>
      </c>
      <c r="H1166" t="s">
        <v>229</v>
      </c>
      <c r="I1166" t="s">
        <v>69</v>
      </c>
      <c r="J1166" t="s">
        <v>30</v>
      </c>
      <c r="K1166">
        <v>9</v>
      </c>
      <c r="L1166">
        <v>54</v>
      </c>
      <c r="M1166">
        <v>58600</v>
      </c>
      <c r="N1166">
        <v>0</v>
      </c>
      <c r="O1166">
        <v>58600</v>
      </c>
      <c r="P1166">
        <v>30500</v>
      </c>
      <c r="Q1166">
        <v>28100</v>
      </c>
      <c r="R1166">
        <v>47.95</v>
      </c>
      <c r="S1166" t="s">
        <v>58</v>
      </c>
      <c r="T1166">
        <v>8300</v>
      </c>
      <c r="U1166">
        <v>4.5999999999999996</v>
      </c>
      <c r="V1166" t="s">
        <v>79</v>
      </c>
    </row>
    <row r="1167" spans="1:22" x14ac:dyDescent="0.3">
      <c r="A1167" t="s">
        <v>4717</v>
      </c>
      <c r="B1167" t="s">
        <v>2017</v>
      </c>
      <c r="C1167" t="s">
        <v>2018</v>
      </c>
      <c r="D1167" s="2">
        <v>46234</v>
      </c>
      <c r="E1167" t="s">
        <v>188</v>
      </c>
      <c r="F1167" t="s">
        <v>188</v>
      </c>
      <c r="G1167" t="s">
        <v>67</v>
      </c>
      <c r="H1167" t="s">
        <v>268</v>
      </c>
      <c r="I1167" t="s">
        <v>69</v>
      </c>
      <c r="J1167" t="s">
        <v>30</v>
      </c>
      <c r="K1167">
        <v>7</v>
      </c>
      <c r="L1167">
        <v>26</v>
      </c>
      <c r="M1167">
        <v>64600</v>
      </c>
      <c r="N1167">
        <v>12900</v>
      </c>
      <c r="O1167">
        <v>51700</v>
      </c>
      <c r="P1167">
        <v>44700</v>
      </c>
      <c r="Q1167">
        <v>7000</v>
      </c>
      <c r="R1167">
        <v>13.54</v>
      </c>
      <c r="S1167" t="s">
        <v>58</v>
      </c>
      <c r="T1167">
        <v>8500</v>
      </c>
      <c r="U1167">
        <v>3.2</v>
      </c>
      <c r="V1167" t="s">
        <v>42</v>
      </c>
    </row>
    <row r="1168" spans="1:22" x14ac:dyDescent="0.3">
      <c r="A1168" t="s">
        <v>2335</v>
      </c>
      <c r="B1168" t="s">
        <v>2336</v>
      </c>
      <c r="C1168" t="s">
        <v>2337</v>
      </c>
      <c r="D1168" s="2">
        <v>46234</v>
      </c>
      <c r="E1168" t="s">
        <v>26</v>
      </c>
      <c r="F1168" t="s">
        <v>26</v>
      </c>
      <c r="G1168" t="s">
        <v>48</v>
      </c>
      <c r="H1168" t="s">
        <v>268</v>
      </c>
      <c r="I1168" t="s">
        <v>29</v>
      </c>
      <c r="J1168" t="s">
        <v>70</v>
      </c>
      <c r="K1168">
        <v>3</v>
      </c>
      <c r="L1168">
        <v>55</v>
      </c>
      <c r="M1168">
        <v>56100</v>
      </c>
      <c r="N1168">
        <v>0</v>
      </c>
      <c r="O1168">
        <v>56100</v>
      </c>
      <c r="P1168">
        <v>39100</v>
      </c>
      <c r="Q1168">
        <v>17000</v>
      </c>
      <c r="R1168">
        <v>30.3</v>
      </c>
      <c r="S1168" t="s">
        <v>58</v>
      </c>
      <c r="T1168">
        <v>5400</v>
      </c>
      <c r="U1168">
        <v>4.2</v>
      </c>
      <c r="V1168" t="s">
        <v>79</v>
      </c>
    </row>
    <row r="1169" spans="1:22" x14ac:dyDescent="0.3">
      <c r="A1169" t="s">
        <v>1268</v>
      </c>
      <c r="B1169" t="s">
        <v>1269</v>
      </c>
      <c r="C1169" t="s">
        <v>1270</v>
      </c>
      <c r="D1169" s="2">
        <v>46236</v>
      </c>
      <c r="E1169" t="s">
        <v>282</v>
      </c>
      <c r="F1169" t="s">
        <v>282</v>
      </c>
      <c r="G1169" t="s">
        <v>118</v>
      </c>
      <c r="H1169" t="s">
        <v>68</v>
      </c>
      <c r="I1169" t="s">
        <v>69</v>
      </c>
      <c r="J1169" t="s">
        <v>162</v>
      </c>
      <c r="K1169">
        <v>7</v>
      </c>
      <c r="L1169">
        <v>37</v>
      </c>
      <c r="M1169">
        <v>36900</v>
      </c>
      <c r="N1169">
        <v>7400</v>
      </c>
      <c r="O1169">
        <v>29500</v>
      </c>
      <c r="P1169">
        <v>15800</v>
      </c>
      <c r="Q1169">
        <v>13700</v>
      </c>
      <c r="R1169">
        <v>46.44</v>
      </c>
      <c r="S1169" t="s">
        <v>58</v>
      </c>
      <c r="T1169">
        <v>4200</v>
      </c>
      <c r="V1169" t="s">
        <v>42</v>
      </c>
    </row>
    <row r="1170" spans="1:22" x14ac:dyDescent="0.3">
      <c r="A1170" t="s">
        <v>3493</v>
      </c>
      <c r="B1170" t="s">
        <v>1960</v>
      </c>
      <c r="C1170" t="s">
        <v>1961</v>
      </c>
      <c r="D1170" s="2">
        <v>46236</v>
      </c>
      <c r="E1170" t="s">
        <v>228</v>
      </c>
      <c r="F1170" t="s">
        <v>228</v>
      </c>
      <c r="G1170" t="s">
        <v>580</v>
      </c>
      <c r="H1170" t="s">
        <v>88</v>
      </c>
      <c r="I1170" t="s">
        <v>69</v>
      </c>
      <c r="J1170" t="s">
        <v>30</v>
      </c>
      <c r="K1170">
        <v>9</v>
      </c>
      <c r="L1170">
        <v>75</v>
      </c>
      <c r="M1170">
        <v>78400</v>
      </c>
      <c r="N1170">
        <v>15700</v>
      </c>
      <c r="O1170">
        <v>62700</v>
      </c>
      <c r="P1170">
        <v>50800</v>
      </c>
      <c r="Q1170">
        <v>11900</v>
      </c>
      <c r="R1170">
        <v>18.98</v>
      </c>
      <c r="S1170" t="s">
        <v>79</v>
      </c>
      <c r="T1170">
        <v>3700</v>
      </c>
      <c r="U1170">
        <v>5</v>
      </c>
      <c r="V1170" t="s">
        <v>58</v>
      </c>
    </row>
    <row r="1171" spans="1:22" x14ac:dyDescent="0.3">
      <c r="A1171" t="s">
        <v>1823</v>
      </c>
      <c r="B1171" t="s">
        <v>1824</v>
      </c>
      <c r="C1171" t="s">
        <v>1825</v>
      </c>
      <c r="D1171" s="2">
        <v>46236</v>
      </c>
      <c r="E1171" t="s">
        <v>161</v>
      </c>
      <c r="F1171" t="s">
        <v>161</v>
      </c>
      <c r="G1171" t="s">
        <v>67</v>
      </c>
      <c r="H1171" t="s">
        <v>5470</v>
      </c>
      <c r="I1171" t="s">
        <v>69</v>
      </c>
      <c r="J1171" t="s">
        <v>257</v>
      </c>
      <c r="K1171">
        <v>5</v>
      </c>
      <c r="L1171">
        <v>45</v>
      </c>
      <c r="M1171">
        <v>30100</v>
      </c>
      <c r="N1171">
        <v>3000</v>
      </c>
      <c r="O1171">
        <v>27100</v>
      </c>
      <c r="P1171">
        <v>19400</v>
      </c>
      <c r="Q1171">
        <v>7700</v>
      </c>
      <c r="R1171">
        <v>28.41</v>
      </c>
      <c r="S1171" t="s">
        <v>97</v>
      </c>
      <c r="T1171">
        <v>4700</v>
      </c>
      <c r="U1171">
        <v>4.0999999999999996</v>
      </c>
      <c r="V1171" t="s">
        <v>42</v>
      </c>
    </row>
    <row r="1172" spans="1:22" x14ac:dyDescent="0.3">
      <c r="A1172" t="s">
        <v>5210</v>
      </c>
      <c r="B1172" t="s">
        <v>595</v>
      </c>
      <c r="C1172" t="s">
        <v>596</v>
      </c>
      <c r="D1172" s="2">
        <v>46236</v>
      </c>
      <c r="E1172" t="s">
        <v>134</v>
      </c>
      <c r="F1172" t="s">
        <v>134</v>
      </c>
      <c r="G1172" t="s">
        <v>213</v>
      </c>
      <c r="H1172" t="s">
        <v>214</v>
      </c>
      <c r="I1172" t="s">
        <v>29</v>
      </c>
      <c r="J1172" t="s">
        <v>30</v>
      </c>
      <c r="K1172">
        <v>2</v>
      </c>
      <c r="L1172">
        <v>46</v>
      </c>
      <c r="M1172">
        <v>76500</v>
      </c>
      <c r="N1172">
        <v>3800</v>
      </c>
      <c r="O1172">
        <v>72700</v>
      </c>
      <c r="P1172">
        <v>47500</v>
      </c>
      <c r="Q1172">
        <v>25200</v>
      </c>
      <c r="R1172">
        <v>34.659999999999997</v>
      </c>
      <c r="S1172" t="s">
        <v>39</v>
      </c>
      <c r="T1172">
        <v>9000</v>
      </c>
      <c r="U1172">
        <v>3.3</v>
      </c>
      <c r="V1172" t="s">
        <v>42</v>
      </c>
    </row>
    <row r="1173" spans="1:22" x14ac:dyDescent="0.3">
      <c r="A1173" t="s">
        <v>726</v>
      </c>
      <c r="B1173" t="s">
        <v>727</v>
      </c>
      <c r="C1173" t="s">
        <v>728</v>
      </c>
      <c r="D1173" s="2">
        <v>46237</v>
      </c>
      <c r="E1173" t="s">
        <v>26</v>
      </c>
      <c r="F1173" t="s">
        <v>26</v>
      </c>
      <c r="G1173" t="s">
        <v>118</v>
      </c>
      <c r="H1173" t="s">
        <v>5470</v>
      </c>
      <c r="I1173" t="s">
        <v>69</v>
      </c>
      <c r="J1173" t="s">
        <v>30</v>
      </c>
      <c r="K1173">
        <v>2</v>
      </c>
      <c r="L1173">
        <v>75</v>
      </c>
      <c r="M1173">
        <v>25500</v>
      </c>
      <c r="N1173">
        <v>2600</v>
      </c>
      <c r="O1173">
        <v>22900</v>
      </c>
      <c r="P1173">
        <v>17600</v>
      </c>
      <c r="Q1173">
        <v>5300</v>
      </c>
      <c r="R1173">
        <v>23.14</v>
      </c>
      <c r="S1173" t="s">
        <v>182</v>
      </c>
      <c r="T1173">
        <v>3900</v>
      </c>
      <c r="U1173">
        <v>3.3</v>
      </c>
      <c r="V1173" t="s">
        <v>82</v>
      </c>
    </row>
    <row r="1174" spans="1:22" x14ac:dyDescent="0.3">
      <c r="A1174" t="s">
        <v>4488</v>
      </c>
      <c r="B1174" t="s">
        <v>1173</v>
      </c>
      <c r="C1174" t="s">
        <v>1174</v>
      </c>
      <c r="D1174" s="2">
        <v>46238</v>
      </c>
      <c r="E1174" t="s">
        <v>26</v>
      </c>
      <c r="F1174" t="s">
        <v>26</v>
      </c>
      <c r="G1174" t="s">
        <v>213</v>
      </c>
      <c r="H1174" t="s">
        <v>268</v>
      </c>
      <c r="I1174" t="s">
        <v>29</v>
      </c>
      <c r="J1174" t="s">
        <v>30</v>
      </c>
      <c r="K1174">
        <v>9</v>
      </c>
      <c r="L1174">
        <v>58</v>
      </c>
      <c r="M1174">
        <v>103900</v>
      </c>
      <c r="N1174">
        <v>20800</v>
      </c>
      <c r="O1174">
        <v>83100</v>
      </c>
      <c r="P1174">
        <v>68700</v>
      </c>
      <c r="Q1174">
        <v>14400</v>
      </c>
      <c r="R1174">
        <v>17.329999999999998</v>
      </c>
      <c r="S1174" t="s">
        <v>182</v>
      </c>
      <c r="T1174">
        <v>7100</v>
      </c>
      <c r="U1174">
        <v>3.5</v>
      </c>
      <c r="V1174" t="s">
        <v>42</v>
      </c>
    </row>
    <row r="1175" spans="1:22" x14ac:dyDescent="0.3">
      <c r="A1175" t="s">
        <v>2650</v>
      </c>
      <c r="B1175" t="s">
        <v>130</v>
      </c>
      <c r="C1175" t="s">
        <v>131</v>
      </c>
      <c r="D1175" s="2">
        <v>46238</v>
      </c>
      <c r="E1175" t="s">
        <v>228</v>
      </c>
      <c r="F1175" t="s">
        <v>228</v>
      </c>
      <c r="G1175" t="s">
        <v>27</v>
      </c>
      <c r="H1175" t="s">
        <v>268</v>
      </c>
      <c r="I1175" t="s">
        <v>69</v>
      </c>
      <c r="J1175" t="s">
        <v>162</v>
      </c>
      <c r="K1175">
        <v>2</v>
      </c>
      <c r="L1175">
        <v>26</v>
      </c>
      <c r="M1175">
        <v>86500</v>
      </c>
      <c r="N1175">
        <v>0</v>
      </c>
      <c r="O1175">
        <v>86500</v>
      </c>
      <c r="P1175">
        <v>64900</v>
      </c>
      <c r="Q1175">
        <v>21600</v>
      </c>
      <c r="R1175">
        <v>24.97</v>
      </c>
      <c r="S1175" t="s">
        <v>97</v>
      </c>
      <c r="T1175">
        <v>14100</v>
      </c>
      <c r="U1175">
        <v>2.9</v>
      </c>
      <c r="V1175" t="s">
        <v>42</v>
      </c>
    </row>
    <row r="1176" spans="1:22" x14ac:dyDescent="0.3">
      <c r="A1176" t="s">
        <v>5345</v>
      </c>
      <c r="B1176" t="s">
        <v>1960</v>
      </c>
      <c r="C1176" t="s">
        <v>1961</v>
      </c>
      <c r="D1176" s="2">
        <v>46239</v>
      </c>
      <c r="E1176" t="s">
        <v>244</v>
      </c>
      <c r="F1176" t="s">
        <v>244</v>
      </c>
      <c r="G1176" t="s">
        <v>103</v>
      </c>
      <c r="H1176" t="s">
        <v>214</v>
      </c>
      <c r="I1176" t="s">
        <v>69</v>
      </c>
      <c r="J1176" t="s">
        <v>162</v>
      </c>
      <c r="K1176">
        <v>7</v>
      </c>
      <c r="L1176">
        <v>29</v>
      </c>
      <c r="M1176">
        <v>86300</v>
      </c>
      <c r="N1176">
        <v>12900</v>
      </c>
      <c r="O1176">
        <v>73400</v>
      </c>
      <c r="P1176">
        <v>53700</v>
      </c>
      <c r="Q1176">
        <v>19700</v>
      </c>
      <c r="R1176">
        <v>26.84</v>
      </c>
      <c r="S1176" t="s">
        <v>79</v>
      </c>
      <c r="T1176">
        <v>4800</v>
      </c>
      <c r="U1176">
        <v>4.0999999999999996</v>
      </c>
      <c r="V1176" t="s">
        <v>58</v>
      </c>
    </row>
    <row r="1177" spans="1:22" x14ac:dyDescent="0.3">
      <c r="A1177" t="s">
        <v>2172</v>
      </c>
      <c r="B1177" t="s">
        <v>2173</v>
      </c>
      <c r="C1177" t="s">
        <v>2174</v>
      </c>
      <c r="D1177" s="2">
        <v>46239</v>
      </c>
      <c r="E1177" t="s">
        <v>26</v>
      </c>
      <c r="F1177" t="s">
        <v>26</v>
      </c>
      <c r="G1177" t="s">
        <v>103</v>
      </c>
      <c r="H1177" t="s">
        <v>268</v>
      </c>
      <c r="I1177" t="s">
        <v>69</v>
      </c>
      <c r="J1177" t="s">
        <v>30</v>
      </c>
      <c r="K1177">
        <v>2</v>
      </c>
      <c r="L1177">
        <v>31</v>
      </c>
      <c r="M1177">
        <v>35500</v>
      </c>
      <c r="N1177">
        <v>5300</v>
      </c>
      <c r="O1177">
        <v>30200</v>
      </c>
      <c r="P1177">
        <v>17500</v>
      </c>
      <c r="Q1177">
        <v>12700</v>
      </c>
      <c r="R1177">
        <v>42.05</v>
      </c>
      <c r="S1177" t="s">
        <v>126</v>
      </c>
      <c r="T1177">
        <v>4300</v>
      </c>
      <c r="U1177">
        <v>3.7</v>
      </c>
      <c r="V1177" t="s">
        <v>82</v>
      </c>
    </row>
    <row r="1178" spans="1:22" x14ac:dyDescent="0.3">
      <c r="A1178" t="s">
        <v>3173</v>
      </c>
      <c r="B1178" t="s">
        <v>1251</v>
      </c>
      <c r="C1178" t="s">
        <v>1252</v>
      </c>
      <c r="D1178" s="2">
        <v>46240</v>
      </c>
      <c r="E1178" t="s">
        <v>188</v>
      </c>
      <c r="F1178" t="s">
        <v>188</v>
      </c>
      <c r="G1178" t="s">
        <v>118</v>
      </c>
      <c r="H1178" t="s">
        <v>229</v>
      </c>
      <c r="I1178" t="s">
        <v>69</v>
      </c>
      <c r="J1178" t="s">
        <v>70</v>
      </c>
      <c r="K1178">
        <v>2</v>
      </c>
      <c r="L1178">
        <v>50</v>
      </c>
      <c r="M1178">
        <v>68500</v>
      </c>
      <c r="N1178">
        <v>10300</v>
      </c>
      <c r="O1178">
        <v>58200</v>
      </c>
      <c r="P1178">
        <v>44100</v>
      </c>
      <c r="Q1178">
        <v>14100</v>
      </c>
      <c r="R1178">
        <v>24.23</v>
      </c>
      <c r="S1178" t="s">
        <v>97</v>
      </c>
      <c r="T1178">
        <v>9000</v>
      </c>
      <c r="U1178">
        <v>4.0999999999999996</v>
      </c>
      <c r="V1178" t="s">
        <v>79</v>
      </c>
    </row>
    <row r="1179" spans="1:22" x14ac:dyDescent="0.3">
      <c r="A1179" t="s">
        <v>4494</v>
      </c>
      <c r="B1179" t="s">
        <v>2453</v>
      </c>
      <c r="C1179" t="s">
        <v>2454</v>
      </c>
      <c r="D1179" s="2">
        <v>46240</v>
      </c>
      <c r="E1179" t="s">
        <v>228</v>
      </c>
      <c r="F1179" t="s">
        <v>228</v>
      </c>
      <c r="G1179" t="s">
        <v>48</v>
      </c>
      <c r="H1179" t="s">
        <v>28</v>
      </c>
      <c r="I1179" t="s">
        <v>29</v>
      </c>
      <c r="J1179" t="s">
        <v>30</v>
      </c>
      <c r="K1179">
        <v>9</v>
      </c>
      <c r="L1179">
        <v>47</v>
      </c>
      <c r="M1179">
        <v>46600</v>
      </c>
      <c r="N1179">
        <v>7000</v>
      </c>
      <c r="O1179">
        <v>39600</v>
      </c>
      <c r="P1179">
        <v>28900</v>
      </c>
      <c r="Q1179">
        <v>10700</v>
      </c>
      <c r="R1179">
        <v>27.02</v>
      </c>
      <c r="S1179" t="s">
        <v>182</v>
      </c>
      <c r="T1179">
        <v>5600</v>
      </c>
      <c r="U1179">
        <v>3.3</v>
      </c>
      <c r="V1179" t="s">
        <v>114</v>
      </c>
    </row>
    <row r="1180" spans="1:22" x14ac:dyDescent="0.3">
      <c r="A1180" t="s">
        <v>3785</v>
      </c>
      <c r="B1180" t="s">
        <v>839</v>
      </c>
      <c r="C1180" t="s">
        <v>840</v>
      </c>
      <c r="D1180" s="2">
        <v>46240</v>
      </c>
      <c r="E1180" t="s">
        <v>282</v>
      </c>
      <c r="F1180" t="s">
        <v>282</v>
      </c>
      <c r="G1180" t="s">
        <v>27</v>
      </c>
      <c r="H1180" t="s">
        <v>88</v>
      </c>
      <c r="I1180" t="s">
        <v>69</v>
      </c>
      <c r="J1180" t="s">
        <v>30</v>
      </c>
      <c r="K1180">
        <v>6</v>
      </c>
      <c r="L1180">
        <v>61</v>
      </c>
      <c r="M1180">
        <v>21800</v>
      </c>
      <c r="N1180">
        <v>3300</v>
      </c>
      <c r="O1180">
        <v>18500</v>
      </c>
      <c r="P1180">
        <v>12200</v>
      </c>
      <c r="Q1180">
        <v>6300</v>
      </c>
      <c r="R1180">
        <v>34.049999999999997</v>
      </c>
      <c r="S1180" t="s">
        <v>39</v>
      </c>
      <c r="T1180">
        <v>3000</v>
      </c>
      <c r="U1180">
        <v>3.8</v>
      </c>
      <c r="V1180" t="s">
        <v>79</v>
      </c>
    </row>
    <row r="1181" spans="1:22" x14ac:dyDescent="0.3">
      <c r="A1181" t="s">
        <v>3246</v>
      </c>
      <c r="B1181" t="s">
        <v>1899</v>
      </c>
      <c r="C1181" t="s">
        <v>1900</v>
      </c>
      <c r="D1181" s="2">
        <v>46241</v>
      </c>
      <c r="E1181" t="s">
        <v>188</v>
      </c>
      <c r="F1181" t="s">
        <v>188</v>
      </c>
      <c r="G1181" t="s">
        <v>118</v>
      </c>
      <c r="H1181" t="s">
        <v>5470</v>
      </c>
      <c r="I1181" t="s">
        <v>29</v>
      </c>
      <c r="J1181" t="s">
        <v>162</v>
      </c>
      <c r="K1181">
        <v>6</v>
      </c>
      <c r="L1181">
        <v>56</v>
      </c>
      <c r="M1181">
        <v>110200</v>
      </c>
      <c r="N1181">
        <v>5500</v>
      </c>
      <c r="O1181">
        <v>104700</v>
      </c>
      <c r="P1181">
        <v>53500</v>
      </c>
      <c r="Q1181">
        <v>51200</v>
      </c>
      <c r="R1181">
        <v>48.9</v>
      </c>
      <c r="S1181" t="s">
        <v>182</v>
      </c>
      <c r="T1181">
        <v>7600</v>
      </c>
      <c r="U1181">
        <v>3.4</v>
      </c>
      <c r="V1181" t="s">
        <v>42</v>
      </c>
    </row>
    <row r="1182" spans="1:22" x14ac:dyDescent="0.3">
      <c r="A1182" t="s">
        <v>3806</v>
      </c>
      <c r="B1182" t="s">
        <v>2302</v>
      </c>
      <c r="C1182" t="s">
        <v>2303</v>
      </c>
      <c r="D1182" s="2">
        <v>46241</v>
      </c>
      <c r="E1182" t="s">
        <v>134</v>
      </c>
      <c r="F1182" t="s">
        <v>134</v>
      </c>
      <c r="G1182" t="s">
        <v>27</v>
      </c>
      <c r="H1182" t="s">
        <v>28</v>
      </c>
      <c r="I1182" t="s">
        <v>29</v>
      </c>
      <c r="J1182" t="s">
        <v>30</v>
      </c>
      <c r="K1182">
        <v>8</v>
      </c>
      <c r="L1182">
        <v>27</v>
      </c>
      <c r="M1182">
        <v>40500</v>
      </c>
      <c r="N1182">
        <v>0</v>
      </c>
      <c r="O1182">
        <v>40500</v>
      </c>
      <c r="P1182">
        <v>20700</v>
      </c>
      <c r="Q1182">
        <v>19800</v>
      </c>
      <c r="R1182">
        <v>48.89</v>
      </c>
      <c r="S1182" t="s">
        <v>58</v>
      </c>
      <c r="T1182">
        <v>7000</v>
      </c>
      <c r="U1182">
        <v>5</v>
      </c>
      <c r="V1182" t="s">
        <v>79</v>
      </c>
    </row>
    <row r="1183" spans="1:22" x14ac:dyDescent="0.3">
      <c r="A1183" t="s">
        <v>3576</v>
      </c>
      <c r="B1183" t="s">
        <v>3577</v>
      </c>
      <c r="C1183" t="s">
        <v>3578</v>
      </c>
      <c r="D1183" s="2">
        <v>46241</v>
      </c>
      <c r="E1183" t="s">
        <v>134</v>
      </c>
      <c r="F1183" t="s">
        <v>134</v>
      </c>
      <c r="G1183" t="s">
        <v>103</v>
      </c>
      <c r="H1183" t="s">
        <v>49</v>
      </c>
      <c r="I1183" t="s">
        <v>69</v>
      </c>
      <c r="J1183" t="s">
        <v>30</v>
      </c>
      <c r="K1183">
        <v>3</v>
      </c>
      <c r="L1183">
        <v>25</v>
      </c>
      <c r="M1183">
        <v>72100</v>
      </c>
      <c r="N1183">
        <v>0</v>
      </c>
      <c r="O1183">
        <v>72100</v>
      </c>
      <c r="P1183">
        <v>56600</v>
      </c>
      <c r="Q1183">
        <v>15500</v>
      </c>
      <c r="R1183">
        <v>21.5</v>
      </c>
      <c r="S1183" t="s">
        <v>126</v>
      </c>
      <c r="T1183">
        <v>12400</v>
      </c>
      <c r="U1183">
        <v>3.4</v>
      </c>
      <c r="V1183" t="s">
        <v>114</v>
      </c>
    </row>
    <row r="1184" spans="1:22" x14ac:dyDescent="0.3">
      <c r="A1184" t="s">
        <v>5370</v>
      </c>
      <c r="B1184" t="s">
        <v>2293</v>
      </c>
      <c r="C1184" t="s">
        <v>2294</v>
      </c>
      <c r="D1184" s="2">
        <v>46242</v>
      </c>
      <c r="E1184" t="s">
        <v>282</v>
      </c>
      <c r="F1184" t="s">
        <v>282</v>
      </c>
      <c r="G1184" t="s">
        <v>103</v>
      </c>
      <c r="H1184" t="s">
        <v>5470</v>
      </c>
      <c r="I1184" t="s">
        <v>29</v>
      </c>
      <c r="J1184" t="s">
        <v>30</v>
      </c>
      <c r="K1184">
        <v>2</v>
      </c>
      <c r="L1184">
        <v>48</v>
      </c>
      <c r="M1184">
        <v>41800</v>
      </c>
      <c r="N1184">
        <v>8400</v>
      </c>
      <c r="O1184">
        <v>33400</v>
      </c>
      <c r="P1184">
        <v>29200</v>
      </c>
      <c r="Q1184">
        <v>4200</v>
      </c>
      <c r="R1184">
        <v>12.57</v>
      </c>
      <c r="S1184" t="s">
        <v>126</v>
      </c>
      <c r="T1184">
        <v>5700</v>
      </c>
      <c r="U1184">
        <v>4</v>
      </c>
      <c r="V1184" t="s">
        <v>42</v>
      </c>
    </row>
    <row r="1185" spans="1:22" x14ac:dyDescent="0.3">
      <c r="A1185" t="s">
        <v>4795</v>
      </c>
      <c r="B1185" t="s">
        <v>4210</v>
      </c>
      <c r="C1185" t="s">
        <v>4211</v>
      </c>
      <c r="D1185" s="2">
        <v>46242</v>
      </c>
      <c r="E1185" t="s">
        <v>66</v>
      </c>
      <c r="F1185" t="s">
        <v>66</v>
      </c>
      <c r="G1185" t="s">
        <v>118</v>
      </c>
      <c r="H1185" t="s">
        <v>268</v>
      </c>
      <c r="I1185" t="s">
        <v>69</v>
      </c>
      <c r="J1185" t="s">
        <v>30</v>
      </c>
      <c r="K1185">
        <v>8</v>
      </c>
      <c r="L1185">
        <v>13</v>
      </c>
      <c r="M1185">
        <v>92500</v>
      </c>
      <c r="N1185">
        <v>9200</v>
      </c>
      <c r="O1185">
        <v>83300</v>
      </c>
      <c r="P1185">
        <v>40700</v>
      </c>
      <c r="Q1185">
        <v>42600</v>
      </c>
      <c r="R1185">
        <v>51.14</v>
      </c>
      <c r="S1185" t="s">
        <v>97</v>
      </c>
      <c r="T1185">
        <v>7300</v>
      </c>
      <c r="U1185">
        <v>4.0999999999999996</v>
      </c>
      <c r="V1185" t="s">
        <v>82</v>
      </c>
    </row>
    <row r="1186" spans="1:22" x14ac:dyDescent="0.3">
      <c r="A1186" t="s">
        <v>2297</v>
      </c>
      <c r="B1186" t="s">
        <v>669</v>
      </c>
      <c r="C1186" t="s">
        <v>670</v>
      </c>
      <c r="D1186" s="2">
        <v>46243</v>
      </c>
      <c r="E1186" t="s">
        <v>244</v>
      </c>
      <c r="F1186" t="s">
        <v>244</v>
      </c>
      <c r="G1186" t="s">
        <v>147</v>
      </c>
      <c r="H1186" t="s">
        <v>229</v>
      </c>
      <c r="I1186" t="s">
        <v>69</v>
      </c>
      <c r="J1186" t="s">
        <v>70</v>
      </c>
      <c r="K1186">
        <v>10</v>
      </c>
      <c r="L1186">
        <v>52</v>
      </c>
      <c r="M1186">
        <v>32200</v>
      </c>
      <c r="N1186">
        <v>0</v>
      </c>
      <c r="O1186">
        <v>32200</v>
      </c>
      <c r="P1186">
        <v>17200</v>
      </c>
      <c r="Q1186">
        <v>15000</v>
      </c>
      <c r="R1186">
        <v>46.58</v>
      </c>
      <c r="S1186" t="s">
        <v>39</v>
      </c>
      <c r="T1186">
        <v>1800</v>
      </c>
      <c r="U1186">
        <v>4.2</v>
      </c>
      <c r="V1186" t="s">
        <v>79</v>
      </c>
    </row>
    <row r="1187" spans="1:22" x14ac:dyDescent="0.3">
      <c r="A1187" t="s">
        <v>3334</v>
      </c>
      <c r="B1187" t="s">
        <v>1232</v>
      </c>
      <c r="C1187" t="s">
        <v>1233</v>
      </c>
      <c r="D1187" s="2">
        <v>46243</v>
      </c>
      <c r="E1187" t="s">
        <v>26</v>
      </c>
      <c r="F1187" t="s">
        <v>26</v>
      </c>
      <c r="G1187" t="s">
        <v>580</v>
      </c>
      <c r="H1187" t="s">
        <v>68</v>
      </c>
      <c r="I1187" t="s">
        <v>29</v>
      </c>
      <c r="J1187" t="s">
        <v>70</v>
      </c>
      <c r="K1187">
        <v>6</v>
      </c>
      <c r="L1187">
        <v>59</v>
      </c>
      <c r="M1187">
        <v>115200</v>
      </c>
      <c r="N1187">
        <v>23000</v>
      </c>
      <c r="O1187">
        <v>92200</v>
      </c>
      <c r="P1187">
        <v>49100</v>
      </c>
      <c r="Q1187">
        <v>43100</v>
      </c>
      <c r="R1187">
        <v>46.75</v>
      </c>
      <c r="S1187" t="s">
        <v>97</v>
      </c>
      <c r="T1187">
        <v>12500</v>
      </c>
      <c r="U1187">
        <v>4</v>
      </c>
      <c r="V1187" t="s">
        <v>42</v>
      </c>
    </row>
    <row r="1188" spans="1:22" x14ac:dyDescent="0.3">
      <c r="A1188" t="s">
        <v>3862</v>
      </c>
      <c r="B1188" t="s">
        <v>3863</v>
      </c>
      <c r="C1188" t="s">
        <v>3864</v>
      </c>
      <c r="D1188" s="2">
        <v>46244</v>
      </c>
      <c r="E1188" t="s">
        <v>282</v>
      </c>
      <c r="F1188" t="s">
        <v>282</v>
      </c>
      <c r="G1188" t="s">
        <v>103</v>
      </c>
      <c r="H1188" t="s">
        <v>229</v>
      </c>
      <c r="I1188" t="s">
        <v>29</v>
      </c>
      <c r="J1188" t="s">
        <v>30</v>
      </c>
      <c r="K1188">
        <v>2</v>
      </c>
      <c r="L1188">
        <v>6</v>
      </c>
      <c r="M1188">
        <v>36200</v>
      </c>
      <c r="N1188">
        <v>5400</v>
      </c>
      <c r="O1188">
        <v>30800</v>
      </c>
      <c r="P1188">
        <v>29100</v>
      </c>
      <c r="Q1188">
        <v>1700</v>
      </c>
      <c r="R1188">
        <v>5.52</v>
      </c>
      <c r="S1188" t="s">
        <v>126</v>
      </c>
      <c r="T1188">
        <v>3700</v>
      </c>
      <c r="U1188">
        <v>3.5</v>
      </c>
      <c r="V1188" t="s">
        <v>82</v>
      </c>
    </row>
    <row r="1189" spans="1:22" x14ac:dyDescent="0.3">
      <c r="A1189" t="s">
        <v>3637</v>
      </c>
      <c r="B1189" t="s">
        <v>3638</v>
      </c>
      <c r="C1189" t="s">
        <v>3639</v>
      </c>
      <c r="D1189" s="2">
        <v>46244</v>
      </c>
      <c r="E1189" t="s">
        <v>161</v>
      </c>
      <c r="F1189" t="s">
        <v>161</v>
      </c>
      <c r="G1189" t="s">
        <v>103</v>
      </c>
      <c r="H1189" t="s">
        <v>229</v>
      </c>
      <c r="I1189" t="s">
        <v>29</v>
      </c>
      <c r="J1189" t="s">
        <v>70</v>
      </c>
      <c r="K1189">
        <v>3</v>
      </c>
      <c r="L1189">
        <v>40</v>
      </c>
      <c r="M1189">
        <v>65300</v>
      </c>
      <c r="N1189">
        <v>0</v>
      </c>
      <c r="O1189">
        <v>65300</v>
      </c>
      <c r="P1189">
        <v>28300</v>
      </c>
      <c r="Q1189">
        <v>37000</v>
      </c>
      <c r="R1189">
        <v>56.66</v>
      </c>
      <c r="S1189" t="s">
        <v>58</v>
      </c>
      <c r="T1189">
        <v>6800</v>
      </c>
      <c r="V1189" t="s">
        <v>58</v>
      </c>
    </row>
    <row r="1190" spans="1:22" x14ac:dyDescent="0.3">
      <c r="A1190" t="s">
        <v>2790</v>
      </c>
      <c r="B1190" t="s">
        <v>44</v>
      </c>
      <c r="C1190" t="s">
        <v>45</v>
      </c>
      <c r="D1190" s="2">
        <v>46245</v>
      </c>
      <c r="E1190" t="s">
        <v>188</v>
      </c>
      <c r="F1190" t="s">
        <v>188</v>
      </c>
      <c r="G1190" t="s">
        <v>580</v>
      </c>
      <c r="H1190" t="s">
        <v>49</v>
      </c>
      <c r="I1190" t="s">
        <v>29</v>
      </c>
      <c r="J1190" t="s">
        <v>30</v>
      </c>
      <c r="K1190">
        <v>6</v>
      </c>
      <c r="L1190">
        <v>43</v>
      </c>
      <c r="M1190">
        <v>72500</v>
      </c>
      <c r="N1190">
        <v>7200</v>
      </c>
      <c r="O1190">
        <v>65300</v>
      </c>
      <c r="P1190">
        <v>54600</v>
      </c>
      <c r="Q1190">
        <v>10700</v>
      </c>
      <c r="R1190">
        <v>16.39</v>
      </c>
      <c r="S1190" t="s">
        <v>79</v>
      </c>
      <c r="T1190">
        <v>7500</v>
      </c>
      <c r="U1190">
        <v>4.3</v>
      </c>
      <c r="V1190" t="s">
        <v>114</v>
      </c>
    </row>
    <row r="1191" spans="1:22" x14ac:dyDescent="0.3">
      <c r="A1191" t="s">
        <v>715</v>
      </c>
      <c r="B1191" t="s">
        <v>716</v>
      </c>
      <c r="C1191" t="s">
        <v>717</v>
      </c>
      <c r="D1191" s="2">
        <v>46247</v>
      </c>
      <c r="E1191" t="s">
        <v>244</v>
      </c>
      <c r="F1191" t="s">
        <v>244</v>
      </c>
      <c r="G1191" t="s">
        <v>27</v>
      </c>
      <c r="H1191" t="s">
        <v>49</v>
      </c>
      <c r="I1191" t="s">
        <v>29</v>
      </c>
      <c r="J1191" t="s">
        <v>30</v>
      </c>
      <c r="K1191">
        <v>8</v>
      </c>
      <c r="L1191">
        <v>30</v>
      </c>
      <c r="M1191">
        <v>76200</v>
      </c>
      <c r="N1191">
        <v>7600</v>
      </c>
      <c r="O1191">
        <v>68600</v>
      </c>
      <c r="P1191">
        <v>61200</v>
      </c>
      <c r="Q1191">
        <v>7400</v>
      </c>
      <c r="R1191">
        <v>10.79</v>
      </c>
      <c r="S1191" t="s">
        <v>39</v>
      </c>
      <c r="T1191">
        <v>8300</v>
      </c>
      <c r="U1191">
        <v>3.6</v>
      </c>
      <c r="V1191" t="s">
        <v>82</v>
      </c>
    </row>
    <row r="1192" spans="1:22" x14ac:dyDescent="0.3">
      <c r="A1192" t="s">
        <v>4096</v>
      </c>
      <c r="B1192" t="s">
        <v>924</v>
      </c>
      <c r="C1192" t="s">
        <v>925</v>
      </c>
      <c r="D1192" s="2">
        <v>46247</v>
      </c>
      <c r="E1192" t="s">
        <v>282</v>
      </c>
      <c r="F1192" t="s">
        <v>282</v>
      </c>
      <c r="G1192" t="s">
        <v>580</v>
      </c>
      <c r="H1192" t="s">
        <v>229</v>
      </c>
      <c r="I1192" t="s">
        <v>69</v>
      </c>
      <c r="J1192" t="s">
        <v>70</v>
      </c>
      <c r="K1192">
        <v>2</v>
      </c>
      <c r="L1192">
        <v>68</v>
      </c>
      <c r="M1192">
        <v>35400</v>
      </c>
      <c r="N1192">
        <v>0</v>
      </c>
      <c r="O1192">
        <v>35400</v>
      </c>
      <c r="P1192">
        <v>18200</v>
      </c>
      <c r="Q1192">
        <v>17200</v>
      </c>
      <c r="R1192">
        <v>48.59</v>
      </c>
      <c r="S1192" t="s">
        <v>97</v>
      </c>
      <c r="T1192">
        <v>2300</v>
      </c>
      <c r="U1192">
        <v>3.6</v>
      </c>
      <c r="V1192" t="s">
        <v>82</v>
      </c>
    </row>
    <row r="1193" spans="1:22" x14ac:dyDescent="0.3">
      <c r="A1193" t="s">
        <v>5312</v>
      </c>
      <c r="B1193" t="s">
        <v>3448</v>
      </c>
      <c r="C1193" t="s">
        <v>3449</v>
      </c>
      <c r="D1193" s="2">
        <v>46247</v>
      </c>
      <c r="E1193" t="s">
        <v>161</v>
      </c>
      <c r="F1193" t="s">
        <v>161</v>
      </c>
      <c r="G1193" t="s">
        <v>118</v>
      </c>
      <c r="H1193" t="s">
        <v>268</v>
      </c>
      <c r="I1193" t="s">
        <v>69</v>
      </c>
      <c r="J1193" t="s">
        <v>70</v>
      </c>
      <c r="K1193">
        <v>8</v>
      </c>
      <c r="L1193">
        <v>9</v>
      </c>
      <c r="M1193">
        <v>88400</v>
      </c>
      <c r="N1193">
        <v>4400</v>
      </c>
      <c r="O1193">
        <v>84000</v>
      </c>
      <c r="P1193">
        <v>48400</v>
      </c>
      <c r="Q1193">
        <v>35600</v>
      </c>
      <c r="R1193">
        <v>42.38</v>
      </c>
      <c r="S1193" t="s">
        <v>58</v>
      </c>
      <c r="T1193">
        <v>14100</v>
      </c>
      <c r="U1193">
        <v>5</v>
      </c>
      <c r="V1193" t="s">
        <v>82</v>
      </c>
    </row>
    <row r="1194" spans="1:22" x14ac:dyDescent="0.3">
      <c r="A1194" t="s">
        <v>4263</v>
      </c>
      <c r="B1194" t="s">
        <v>4264</v>
      </c>
      <c r="C1194" t="s">
        <v>4265</v>
      </c>
      <c r="D1194" s="2">
        <v>46247</v>
      </c>
      <c r="E1194" t="s">
        <v>244</v>
      </c>
      <c r="F1194" t="s">
        <v>244</v>
      </c>
      <c r="G1194" t="s">
        <v>48</v>
      </c>
      <c r="H1194" t="s">
        <v>28</v>
      </c>
      <c r="I1194" t="s">
        <v>69</v>
      </c>
      <c r="J1194" t="s">
        <v>70</v>
      </c>
      <c r="K1194">
        <v>3</v>
      </c>
      <c r="L1194">
        <v>32</v>
      </c>
      <c r="M1194">
        <v>32000</v>
      </c>
      <c r="N1194">
        <v>6400</v>
      </c>
      <c r="O1194">
        <v>25600</v>
      </c>
      <c r="P1194">
        <v>21600</v>
      </c>
      <c r="Q1194">
        <v>4000</v>
      </c>
      <c r="R1194">
        <v>15.62</v>
      </c>
      <c r="S1194" t="s">
        <v>97</v>
      </c>
      <c r="T1194">
        <v>3400</v>
      </c>
      <c r="U1194">
        <v>3.7</v>
      </c>
      <c r="V1194" t="s">
        <v>114</v>
      </c>
    </row>
    <row r="1195" spans="1:22" x14ac:dyDescent="0.3">
      <c r="A1195" t="s">
        <v>3809</v>
      </c>
      <c r="B1195" t="s">
        <v>2057</v>
      </c>
      <c r="C1195" t="s">
        <v>2058</v>
      </c>
      <c r="D1195" s="2">
        <v>46248</v>
      </c>
      <c r="E1195" t="s">
        <v>244</v>
      </c>
      <c r="F1195" t="s">
        <v>244</v>
      </c>
      <c r="G1195" t="s">
        <v>48</v>
      </c>
      <c r="H1195" t="s">
        <v>214</v>
      </c>
      <c r="I1195" t="s">
        <v>69</v>
      </c>
      <c r="J1195" t="s">
        <v>30</v>
      </c>
      <c r="K1195">
        <v>7</v>
      </c>
      <c r="M1195">
        <v>62900</v>
      </c>
      <c r="N1195">
        <v>9400</v>
      </c>
      <c r="O1195">
        <v>53500</v>
      </c>
      <c r="P1195">
        <v>37100</v>
      </c>
      <c r="Q1195">
        <v>16400</v>
      </c>
      <c r="R1195">
        <v>30.65</v>
      </c>
      <c r="S1195" t="s">
        <v>39</v>
      </c>
      <c r="T1195">
        <v>4500</v>
      </c>
      <c r="U1195">
        <v>3.6</v>
      </c>
      <c r="V1195" t="s">
        <v>79</v>
      </c>
    </row>
    <row r="1196" spans="1:22" x14ac:dyDescent="0.3">
      <c r="A1196" t="s">
        <v>5238</v>
      </c>
      <c r="B1196" t="s">
        <v>3448</v>
      </c>
      <c r="C1196" t="s">
        <v>3449</v>
      </c>
      <c r="D1196" s="2">
        <v>46249</v>
      </c>
      <c r="E1196" t="s">
        <v>134</v>
      </c>
      <c r="F1196" t="s">
        <v>134</v>
      </c>
      <c r="G1196" t="s">
        <v>580</v>
      </c>
      <c r="H1196" t="s">
        <v>268</v>
      </c>
      <c r="I1196" t="s">
        <v>69</v>
      </c>
      <c r="J1196" t="s">
        <v>30</v>
      </c>
      <c r="K1196">
        <v>8</v>
      </c>
      <c r="L1196">
        <v>69</v>
      </c>
      <c r="M1196">
        <v>49500</v>
      </c>
      <c r="N1196">
        <v>0</v>
      </c>
      <c r="O1196">
        <v>49500</v>
      </c>
      <c r="P1196">
        <v>29400</v>
      </c>
      <c r="Q1196">
        <v>20100</v>
      </c>
      <c r="R1196">
        <v>40.61</v>
      </c>
      <c r="S1196" t="s">
        <v>182</v>
      </c>
      <c r="T1196">
        <v>5900</v>
      </c>
      <c r="U1196">
        <v>2.5</v>
      </c>
      <c r="V1196" t="s">
        <v>79</v>
      </c>
    </row>
    <row r="1197" spans="1:22" x14ac:dyDescent="0.3">
      <c r="A1197" t="s">
        <v>4437</v>
      </c>
      <c r="B1197" t="s">
        <v>4027</v>
      </c>
      <c r="C1197" t="s">
        <v>4028</v>
      </c>
      <c r="D1197" s="2">
        <v>46249</v>
      </c>
      <c r="E1197" t="s">
        <v>161</v>
      </c>
      <c r="F1197" t="s">
        <v>161</v>
      </c>
      <c r="G1197" t="s">
        <v>118</v>
      </c>
      <c r="H1197" t="s">
        <v>88</v>
      </c>
      <c r="I1197" t="s">
        <v>69</v>
      </c>
      <c r="J1197" t="s">
        <v>70</v>
      </c>
      <c r="K1197">
        <v>5</v>
      </c>
      <c r="L1197">
        <v>39</v>
      </c>
      <c r="M1197">
        <v>34000</v>
      </c>
      <c r="N1197">
        <v>5100</v>
      </c>
      <c r="O1197">
        <v>28900</v>
      </c>
      <c r="P1197">
        <v>25000</v>
      </c>
      <c r="Q1197">
        <v>3900</v>
      </c>
      <c r="R1197">
        <v>13.49</v>
      </c>
      <c r="S1197" t="s">
        <v>79</v>
      </c>
      <c r="T1197">
        <v>3400</v>
      </c>
      <c r="U1197">
        <v>4</v>
      </c>
      <c r="V1197" t="s">
        <v>42</v>
      </c>
    </row>
    <row r="1198" spans="1:22" x14ac:dyDescent="0.3">
      <c r="A1198" t="s">
        <v>2020</v>
      </c>
      <c r="B1198" t="s">
        <v>2021</v>
      </c>
      <c r="C1198" t="s">
        <v>2022</v>
      </c>
      <c r="D1198" s="2">
        <v>46249</v>
      </c>
      <c r="E1198" t="s">
        <v>282</v>
      </c>
      <c r="F1198" t="s">
        <v>282</v>
      </c>
      <c r="G1198" t="s">
        <v>580</v>
      </c>
      <c r="H1198" t="s">
        <v>5470</v>
      </c>
      <c r="I1198" t="s">
        <v>29</v>
      </c>
      <c r="J1198" t="s">
        <v>70</v>
      </c>
      <c r="K1198">
        <v>6</v>
      </c>
      <c r="L1198">
        <v>59</v>
      </c>
      <c r="M1198">
        <v>46400</v>
      </c>
      <c r="N1198">
        <v>4600</v>
      </c>
      <c r="O1198">
        <v>41800</v>
      </c>
      <c r="P1198">
        <v>35100</v>
      </c>
      <c r="Q1198">
        <v>6700</v>
      </c>
      <c r="R1198">
        <v>16.03</v>
      </c>
      <c r="S1198" t="s">
        <v>97</v>
      </c>
      <c r="T1198">
        <v>6000</v>
      </c>
      <c r="U1198">
        <v>3.2</v>
      </c>
      <c r="V1198" t="s">
        <v>42</v>
      </c>
    </row>
    <row r="1199" spans="1:22" x14ac:dyDescent="0.3">
      <c r="A1199" t="s">
        <v>3199</v>
      </c>
      <c r="B1199" t="s">
        <v>3200</v>
      </c>
      <c r="C1199" t="s">
        <v>3201</v>
      </c>
      <c r="D1199" s="2">
        <v>46249</v>
      </c>
      <c r="E1199" t="s">
        <v>66</v>
      </c>
      <c r="F1199" t="s">
        <v>66</v>
      </c>
      <c r="G1199" t="s">
        <v>118</v>
      </c>
      <c r="H1199" t="s">
        <v>49</v>
      </c>
      <c r="I1199" t="s">
        <v>29</v>
      </c>
      <c r="J1199" t="s">
        <v>70</v>
      </c>
      <c r="K1199">
        <v>6</v>
      </c>
      <c r="L1199">
        <v>34</v>
      </c>
      <c r="M1199">
        <v>22600</v>
      </c>
      <c r="N1199">
        <v>0</v>
      </c>
      <c r="O1199">
        <v>22600</v>
      </c>
      <c r="P1199">
        <v>15700</v>
      </c>
      <c r="Q1199">
        <v>6900</v>
      </c>
      <c r="R1199">
        <v>30.53</v>
      </c>
      <c r="S1199" t="s">
        <v>79</v>
      </c>
      <c r="T1199">
        <v>3500</v>
      </c>
      <c r="U1199">
        <v>4.5</v>
      </c>
      <c r="V1199" t="s">
        <v>82</v>
      </c>
    </row>
    <row r="1200" spans="1:22" x14ac:dyDescent="0.3">
      <c r="A1200" t="s">
        <v>4550</v>
      </c>
      <c r="B1200" t="s">
        <v>1359</v>
      </c>
      <c r="C1200" t="s">
        <v>1360</v>
      </c>
      <c r="D1200" s="2">
        <v>46249</v>
      </c>
      <c r="E1200" t="s">
        <v>161</v>
      </c>
      <c r="F1200" t="s">
        <v>161</v>
      </c>
      <c r="G1200" t="s">
        <v>48</v>
      </c>
      <c r="H1200" t="s">
        <v>68</v>
      </c>
      <c r="I1200" t="s">
        <v>29</v>
      </c>
      <c r="J1200" t="s">
        <v>30</v>
      </c>
      <c r="K1200">
        <v>8</v>
      </c>
      <c r="L1200">
        <v>25</v>
      </c>
      <c r="M1200">
        <v>142100</v>
      </c>
      <c r="N1200">
        <v>28400</v>
      </c>
      <c r="O1200">
        <v>113700</v>
      </c>
      <c r="P1200">
        <v>108800</v>
      </c>
      <c r="Q1200">
        <v>4900</v>
      </c>
      <c r="R1200">
        <v>4.3099999999999996</v>
      </c>
      <c r="S1200" t="s">
        <v>58</v>
      </c>
      <c r="T1200">
        <v>8800</v>
      </c>
      <c r="U1200">
        <v>5</v>
      </c>
      <c r="V1200" t="s">
        <v>82</v>
      </c>
    </row>
    <row r="1201" spans="1:22" x14ac:dyDescent="0.3">
      <c r="A1201" t="s">
        <v>4676</v>
      </c>
      <c r="B1201" t="s">
        <v>3517</v>
      </c>
      <c r="C1201" t="s">
        <v>3518</v>
      </c>
      <c r="D1201" s="2">
        <v>46250</v>
      </c>
      <c r="E1201" t="s">
        <v>188</v>
      </c>
      <c r="F1201" t="s">
        <v>188</v>
      </c>
      <c r="G1201" t="s">
        <v>67</v>
      </c>
      <c r="H1201" t="s">
        <v>68</v>
      </c>
      <c r="I1201" t="s">
        <v>69</v>
      </c>
      <c r="J1201" t="s">
        <v>70</v>
      </c>
      <c r="K1201">
        <v>4</v>
      </c>
      <c r="L1201">
        <v>57</v>
      </c>
      <c r="M1201">
        <v>25200</v>
      </c>
      <c r="N1201">
        <v>5000</v>
      </c>
      <c r="O1201">
        <v>20200</v>
      </c>
      <c r="P1201">
        <v>15300</v>
      </c>
      <c r="Q1201">
        <v>4900</v>
      </c>
      <c r="R1201">
        <v>24.26</v>
      </c>
      <c r="S1201" t="s">
        <v>58</v>
      </c>
      <c r="T1201">
        <v>1800</v>
      </c>
      <c r="U1201">
        <v>4.3</v>
      </c>
      <c r="V1201" t="s">
        <v>58</v>
      </c>
    </row>
    <row r="1202" spans="1:22" x14ac:dyDescent="0.3">
      <c r="A1202" t="s">
        <v>3906</v>
      </c>
      <c r="B1202" t="s">
        <v>631</v>
      </c>
      <c r="C1202" t="s">
        <v>632</v>
      </c>
      <c r="D1202" s="2">
        <v>46251</v>
      </c>
      <c r="E1202" t="s">
        <v>134</v>
      </c>
      <c r="F1202" t="s">
        <v>134</v>
      </c>
      <c r="G1202" t="s">
        <v>48</v>
      </c>
      <c r="H1202" t="s">
        <v>88</v>
      </c>
      <c r="I1202" t="s">
        <v>69</v>
      </c>
      <c r="J1202" t="s">
        <v>30</v>
      </c>
      <c r="K1202">
        <v>9</v>
      </c>
      <c r="L1202">
        <v>28</v>
      </c>
      <c r="M1202">
        <v>21000</v>
      </c>
      <c r="N1202">
        <v>3200</v>
      </c>
      <c r="O1202">
        <v>17800</v>
      </c>
      <c r="P1202">
        <v>12900</v>
      </c>
      <c r="Q1202">
        <v>4900</v>
      </c>
      <c r="R1202">
        <v>27.53</v>
      </c>
      <c r="S1202" t="s">
        <v>58</v>
      </c>
      <c r="T1202">
        <v>2500</v>
      </c>
      <c r="U1202">
        <v>3.4</v>
      </c>
      <c r="V1202" t="s">
        <v>42</v>
      </c>
    </row>
    <row r="1203" spans="1:22" x14ac:dyDescent="0.3">
      <c r="A1203" t="s">
        <v>3551</v>
      </c>
      <c r="B1203" t="s">
        <v>1349</v>
      </c>
      <c r="C1203" t="s">
        <v>1350</v>
      </c>
      <c r="D1203" s="2">
        <v>46251</v>
      </c>
      <c r="E1203" t="s">
        <v>26</v>
      </c>
      <c r="F1203" t="s">
        <v>26</v>
      </c>
      <c r="G1203" t="s">
        <v>213</v>
      </c>
      <c r="H1203" t="s">
        <v>268</v>
      </c>
      <c r="I1203" t="s">
        <v>69</v>
      </c>
      <c r="J1203" t="s">
        <v>70</v>
      </c>
      <c r="K1203">
        <v>7</v>
      </c>
      <c r="L1203">
        <v>32</v>
      </c>
      <c r="M1203">
        <v>20400</v>
      </c>
      <c r="N1203">
        <v>4100</v>
      </c>
      <c r="O1203">
        <v>16300</v>
      </c>
      <c r="P1203">
        <v>9000</v>
      </c>
      <c r="Q1203">
        <v>7300</v>
      </c>
      <c r="R1203">
        <v>44.79</v>
      </c>
      <c r="S1203" t="s">
        <v>126</v>
      </c>
      <c r="T1203">
        <v>1200</v>
      </c>
      <c r="U1203">
        <v>4.8</v>
      </c>
      <c r="V1203" t="s">
        <v>79</v>
      </c>
    </row>
    <row r="1204" spans="1:22" x14ac:dyDescent="0.3">
      <c r="A1204" t="s">
        <v>5108</v>
      </c>
      <c r="B1204" t="s">
        <v>2928</v>
      </c>
      <c r="C1204" t="s">
        <v>2929</v>
      </c>
      <c r="D1204" s="2">
        <v>46251</v>
      </c>
      <c r="E1204" t="s">
        <v>66</v>
      </c>
      <c r="F1204" t="s">
        <v>66</v>
      </c>
      <c r="G1204" t="s">
        <v>48</v>
      </c>
      <c r="H1204" t="s">
        <v>229</v>
      </c>
      <c r="I1204" t="s">
        <v>69</v>
      </c>
      <c r="J1204" t="s">
        <v>70</v>
      </c>
      <c r="K1204">
        <v>3</v>
      </c>
      <c r="L1204">
        <v>52</v>
      </c>
      <c r="M1204">
        <v>71700</v>
      </c>
      <c r="N1204">
        <v>10800</v>
      </c>
      <c r="O1204">
        <v>60900</v>
      </c>
      <c r="P1204">
        <v>42100</v>
      </c>
      <c r="Q1204">
        <v>18800</v>
      </c>
      <c r="R1204">
        <v>30.87</v>
      </c>
      <c r="S1204" t="s">
        <v>79</v>
      </c>
      <c r="T1204">
        <v>6000</v>
      </c>
      <c r="U1204">
        <v>4.3</v>
      </c>
      <c r="V1204" t="s">
        <v>114</v>
      </c>
    </row>
    <row r="1205" spans="1:22" x14ac:dyDescent="0.3">
      <c r="A1205" t="s">
        <v>1285</v>
      </c>
      <c r="B1205" t="s">
        <v>924</v>
      </c>
      <c r="C1205" t="s">
        <v>925</v>
      </c>
      <c r="D1205" s="2">
        <v>46252</v>
      </c>
      <c r="E1205" t="s">
        <v>161</v>
      </c>
      <c r="F1205" t="s">
        <v>161</v>
      </c>
      <c r="G1205" t="s">
        <v>147</v>
      </c>
      <c r="H1205" t="s">
        <v>214</v>
      </c>
      <c r="I1205" t="s">
        <v>69</v>
      </c>
      <c r="J1205" t="s">
        <v>257</v>
      </c>
      <c r="K1205">
        <v>10</v>
      </c>
      <c r="L1205">
        <v>37</v>
      </c>
      <c r="M1205">
        <v>93700</v>
      </c>
      <c r="N1205">
        <v>14100</v>
      </c>
      <c r="O1205">
        <v>79600</v>
      </c>
      <c r="P1205">
        <v>41900</v>
      </c>
      <c r="Q1205">
        <v>37700</v>
      </c>
      <c r="R1205">
        <v>47.36</v>
      </c>
      <c r="S1205" t="s">
        <v>182</v>
      </c>
      <c r="T1205">
        <v>10400</v>
      </c>
      <c r="U1205">
        <v>3.8</v>
      </c>
      <c r="V1205" t="s">
        <v>114</v>
      </c>
    </row>
    <row r="1206" spans="1:22" x14ac:dyDescent="0.3">
      <c r="A1206" t="s">
        <v>4043</v>
      </c>
      <c r="B1206" t="s">
        <v>615</v>
      </c>
      <c r="C1206" t="s">
        <v>616</v>
      </c>
      <c r="D1206" s="2">
        <v>46255</v>
      </c>
      <c r="E1206" t="s">
        <v>161</v>
      </c>
      <c r="F1206" t="s">
        <v>161</v>
      </c>
      <c r="G1206" t="s">
        <v>580</v>
      </c>
      <c r="H1206" t="s">
        <v>49</v>
      </c>
      <c r="I1206" t="s">
        <v>69</v>
      </c>
      <c r="J1206" t="s">
        <v>30</v>
      </c>
      <c r="K1206">
        <v>2</v>
      </c>
      <c r="L1206">
        <v>45</v>
      </c>
      <c r="M1206">
        <v>15000</v>
      </c>
      <c r="N1206">
        <v>3000</v>
      </c>
      <c r="O1206">
        <v>12000</v>
      </c>
      <c r="P1206">
        <v>7100</v>
      </c>
      <c r="Q1206">
        <v>4900</v>
      </c>
      <c r="R1206">
        <v>40.83</v>
      </c>
      <c r="S1206" t="s">
        <v>58</v>
      </c>
      <c r="T1206">
        <v>1100</v>
      </c>
      <c r="U1206">
        <v>5</v>
      </c>
      <c r="V1206" t="s">
        <v>114</v>
      </c>
    </row>
    <row r="1207" spans="1:22" x14ac:dyDescent="0.3">
      <c r="A1207" t="s">
        <v>5123</v>
      </c>
      <c r="B1207" t="s">
        <v>2645</v>
      </c>
      <c r="C1207" t="s">
        <v>2646</v>
      </c>
      <c r="D1207" s="2">
        <v>46255</v>
      </c>
      <c r="E1207" t="s">
        <v>244</v>
      </c>
      <c r="F1207" t="s">
        <v>244</v>
      </c>
      <c r="G1207" t="s">
        <v>67</v>
      </c>
      <c r="H1207" t="s">
        <v>229</v>
      </c>
      <c r="I1207" t="s">
        <v>29</v>
      </c>
      <c r="J1207" t="s">
        <v>30</v>
      </c>
      <c r="K1207">
        <v>6</v>
      </c>
      <c r="L1207">
        <v>35</v>
      </c>
      <c r="M1207">
        <v>26900</v>
      </c>
      <c r="N1207">
        <v>1300</v>
      </c>
      <c r="O1207">
        <v>25600</v>
      </c>
      <c r="P1207">
        <v>13400</v>
      </c>
      <c r="Q1207">
        <v>12200</v>
      </c>
      <c r="R1207">
        <v>47.66</v>
      </c>
      <c r="S1207" t="s">
        <v>97</v>
      </c>
      <c r="T1207">
        <v>4500</v>
      </c>
      <c r="U1207">
        <v>4.5999999999999996</v>
      </c>
      <c r="V1207" t="s">
        <v>58</v>
      </c>
    </row>
    <row r="1208" spans="1:22" x14ac:dyDescent="0.3">
      <c r="A1208" t="s">
        <v>5439</v>
      </c>
      <c r="B1208" t="s">
        <v>4635</v>
      </c>
      <c r="C1208" t="s">
        <v>4636</v>
      </c>
      <c r="D1208" s="2">
        <v>46256</v>
      </c>
      <c r="E1208" t="s">
        <v>188</v>
      </c>
      <c r="F1208" t="s">
        <v>188</v>
      </c>
      <c r="G1208" t="s">
        <v>580</v>
      </c>
      <c r="H1208" t="s">
        <v>229</v>
      </c>
      <c r="I1208" t="s">
        <v>69</v>
      </c>
      <c r="J1208" t="s">
        <v>30</v>
      </c>
      <c r="K1208">
        <v>4</v>
      </c>
      <c r="L1208">
        <v>17</v>
      </c>
      <c r="M1208">
        <v>44800</v>
      </c>
      <c r="N1208">
        <v>6700</v>
      </c>
      <c r="O1208">
        <v>38100</v>
      </c>
      <c r="P1208">
        <v>27000</v>
      </c>
      <c r="Q1208">
        <v>11100</v>
      </c>
      <c r="R1208">
        <v>29.13</v>
      </c>
      <c r="S1208" t="s">
        <v>126</v>
      </c>
      <c r="T1208">
        <v>4200</v>
      </c>
      <c r="U1208">
        <v>3.6</v>
      </c>
      <c r="V1208" t="s">
        <v>42</v>
      </c>
    </row>
    <row r="1209" spans="1:22" x14ac:dyDescent="0.3">
      <c r="A1209" t="s">
        <v>639</v>
      </c>
      <c r="B1209" t="s">
        <v>640</v>
      </c>
      <c r="C1209" t="s">
        <v>641</v>
      </c>
      <c r="D1209" s="2">
        <v>46256</v>
      </c>
      <c r="E1209" t="s">
        <v>161</v>
      </c>
      <c r="F1209" t="s">
        <v>161</v>
      </c>
      <c r="G1209" t="s">
        <v>48</v>
      </c>
      <c r="H1209" t="s">
        <v>214</v>
      </c>
      <c r="I1209" t="s">
        <v>69</v>
      </c>
      <c r="J1209" t="s">
        <v>162</v>
      </c>
      <c r="K1209">
        <v>2</v>
      </c>
      <c r="L1209">
        <v>41</v>
      </c>
      <c r="M1209">
        <v>31900</v>
      </c>
      <c r="N1209">
        <v>1600</v>
      </c>
      <c r="O1209">
        <v>30300</v>
      </c>
      <c r="P1209">
        <v>13700</v>
      </c>
      <c r="Q1209">
        <v>16600</v>
      </c>
      <c r="R1209">
        <v>54.79</v>
      </c>
      <c r="S1209" t="s">
        <v>39</v>
      </c>
      <c r="T1209">
        <v>4600</v>
      </c>
      <c r="U1209">
        <v>4.5999999999999996</v>
      </c>
      <c r="V1209" t="s">
        <v>82</v>
      </c>
    </row>
    <row r="1210" spans="1:22" x14ac:dyDescent="0.3">
      <c r="A1210" t="s">
        <v>3415</v>
      </c>
      <c r="B1210" t="s">
        <v>3148</v>
      </c>
      <c r="C1210" t="s">
        <v>3149</v>
      </c>
      <c r="D1210" s="2">
        <v>46257</v>
      </c>
      <c r="E1210" t="s">
        <v>26</v>
      </c>
      <c r="F1210" t="s">
        <v>26</v>
      </c>
      <c r="G1210" t="s">
        <v>213</v>
      </c>
      <c r="H1210" t="s">
        <v>49</v>
      </c>
      <c r="I1210" t="s">
        <v>69</v>
      </c>
      <c r="J1210" t="s">
        <v>30</v>
      </c>
      <c r="K1210">
        <v>9</v>
      </c>
      <c r="L1210">
        <v>52</v>
      </c>
      <c r="M1210">
        <v>29000</v>
      </c>
      <c r="N1210">
        <v>1400</v>
      </c>
      <c r="O1210">
        <v>27600</v>
      </c>
      <c r="P1210">
        <v>13900</v>
      </c>
      <c r="Q1210">
        <v>13700</v>
      </c>
      <c r="R1210">
        <v>49.64</v>
      </c>
      <c r="S1210" t="s">
        <v>182</v>
      </c>
      <c r="T1210">
        <v>2500</v>
      </c>
      <c r="U1210">
        <v>3.8</v>
      </c>
      <c r="V1210" t="s">
        <v>79</v>
      </c>
    </row>
    <row r="1211" spans="1:22" x14ac:dyDescent="0.3">
      <c r="A1211" t="s">
        <v>3114</v>
      </c>
      <c r="B1211" t="s">
        <v>1195</v>
      </c>
      <c r="C1211" t="s">
        <v>1196</v>
      </c>
      <c r="D1211" s="2">
        <v>46257</v>
      </c>
      <c r="E1211" t="s">
        <v>26</v>
      </c>
      <c r="F1211" t="s">
        <v>26</v>
      </c>
      <c r="G1211" t="s">
        <v>118</v>
      </c>
      <c r="H1211" t="s">
        <v>214</v>
      </c>
      <c r="I1211" t="s">
        <v>29</v>
      </c>
      <c r="J1211" t="s">
        <v>30</v>
      </c>
      <c r="K1211">
        <v>10</v>
      </c>
      <c r="L1211">
        <v>26</v>
      </c>
      <c r="M1211">
        <v>22500</v>
      </c>
      <c r="N1211">
        <v>2200</v>
      </c>
      <c r="O1211">
        <v>20300</v>
      </c>
      <c r="P1211">
        <v>9800</v>
      </c>
      <c r="Q1211">
        <v>10500</v>
      </c>
      <c r="R1211">
        <v>51.72</v>
      </c>
      <c r="S1211" t="s">
        <v>39</v>
      </c>
      <c r="T1211">
        <v>2500</v>
      </c>
      <c r="U1211">
        <v>3.4</v>
      </c>
      <c r="V1211" t="s">
        <v>114</v>
      </c>
    </row>
    <row r="1212" spans="1:22" x14ac:dyDescent="0.3">
      <c r="A1212" t="s">
        <v>2200</v>
      </c>
      <c r="B1212" t="s">
        <v>2201</v>
      </c>
      <c r="C1212" t="s">
        <v>2202</v>
      </c>
      <c r="D1212" s="2">
        <v>46258</v>
      </c>
      <c r="E1212" t="s">
        <v>26</v>
      </c>
      <c r="F1212" t="s">
        <v>26</v>
      </c>
      <c r="G1212" t="s">
        <v>147</v>
      </c>
      <c r="H1212" t="s">
        <v>5470</v>
      </c>
      <c r="I1212" t="s">
        <v>69</v>
      </c>
      <c r="J1212" t="s">
        <v>162</v>
      </c>
      <c r="K1212">
        <v>6</v>
      </c>
      <c r="L1212">
        <v>34</v>
      </c>
      <c r="M1212">
        <v>28800</v>
      </c>
      <c r="N1212">
        <v>5800</v>
      </c>
      <c r="O1212">
        <v>23000</v>
      </c>
      <c r="P1212">
        <v>19200</v>
      </c>
      <c r="Q1212">
        <v>3800</v>
      </c>
      <c r="R1212">
        <v>16.52</v>
      </c>
      <c r="S1212" t="s">
        <v>79</v>
      </c>
      <c r="T1212">
        <v>3300</v>
      </c>
      <c r="U1212">
        <v>4.5</v>
      </c>
      <c r="V1212" t="s">
        <v>79</v>
      </c>
    </row>
    <row r="1213" spans="1:22" x14ac:dyDescent="0.3">
      <c r="A1213" t="s">
        <v>4366</v>
      </c>
      <c r="B1213" t="s">
        <v>2687</v>
      </c>
      <c r="C1213" t="s">
        <v>2688</v>
      </c>
      <c r="D1213" s="2">
        <v>46258</v>
      </c>
      <c r="E1213" t="s">
        <v>26</v>
      </c>
      <c r="F1213" t="s">
        <v>26</v>
      </c>
      <c r="G1213" t="s">
        <v>27</v>
      </c>
      <c r="H1213" t="s">
        <v>5470</v>
      </c>
      <c r="I1213" t="s">
        <v>29</v>
      </c>
      <c r="J1213" t="s">
        <v>30</v>
      </c>
      <c r="K1213">
        <v>5</v>
      </c>
      <c r="L1213">
        <v>68</v>
      </c>
      <c r="M1213">
        <v>99400</v>
      </c>
      <c r="N1213">
        <v>19900</v>
      </c>
      <c r="O1213">
        <v>79500</v>
      </c>
      <c r="P1213">
        <v>57800</v>
      </c>
      <c r="Q1213">
        <v>21700</v>
      </c>
      <c r="R1213">
        <v>27.3</v>
      </c>
      <c r="S1213" t="s">
        <v>182</v>
      </c>
      <c r="T1213">
        <v>4900</v>
      </c>
      <c r="U1213">
        <v>5</v>
      </c>
      <c r="V1213" t="s">
        <v>58</v>
      </c>
    </row>
    <row r="1214" spans="1:22" x14ac:dyDescent="0.3">
      <c r="A1214" t="s">
        <v>4959</v>
      </c>
      <c r="B1214" t="s">
        <v>1869</v>
      </c>
      <c r="C1214" t="s">
        <v>1870</v>
      </c>
      <c r="D1214" s="2">
        <v>46258</v>
      </c>
      <c r="E1214" t="s">
        <v>134</v>
      </c>
      <c r="F1214" t="s">
        <v>134</v>
      </c>
      <c r="G1214" t="s">
        <v>67</v>
      </c>
      <c r="H1214" t="s">
        <v>88</v>
      </c>
      <c r="I1214" t="s">
        <v>29</v>
      </c>
      <c r="J1214" t="s">
        <v>30</v>
      </c>
      <c r="K1214">
        <v>6</v>
      </c>
      <c r="L1214">
        <v>59</v>
      </c>
      <c r="M1214">
        <v>31400</v>
      </c>
      <c r="N1214">
        <v>0</v>
      </c>
      <c r="O1214">
        <v>31400</v>
      </c>
      <c r="P1214">
        <v>21500</v>
      </c>
      <c r="Q1214">
        <v>9900</v>
      </c>
      <c r="R1214">
        <v>31.53</v>
      </c>
      <c r="S1214" t="s">
        <v>182</v>
      </c>
      <c r="T1214">
        <v>2500</v>
      </c>
      <c r="U1214">
        <v>3.6</v>
      </c>
      <c r="V1214" t="s">
        <v>82</v>
      </c>
    </row>
    <row r="1215" spans="1:22" x14ac:dyDescent="0.3">
      <c r="A1215" t="s">
        <v>4073</v>
      </c>
      <c r="B1215" t="s">
        <v>1904</v>
      </c>
      <c r="C1215" t="s">
        <v>1905</v>
      </c>
      <c r="D1215" s="2">
        <v>46259</v>
      </c>
      <c r="E1215" t="s">
        <v>66</v>
      </c>
      <c r="F1215" t="s">
        <v>66</v>
      </c>
      <c r="G1215" t="s">
        <v>213</v>
      </c>
      <c r="H1215" t="s">
        <v>68</v>
      </c>
      <c r="I1215" t="s">
        <v>29</v>
      </c>
      <c r="J1215" t="s">
        <v>30</v>
      </c>
      <c r="K1215">
        <v>2</v>
      </c>
      <c r="L1215">
        <v>45</v>
      </c>
      <c r="M1215">
        <v>26900</v>
      </c>
      <c r="N1215">
        <v>0</v>
      </c>
      <c r="O1215">
        <v>26900</v>
      </c>
      <c r="P1215">
        <v>19100</v>
      </c>
      <c r="Q1215">
        <v>7800</v>
      </c>
      <c r="R1215">
        <v>29</v>
      </c>
      <c r="S1215" t="s">
        <v>126</v>
      </c>
      <c r="T1215">
        <v>2000</v>
      </c>
      <c r="U1215">
        <v>4</v>
      </c>
      <c r="V1215" t="s">
        <v>58</v>
      </c>
    </row>
    <row r="1216" spans="1:22" x14ac:dyDescent="0.3">
      <c r="A1216" t="s">
        <v>3962</v>
      </c>
      <c r="B1216" t="s">
        <v>3926</v>
      </c>
      <c r="C1216" t="s">
        <v>3927</v>
      </c>
      <c r="D1216" s="2">
        <v>46260</v>
      </c>
      <c r="E1216" t="s">
        <v>228</v>
      </c>
      <c r="F1216" t="s">
        <v>228</v>
      </c>
      <c r="G1216" t="s">
        <v>67</v>
      </c>
      <c r="H1216" t="s">
        <v>49</v>
      </c>
      <c r="I1216" t="s">
        <v>29</v>
      </c>
      <c r="J1216" t="s">
        <v>70</v>
      </c>
      <c r="K1216">
        <v>4</v>
      </c>
      <c r="L1216">
        <v>41</v>
      </c>
      <c r="M1216">
        <v>27100</v>
      </c>
      <c r="N1216">
        <v>0</v>
      </c>
      <c r="O1216">
        <v>27100</v>
      </c>
      <c r="P1216">
        <v>16700</v>
      </c>
      <c r="Q1216">
        <v>10400</v>
      </c>
      <c r="R1216">
        <v>38.380000000000003</v>
      </c>
      <c r="S1216" t="s">
        <v>182</v>
      </c>
      <c r="T1216">
        <v>3100</v>
      </c>
      <c r="U1216">
        <v>3.5</v>
      </c>
      <c r="V1216" t="s">
        <v>82</v>
      </c>
    </row>
    <row r="1217" spans="1:22" x14ac:dyDescent="0.3">
      <c r="A1217" t="s">
        <v>3131</v>
      </c>
      <c r="B1217" t="s">
        <v>44</v>
      </c>
      <c r="C1217" t="s">
        <v>45</v>
      </c>
      <c r="D1217" s="2">
        <v>46260</v>
      </c>
      <c r="E1217" t="s">
        <v>134</v>
      </c>
      <c r="F1217" t="s">
        <v>134</v>
      </c>
      <c r="G1217" t="s">
        <v>27</v>
      </c>
      <c r="H1217" t="s">
        <v>88</v>
      </c>
      <c r="I1217" t="s">
        <v>29</v>
      </c>
      <c r="J1217" t="s">
        <v>30</v>
      </c>
      <c r="K1217">
        <v>9</v>
      </c>
      <c r="L1217">
        <v>20</v>
      </c>
      <c r="M1217">
        <v>27300</v>
      </c>
      <c r="N1217">
        <v>0</v>
      </c>
      <c r="O1217">
        <v>27300</v>
      </c>
      <c r="P1217">
        <v>16400</v>
      </c>
      <c r="Q1217">
        <v>10900</v>
      </c>
      <c r="R1217">
        <v>39.93</v>
      </c>
      <c r="S1217" t="s">
        <v>79</v>
      </c>
      <c r="T1217">
        <v>1800</v>
      </c>
      <c r="U1217">
        <v>3.3</v>
      </c>
      <c r="V1217" t="s">
        <v>58</v>
      </c>
    </row>
    <row r="1218" spans="1:22" x14ac:dyDescent="0.3">
      <c r="A1218" t="s">
        <v>5171</v>
      </c>
      <c r="B1218" t="s">
        <v>3089</v>
      </c>
      <c r="C1218" t="s">
        <v>3090</v>
      </c>
      <c r="D1218" s="2">
        <v>46261</v>
      </c>
      <c r="E1218" t="s">
        <v>228</v>
      </c>
      <c r="F1218" t="s">
        <v>228</v>
      </c>
      <c r="G1218" t="s">
        <v>580</v>
      </c>
      <c r="H1218" t="s">
        <v>49</v>
      </c>
      <c r="I1218" t="s">
        <v>29</v>
      </c>
      <c r="J1218" t="s">
        <v>30</v>
      </c>
      <c r="K1218">
        <v>6</v>
      </c>
      <c r="L1218">
        <v>5</v>
      </c>
      <c r="M1218">
        <v>42100</v>
      </c>
      <c r="N1218">
        <v>8400</v>
      </c>
      <c r="O1218">
        <v>33700</v>
      </c>
      <c r="P1218">
        <v>20200</v>
      </c>
      <c r="Q1218">
        <v>13500</v>
      </c>
      <c r="R1218">
        <v>40.06</v>
      </c>
      <c r="S1218" t="s">
        <v>126</v>
      </c>
      <c r="T1218">
        <v>4600</v>
      </c>
      <c r="U1218">
        <v>3.9</v>
      </c>
      <c r="V1218" t="s">
        <v>58</v>
      </c>
    </row>
    <row r="1219" spans="1:22" x14ac:dyDescent="0.3">
      <c r="A1219" t="s">
        <v>2316</v>
      </c>
      <c r="B1219" t="s">
        <v>2317</v>
      </c>
      <c r="C1219" t="s">
        <v>2318</v>
      </c>
      <c r="D1219" s="2">
        <v>46261</v>
      </c>
      <c r="E1219" t="s">
        <v>161</v>
      </c>
      <c r="F1219" t="s">
        <v>161</v>
      </c>
      <c r="G1219" t="s">
        <v>48</v>
      </c>
      <c r="H1219" t="s">
        <v>214</v>
      </c>
      <c r="I1219" t="s">
        <v>69</v>
      </c>
      <c r="J1219" t="s">
        <v>30</v>
      </c>
      <c r="K1219">
        <v>5</v>
      </c>
      <c r="L1219">
        <v>20</v>
      </c>
      <c r="M1219">
        <v>41300</v>
      </c>
      <c r="N1219">
        <v>0</v>
      </c>
      <c r="O1219">
        <v>41300</v>
      </c>
      <c r="P1219">
        <v>18700</v>
      </c>
      <c r="Q1219">
        <v>22600</v>
      </c>
      <c r="R1219">
        <v>54.72</v>
      </c>
      <c r="S1219" t="s">
        <v>182</v>
      </c>
      <c r="T1219">
        <v>7100</v>
      </c>
      <c r="U1219">
        <v>4.0999999999999996</v>
      </c>
      <c r="V1219" t="s">
        <v>114</v>
      </c>
    </row>
    <row r="1220" spans="1:22" x14ac:dyDescent="0.3">
      <c r="A1220" t="s">
        <v>5143</v>
      </c>
      <c r="B1220" t="s">
        <v>2157</v>
      </c>
      <c r="C1220" t="s">
        <v>2158</v>
      </c>
      <c r="D1220" s="2">
        <v>46261</v>
      </c>
      <c r="E1220" t="s">
        <v>26</v>
      </c>
      <c r="F1220" t="s">
        <v>26</v>
      </c>
      <c r="G1220" t="s">
        <v>147</v>
      </c>
      <c r="H1220" t="s">
        <v>28</v>
      </c>
      <c r="I1220" t="s">
        <v>69</v>
      </c>
      <c r="J1220" t="s">
        <v>30</v>
      </c>
      <c r="K1220">
        <v>5</v>
      </c>
      <c r="L1220">
        <v>38</v>
      </c>
      <c r="M1220">
        <v>29100</v>
      </c>
      <c r="N1220">
        <v>0</v>
      </c>
      <c r="O1220">
        <v>29100</v>
      </c>
      <c r="P1220">
        <v>20600</v>
      </c>
      <c r="Q1220">
        <v>8500</v>
      </c>
      <c r="R1220">
        <v>29.21</v>
      </c>
      <c r="S1220" t="s">
        <v>39</v>
      </c>
      <c r="T1220">
        <v>3200</v>
      </c>
      <c r="U1220">
        <v>4.0999999999999996</v>
      </c>
      <c r="V1220" t="s">
        <v>79</v>
      </c>
    </row>
    <row r="1221" spans="1:22" x14ac:dyDescent="0.3">
      <c r="A1221" t="s">
        <v>3679</v>
      </c>
      <c r="B1221" t="s">
        <v>531</v>
      </c>
      <c r="C1221" t="s">
        <v>532</v>
      </c>
      <c r="D1221" s="2">
        <v>46261</v>
      </c>
      <c r="E1221" t="s">
        <v>161</v>
      </c>
      <c r="F1221" t="s">
        <v>161</v>
      </c>
      <c r="G1221" t="s">
        <v>27</v>
      </c>
      <c r="H1221" t="s">
        <v>229</v>
      </c>
      <c r="I1221" t="s">
        <v>29</v>
      </c>
      <c r="J1221" t="s">
        <v>30</v>
      </c>
      <c r="K1221">
        <v>2</v>
      </c>
      <c r="L1221">
        <v>60</v>
      </c>
      <c r="M1221">
        <v>54700</v>
      </c>
      <c r="N1221">
        <v>0</v>
      </c>
      <c r="O1221">
        <v>54700</v>
      </c>
      <c r="P1221">
        <v>31300</v>
      </c>
      <c r="Q1221">
        <v>23400</v>
      </c>
      <c r="R1221">
        <v>42.78</v>
      </c>
      <c r="S1221" t="s">
        <v>182</v>
      </c>
      <c r="T1221">
        <v>5500</v>
      </c>
      <c r="U1221">
        <v>4.0999999999999996</v>
      </c>
      <c r="V1221" t="s">
        <v>79</v>
      </c>
    </row>
    <row r="1222" spans="1:22" x14ac:dyDescent="0.3">
      <c r="A1222" t="s">
        <v>4849</v>
      </c>
      <c r="B1222" t="s">
        <v>801</v>
      </c>
      <c r="C1222" t="s">
        <v>802</v>
      </c>
      <c r="D1222" s="2">
        <v>46261</v>
      </c>
      <c r="E1222" t="s">
        <v>228</v>
      </c>
      <c r="F1222" t="s">
        <v>228</v>
      </c>
      <c r="G1222" t="s">
        <v>118</v>
      </c>
      <c r="H1222" t="s">
        <v>214</v>
      </c>
      <c r="I1222" t="s">
        <v>69</v>
      </c>
      <c r="J1222" t="s">
        <v>30</v>
      </c>
      <c r="K1222">
        <v>10</v>
      </c>
      <c r="L1222">
        <v>35</v>
      </c>
      <c r="M1222">
        <v>82300</v>
      </c>
      <c r="N1222">
        <v>12300</v>
      </c>
      <c r="O1222">
        <v>70000</v>
      </c>
      <c r="P1222">
        <v>50800</v>
      </c>
      <c r="Q1222">
        <v>19200</v>
      </c>
      <c r="R1222">
        <v>27.43</v>
      </c>
      <c r="S1222" t="s">
        <v>58</v>
      </c>
      <c r="T1222">
        <v>2900</v>
      </c>
      <c r="U1222">
        <v>4.4000000000000004</v>
      </c>
      <c r="V1222" t="s">
        <v>82</v>
      </c>
    </row>
    <row r="1223" spans="1:22" x14ac:dyDescent="0.3">
      <c r="A1223" t="s">
        <v>800</v>
      </c>
      <c r="B1223" t="s">
        <v>801</v>
      </c>
      <c r="C1223" t="s">
        <v>802</v>
      </c>
      <c r="D1223" s="2">
        <v>46261</v>
      </c>
      <c r="E1223" t="s">
        <v>66</v>
      </c>
      <c r="F1223" t="s">
        <v>66</v>
      </c>
      <c r="G1223" t="s">
        <v>103</v>
      </c>
      <c r="H1223" t="s">
        <v>268</v>
      </c>
      <c r="I1223" t="s">
        <v>69</v>
      </c>
      <c r="J1223" t="s">
        <v>30</v>
      </c>
      <c r="K1223">
        <v>10</v>
      </c>
      <c r="L1223">
        <v>42</v>
      </c>
      <c r="M1223">
        <v>44700</v>
      </c>
      <c r="N1223">
        <v>2200</v>
      </c>
      <c r="O1223">
        <v>42500</v>
      </c>
      <c r="P1223">
        <v>20100</v>
      </c>
      <c r="Q1223">
        <v>22400</v>
      </c>
      <c r="R1223">
        <v>52.71</v>
      </c>
      <c r="S1223" t="s">
        <v>79</v>
      </c>
      <c r="T1223">
        <v>5800</v>
      </c>
      <c r="U1223">
        <v>3.6</v>
      </c>
      <c r="V1223" t="s">
        <v>82</v>
      </c>
    </row>
    <row r="1224" spans="1:22" x14ac:dyDescent="0.3">
      <c r="A1224" t="s">
        <v>2728</v>
      </c>
      <c r="B1224" t="s">
        <v>2729</v>
      </c>
      <c r="C1224" t="s">
        <v>2730</v>
      </c>
      <c r="D1224" s="2">
        <v>46261</v>
      </c>
      <c r="E1224" t="s">
        <v>161</v>
      </c>
      <c r="F1224" t="s">
        <v>161</v>
      </c>
      <c r="G1224" t="s">
        <v>580</v>
      </c>
      <c r="H1224" t="s">
        <v>49</v>
      </c>
      <c r="I1224" t="s">
        <v>69</v>
      </c>
      <c r="J1224" t="s">
        <v>30</v>
      </c>
      <c r="K1224">
        <v>3</v>
      </c>
      <c r="L1224">
        <v>37</v>
      </c>
      <c r="M1224">
        <v>47200</v>
      </c>
      <c r="N1224">
        <v>0</v>
      </c>
      <c r="O1224">
        <v>47200</v>
      </c>
      <c r="P1224">
        <v>38300</v>
      </c>
      <c r="Q1224">
        <v>8900</v>
      </c>
      <c r="R1224">
        <v>18.86</v>
      </c>
      <c r="S1224" t="s">
        <v>39</v>
      </c>
      <c r="T1224">
        <v>6800</v>
      </c>
      <c r="U1224">
        <v>3.5</v>
      </c>
      <c r="V1224" t="s">
        <v>82</v>
      </c>
    </row>
    <row r="1225" spans="1:22" x14ac:dyDescent="0.3">
      <c r="A1225" t="s">
        <v>1965</v>
      </c>
      <c r="B1225" t="s">
        <v>1399</v>
      </c>
      <c r="C1225" t="s">
        <v>1400</v>
      </c>
      <c r="D1225" s="2">
        <v>46262</v>
      </c>
      <c r="E1225" t="s">
        <v>66</v>
      </c>
      <c r="F1225" t="s">
        <v>66</v>
      </c>
      <c r="G1225" t="s">
        <v>27</v>
      </c>
      <c r="H1225" t="s">
        <v>49</v>
      </c>
      <c r="I1225" t="s">
        <v>69</v>
      </c>
      <c r="J1225" t="s">
        <v>70</v>
      </c>
      <c r="K1225">
        <v>3</v>
      </c>
      <c r="L1225">
        <v>34</v>
      </c>
      <c r="M1225">
        <v>41600</v>
      </c>
      <c r="N1225">
        <v>8300</v>
      </c>
      <c r="O1225">
        <v>33300</v>
      </c>
      <c r="P1225">
        <v>33400</v>
      </c>
      <c r="Q1225">
        <v>-100</v>
      </c>
      <c r="R1225">
        <v>-0.3</v>
      </c>
      <c r="S1225" t="s">
        <v>126</v>
      </c>
      <c r="T1225">
        <v>5500</v>
      </c>
      <c r="U1225">
        <v>3.6</v>
      </c>
      <c r="V1225" t="s">
        <v>42</v>
      </c>
    </row>
    <row r="1226" spans="1:22" x14ac:dyDescent="0.3">
      <c r="A1226" t="s">
        <v>3233</v>
      </c>
      <c r="B1226" t="s">
        <v>351</v>
      </c>
      <c r="C1226" t="s">
        <v>352</v>
      </c>
      <c r="D1226" s="2">
        <v>46262</v>
      </c>
      <c r="E1226" t="s">
        <v>282</v>
      </c>
      <c r="F1226" t="s">
        <v>282</v>
      </c>
      <c r="G1226" t="s">
        <v>213</v>
      </c>
      <c r="H1226" t="s">
        <v>214</v>
      </c>
      <c r="I1226" t="s">
        <v>69</v>
      </c>
      <c r="J1226" t="s">
        <v>30</v>
      </c>
      <c r="K1226">
        <v>8</v>
      </c>
      <c r="L1226">
        <v>57</v>
      </c>
      <c r="M1226">
        <v>24000</v>
      </c>
      <c r="N1226">
        <v>4800</v>
      </c>
      <c r="O1226">
        <v>19200</v>
      </c>
      <c r="P1226">
        <v>12100</v>
      </c>
      <c r="Q1226">
        <v>7100</v>
      </c>
      <c r="R1226">
        <v>36.979999999999997</v>
      </c>
      <c r="S1226" t="s">
        <v>58</v>
      </c>
      <c r="T1226">
        <v>3000</v>
      </c>
      <c r="U1226">
        <v>3.6</v>
      </c>
      <c r="V1226" t="s">
        <v>42</v>
      </c>
    </row>
    <row r="1227" spans="1:22" x14ac:dyDescent="0.3">
      <c r="A1227" t="s">
        <v>2672</v>
      </c>
      <c r="B1227" t="s">
        <v>210</v>
      </c>
      <c r="C1227" t="s">
        <v>211</v>
      </c>
      <c r="D1227" s="2">
        <v>46262</v>
      </c>
      <c r="E1227" t="s">
        <v>161</v>
      </c>
      <c r="F1227" t="s">
        <v>161</v>
      </c>
      <c r="G1227" t="s">
        <v>67</v>
      </c>
      <c r="H1227" t="s">
        <v>214</v>
      </c>
      <c r="I1227" t="s">
        <v>69</v>
      </c>
      <c r="J1227" t="s">
        <v>162</v>
      </c>
      <c r="K1227">
        <v>5</v>
      </c>
      <c r="L1227">
        <v>64</v>
      </c>
      <c r="M1227">
        <v>17200</v>
      </c>
      <c r="N1227">
        <v>900</v>
      </c>
      <c r="O1227">
        <v>16300</v>
      </c>
      <c r="P1227">
        <v>11800</v>
      </c>
      <c r="Q1227">
        <v>4500</v>
      </c>
      <c r="R1227">
        <v>27.61</v>
      </c>
      <c r="S1227" t="s">
        <v>5471</v>
      </c>
      <c r="T1227">
        <v>1600</v>
      </c>
      <c r="U1227">
        <v>4.2</v>
      </c>
      <c r="V1227" t="s">
        <v>114</v>
      </c>
    </row>
    <row r="1228" spans="1:22" x14ac:dyDescent="0.3">
      <c r="A1228" t="s">
        <v>4626</v>
      </c>
      <c r="B1228" t="s">
        <v>1417</v>
      </c>
      <c r="C1228" t="s">
        <v>1418</v>
      </c>
      <c r="D1228" s="2">
        <v>46262</v>
      </c>
      <c r="E1228" t="s">
        <v>134</v>
      </c>
      <c r="F1228" t="s">
        <v>134</v>
      </c>
      <c r="G1228" t="s">
        <v>67</v>
      </c>
      <c r="H1228" t="s">
        <v>214</v>
      </c>
      <c r="I1228" t="s">
        <v>69</v>
      </c>
      <c r="J1228" t="s">
        <v>30</v>
      </c>
      <c r="K1228">
        <v>10</v>
      </c>
      <c r="L1228">
        <v>32</v>
      </c>
      <c r="M1228">
        <v>40600</v>
      </c>
      <c r="N1228">
        <v>4100</v>
      </c>
      <c r="O1228">
        <v>36500</v>
      </c>
      <c r="P1228">
        <v>24200</v>
      </c>
      <c r="Q1228">
        <v>12300</v>
      </c>
      <c r="R1228">
        <v>33.700000000000003</v>
      </c>
      <c r="S1228" t="s">
        <v>97</v>
      </c>
      <c r="T1228">
        <v>2900</v>
      </c>
      <c r="U1228">
        <v>4.0999999999999996</v>
      </c>
      <c r="V1228" t="s">
        <v>114</v>
      </c>
    </row>
    <row r="1229" spans="1:22" x14ac:dyDescent="0.3">
      <c r="A1229" t="s">
        <v>4788</v>
      </c>
      <c r="B1229" t="s">
        <v>3307</v>
      </c>
      <c r="C1229" t="s">
        <v>3308</v>
      </c>
      <c r="D1229" s="2">
        <v>46263</v>
      </c>
      <c r="E1229" t="s">
        <v>188</v>
      </c>
      <c r="F1229" t="s">
        <v>188</v>
      </c>
      <c r="G1229" t="s">
        <v>48</v>
      </c>
      <c r="H1229" t="s">
        <v>28</v>
      </c>
      <c r="I1229" t="s">
        <v>29</v>
      </c>
      <c r="J1229" t="s">
        <v>70</v>
      </c>
      <c r="K1229">
        <v>5</v>
      </c>
      <c r="L1229">
        <v>51</v>
      </c>
      <c r="M1229">
        <v>36300</v>
      </c>
      <c r="N1229">
        <v>0</v>
      </c>
      <c r="O1229">
        <v>36300</v>
      </c>
      <c r="P1229">
        <v>16600</v>
      </c>
      <c r="Q1229">
        <v>19700</v>
      </c>
      <c r="R1229">
        <v>54.27</v>
      </c>
      <c r="S1229" t="s">
        <v>97</v>
      </c>
      <c r="T1229">
        <v>5200</v>
      </c>
      <c r="V1229" t="s">
        <v>42</v>
      </c>
    </row>
    <row r="1230" spans="1:22" x14ac:dyDescent="0.3">
      <c r="A1230" t="s">
        <v>3431</v>
      </c>
      <c r="B1230" t="s">
        <v>2191</v>
      </c>
      <c r="C1230" t="s">
        <v>2192</v>
      </c>
      <c r="D1230" s="2">
        <v>46263</v>
      </c>
      <c r="E1230" t="s">
        <v>282</v>
      </c>
      <c r="F1230" t="s">
        <v>282</v>
      </c>
      <c r="G1230" t="s">
        <v>147</v>
      </c>
      <c r="H1230" t="s">
        <v>28</v>
      </c>
      <c r="I1230" t="s">
        <v>29</v>
      </c>
      <c r="J1230" t="s">
        <v>70</v>
      </c>
      <c r="K1230">
        <v>9</v>
      </c>
      <c r="L1230">
        <v>5</v>
      </c>
      <c r="M1230">
        <v>64500</v>
      </c>
      <c r="N1230">
        <v>0</v>
      </c>
      <c r="O1230">
        <v>64500</v>
      </c>
      <c r="P1230">
        <v>44400</v>
      </c>
      <c r="Q1230">
        <v>20100</v>
      </c>
      <c r="R1230">
        <v>31.16</v>
      </c>
      <c r="S1230" t="s">
        <v>97</v>
      </c>
      <c r="T1230">
        <v>3900</v>
      </c>
      <c r="U1230">
        <v>4.2</v>
      </c>
      <c r="V1230" t="s">
        <v>114</v>
      </c>
    </row>
    <row r="1231" spans="1:22" x14ac:dyDescent="0.3">
      <c r="A1231" t="s">
        <v>4307</v>
      </c>
      <c r="B1231" t="s">
        <v>4308</v>
      </c>
      <c r="C1231" t="s">
        <v>4309</v>
      </c>
      <c r="D1231" s="2">
        <v>46264</v>
      </c>
      <c r="E1231" t="s">
        <v>161</v>
      </c>
      <c r="F1231" t="s">
        <v>161</v>
      </c>
      <c r="G1231" t="s">
        <v>213</v>
      </c>
      <c r="H1231" t="s">
        <v>68</v>
      </c>
      <c r="I1231" t="s">
        <v>69</v>
      </c>
      <c r="J1231" t="s">
        <v>30</v>
      </c>
      <c r="K1231">
        <v>4</v>
      </c>
      <c r="L1231">
        <v>59</v>
      </c>
      <c r="M1231">
        <v>91000</v>
      </c>
      <c r="N1231">
        <v>0</v>
      </c>
      <c r="O1231">
        <v>91000</v>
      </c>
      <c r="P1231">
        <v>61300</v>
      </c>
      <c r="Q1231">
        <v>29700</v>
      </c>
      <c r="R1231">
        <v>32.64</v>
      </c>
      <c r="S1231" t="s">
        <v>79</v>
      </c>
      <c r="T1231">
        <v>16300</v>
      </c>
      <c r="U1231">
        <v>4.7</v>
      </c>
      <c r="V1231" t="s">
        <v>79</v>
      </c>
    </row>
    <row r="1232" spans="1:22" x14ac:dyDescent="0.3">
      <c r="A1232" t="s">
        <v>668</v>
      </c>
      <c r="B1232" t="s">
        <v>669</v>
      </c>
      <c r="C1232" t="s">
        <v>670</v>
      </c>
      <c r="D1232" s="2">
        <v>46264</v>
      </c>
      <c r="E1232" t="s">
        <v>244</v>
      </c>
      <c r="F1232" t="s">
        <v>244</v>
      </c>
      <c r="G1232" t="s">
        <v>213</v>
      </c>
      <c r="H1232" t="s">
        <v>214</v>
      </c>
      <c r="I1232" t="s">
        <v>69</v>
      </c>
      <c r="J1232" t="s">
        <v>30</v>
      </c>
      <c r="K1232">
        <v>2</v>
      </c>
      <c r="L1232">
        <v>31</v>
      </c>
      <c r="M1232">
        <v>74900</v>
      </c>
      <c r="N1232">
        <v>7500</v>
      </c>
      <c r="O1232">
        <v>67400</v>
      </c>
      <c r="P1232">
        <v>57700</v>
      </c>
      <c r="Q1232">
        <v>9700</v>
      </c>
      <c r="R1232">
        <v>14.39</v>
      </c>
      <c r="S1232" t="s">
        <v>79</v>
      </c>
      <c r="T1232">
        <v>6600</v>
      </c>
      <c r="U1232">
        <v>5</v>
      </c>
      <c r="V1232" t="s">
        <v>42</v>
      </c>
    </row>
    <row r="1233" spans="1:22" x14ac:dyDescent="0.3">
      <c r="A1233" t="s">
        <v>4941</v>
      </c>
      <c r="B1233" t="s">
        <v>4110</v>
      </c>
      <c r="C1233" t="s">
        <v>4111</v>
      </c>
      <c r="D1233" s="2">
        <v>46264</v>
      </c>
      <c r="E1233" t="s">
        <v>134</v>
      </c>
      <c r="F1233" t="s">
        <v>134</v>
      </c>
      <c r="G1233" t="s">
        <v>67</v>
      </c>
      <c r="H1233" t="s">
        <v>68</v>
      </c>
      <c r="I1233" t="s">
        <v>29</v>
      </c>
      <c r="J1233" t="s">
        <v>30</v>
      </c>
      <c r="K1233">
        <v>4</v>
      </c>
      <c r="L1233">
        <v>32</v>
      </c>
      <c r="M1233">
        <v>65600</v>
      </c>
      <c r="N1233">
        <v>0</v>
      </c>
      <c r="O1233">
        <v>65600</v>
      </c>
      <c r="P1233">
        <v>28400</v>
      </c>
      <c r="Q1233">
        <v>37200</v>
      </c>
      <c r="R1233">
        <v>56.71</v>
      </c>
      <c r="S1233" t="s">
        <v>126</v>
      </c>
      <c r="T1233">
        <v>9800</v>
      </c>
      <c r="U1233">
        <v>3.8</v>
      </c>
      <c r="V1233" t="s">
        <v>58</v>
      </c>
    </row>
    <row r="1234" spans="1:22" x14ac:dyDescent="0.3">
      <c r="A1234" t="s">
        <v>1955</v>
      </c>
      <c r="B1234" t="s">
        <v>756</v>
      </c>
      <c r="C1234" t="s">
        <v>757</v>
      </c>
      <c r="D1234" s="2">
        <v>46264</v>
      </c>
      <c r="E1234" t="s">
        <v>134</v>
      </c>
      <c r="F1234" t="s">
        <v>134</v>
      </c>
      <c r="G1234" t="s">
        <v>103</v>
      </c>
      <c r="H1234" t="s">
        <v>268</v>
      </c>
      <c r="I1234" t="s">
        <v>69</v>
      </c>
      <c r="J1234" t="s">
        <v>30</v>
      </c>
      <c r="K1234">
        <v>8</v>
      </c>
      <c r="L1234">
        <v>20</v>
      </c>
      <c r="M1234">
        <v>85800</v>
      </c>
      <c r="N1234">
        <v>8600</v>
      </c>
      <c r="O1234">
        <v>77200</v>
      </c>
      <c r="P1234">
        <v>58700</v>
      </c>
      <c r="Q1234">
        <v>18500</v>
      </c>
      <c r="R1234">
        <v>23.96</v>
      </c>
      <c r="S1234" t="s">
        <v>97</v>
      </c>
      <c r="T1234">
        <v>6900</v>
      </c>
      <c r="U1234">
        <v>3.7</v>
      </c>
      <c r="V1234" t="s">
        <v>42</v>
      </c>
    </row>
    <row r="1235" spans="1:22" x14ac:dyDescent="0.3">
      <c r="A1235" t="s">
        <v>3239</v>
      </c>
      <c r="B1235" t="s">
        <v>825</v>
      </c>
      <c r="C1235" t="s">
        <v>826</v>
      </c>
      <c r="D1235" s="2">
        <v>46264</v>
      </c>
      <c r="E1235" t="s">
        <v>282</v>
      </c>
      <c r="F1235" t="s">
        <v>282</v>
      </c>
      <c r="G1235" t="s">
        <v>580</v>
      </c>
      <c r="H1235" t="s">
        <v>68</v>
      </c>
      <c r="I1235" t="s">
        <v>29</v>
      </c>
      <c r="J1235" t="s">
        <v>30</v>
      </c>
      <c r="K1235">
        <v>9</v>
      </c>
      <c r="L1235">
        <v>13</v>
      </c>
      <c r="M1235">
        <v>16800</v>
      </c>
      <c r="N1235">
        <v>0</v>
      </c>
      <c r="O1235">
        <v>16800</v>
      </c>
      <c r="P1235">
        <v>8400</v>
      </c>
      <c r="Q1235">
        <v>8400</v>
      </c>
      <c r="R1235">
        <v>50</v>
      </c>
      <c r="S1235" t="s">
        <v>126</v>
      </c>
      <c r="T1235">
        <v>2100</v>
      </c>
      <c r="U1235">
        <v>3.7</v>
      </c>
      <c r="V1235" t="s">
        <v>79</v>
      </c>
    </row>
    <row r="1236" spans="1:22" x14ac:dyDescent="0.3">
      <c r="A1236" t="s">
        <v>2709</v>
      </c>
      <c r="B1236" t="s">
        <v>1697</v>
      </c>
      <c r="C1236" t="s">
        <v>1698</v>
      </c>
      <c r="D1236" s="2">
        <v>46264</v>
      </c>
      <c r="E1236" t="s">
        <v>228</v>
      </c>
      <c r="F1236" t="s">
        <v>228</v>
      </c>
      <c r="G1236" t="s">
        <v>213</v>
      </c>
      <c r="H1236" t="s">
        <v>88</v>
      </c>
      <c r="I1236" t="s">
        <v>69</v>
      </c>
      <c r="J1236" t="s">
        <v>30</v>
      </c>
      <c r="K1236">
        <v>4</v>
      </c>
      <c r="L1236">
        <v>26</v>
      </c>
      <c r="M1236">
        <v>67800</v>
      </c>
      <c r="N1236">
        <v>3400</v>
      </c>
      <c r="O1236">
        <v>64400</v>
      </c>
      <c r="P1236">
        <v>45400</v>
      </c>
      <c r="Q1236">
        <v>19000</v>
      </c>
      <c r="R1236">
        <v>29.5</v>
      </c>
      <c r="S1236" t="s">
        <v>79</v>
      </c>
      <c r="T1236">
        <v>10200</v>
      </c>
      <c r="U1236">
        <v>4.0999999999999996</v>
      </c>
      <c r="V1236" t="s">
        <v>82</v>
      </c>
    </row>
    <row r="1237" spans="1:22" x14ac:dyDescent="0.3">
      <c r="A1237" t="s">
        <v>4918</v>
      </c>
      <c r="B1237" t="s">
        <v>2438</v>
      </c>
      <c r="C1237" t="s">
        <v>2439</v>
      </c>
      <c r="D1237" s="2">
        <v>46265</v>
      </c>
      <c r="E1237" t="s">
        <v>134</v>
      </c>
      <c r="F1237" t="s">
        <v>134</v>
      </c>
      <c r="G1237" t="s">
        <v>580</v>
      </c>
      <c r="H1237" t="s">
        <v>49</v>
      </c>
      <c r="I1237" t="s">
        <v>69</v>
      </c>
      <c r="J1237" t="s">
        <v>30</v>
      </c>
      <c r="K1237">
        <v>5</v>
      </c>
      <c r="L1237">
        <v>5</v>
      </c>
      <c r="M1237">
        <v>21900</v>
      </c>
      <c r="N1237">
        <v>0</v>
      </c>
      <c r="O1237">
        <v>21900</v>
      </c>
      <c r="P1237">
        <v>17400</v>
      </c>
      <c r="Q1237">
        <v>4500</v>
      </c>
      <c r="R1237">
        <v>20.55</v>
      </c>
      <c r="S1237" t="s">
        <v>39</v>
      </c>
      <c r="T1237">
        <v>1000</v>
      </c>
      <c r="U1237">
        <v>4.5</v>
      </c>
      <c r="V1237" t="s">
        <v>79</v>
      </c>
    </row>
    <row r="1238" spans="1:22" x14ac:dyDescent="0.3">
      <c r="A1238" t="s">
        <v>3359</v>
      </c>
      <c r="B1238" t="s">
        <v>2135</v>
      </c>
      <c r="C1238" t="s">
        <v>2136</v>
      </c>
      <c r="D1238" s="2">
        <v>46265</v>
      </c>
      <c r="E1238" t="s">
        <v>244</v>
      </c>
      <c r="F1238" t="s">
        <v>244</v>
      </c>
      <c r="G1238" t="s">
        <v>67</v>
      </c>
      <c r="H1238" t="s">
        <v>214</v>
      </c>
      <c r="I1238" t="s">
        <v>69</v>
      </c>
      <c r="J1238" t="s">
        <v>30</v>
      </c>
      <c r="K1238">
        <v>5</v>
      </c>
      <c r="L1238">
        <v>59</v>
      </c>
      <c r="M1238">
        <v>83100</v>
      </c>
      <c r="N1238">
        <v>4200</v>
      </c>
      <c r="O1238">
        <v>78900</v>
      </c>
      <c r="P1238">
        <v>45400</v>
      </c>
      <c r="Q1238">
        <v>33500</v>
      </c>
      <c r="R1238">
        <v>42.46</v>
      </c>
      <c r="S1238" t="s">
        <v>182</v>
      </c>
      <c r="T1238">
        <v>7200</v>
      </c>
      <c r="U1238">
        <v>4.5999999999999996</v>
      </c>
      <c r="V1238" t="s">
        <v>79</v>
      </c>
    </row>
    <row r="1239" spans="1:22" x14ac:dyDescent="0.3">
      <c r="A1239" t="s">
        <v>844</v>
      </c>
      <c r="B1239" t="s">
        <v>845</v>
      </c>
      <c r="C1239" t="s">
        <v>846</v>
      </c>
      <c r="D1239" s="2">
        <v>46266</v>
      </c>
      <c r="E1239" t="s">
        <v>282</v>
      </c>
      <c r="F1239" t="s">
        <v>282</v>
      </c>
      <c r="G1239" t="s">
        <v>67</v>
      </c>
      <c r="H1239" t="s">
        <v>268</v>
      </c>
      <c r="I1239" t="s">
        <v>69</v>
      </c>
      <c r="J1239" t="s">
        <v>30</v>
      </c>
      <c r="K1239">
        <v>9</v>
      </c>
      <c r="L1239">
        <v>63</v>
      </c>
      <c r="M1239">
        <v>51100</v>
      </c>
      <c r="N1239">
        <v>0</v>
      </c>
      <c r="O1239">
        <v>51100</v>
      </c>
      <c r="P1239">
        <v>22800</v>
      </c>
      <c r="Q1239">
        <v>28300</v>
      </c>
      <c r="R1239">
        <v>55.38</v>
      </c>
      <c r="S1239" t="s">
        <v>97</v>
      </c>
      <c r="T1239">
        <v>5000</v>
      </c>
      <c r="U1239">
        <v>4.9000000000000004</v>
      </c>
      <c r="V1239" t="s">
        <v>79</v>
      </c>
    </row>
    <row r="1240" spans="1:22" x14ac:dyDescent="0.3">
      <c r="A1240" t="s">
        <v>4638</v>
      </c>
      <c r="B1240" t="s">
        <v>595</v>
      </c>
      <c r="C1240" t="s">
        <v>596</v>
      </c>
      <c r="D1240" s="2">
        <v>46266</v>
      </c>
      <c r="E1240" t="s">
        <v>161</v>
      </c>
      <c r="F1240" t="s">
        <v>161</v>
      </c>
      <c r="G1240" t="s">
        <v>48</v>
      </c>
      <c r="H1240" t="s">
        <v>5470</v>
      </c>
      <c r="I1240" t="s">
        <v>29</v>
      </c>
      <c r="J1240" t="s">
        <v>30</v>
      </c>
      <c r="K1240">
        <v>6</v>
      </c>
      <c r="L1240">
        <v>16</v>
      </c>
      <c r="M1240">
        <v>15000</v>
      </c>
      <c r="N1240">
        <v>1500</v>
      </c>
      <c r="O1240">
        <v>13500</v>
      </c>
      <c r="P1240">
        <v>8200</v>
      </c>
      <c r="Q1240">
        <v>5300</v>
      </c>
      <c r="R1240">
        <v>39.26</v>
      </c>
      <c r="S1240" t="s">
        <v>97</v>
      </c>
      <c r="T1240">
        <v>1000</v>
      </c>
      <c r="U1240">
        <v>4</v>
      </c>
      <c r="V1240" t="s">
        <v>42</v>
      </c>
    </row>
    <row r="1241" spans="1:22" x14ac:dyDescent="0.3">
      <c r="A1241" t="s">
        <v>2085</v>
      </c>
      <c r="B1241" t="s">
        <v>615</v>
      </c>
      <c r="C1241" t="s">
        <v>616</v>
      </c>
      <c r="D1241" s="2">
        <v>46266</v>
      </c>
      <c r="E1241" t="s">
        <v>282</v>
      </c>
      <c r="F1241" t="s">
        <v>282</v>
      </c>
      <c r="G1241" t="s">
        <v>118</v>
      </c>
      <c r="H1241" t="s">
        <v>229</v>
      </c>
      <c r="I1241" t="s">
        <v>69</v>
      </c>
      <c r="J1241" t="s">
        <v>30</v>
      </c>
      <c r="K1241">
        <v>3</v>
      </c>
      <c r="L1241">
        <v>33</v>
      </c>
      <c r="M1241">
        <v>25600</v>
      </c>
      <c r="N1241">
        <v>0</v>
      </c>
      <c r="O1241">
        <v>25600</v>
      </c>
      <c r="P1241">
        <v>20200</v>
      </c>
      <c r="Q1241">
        <v>5400</v>
      </c>
      <c r="R1241">
        <v>21.09</v>
      </c>
      <c r="S1241" t="s">
        <v>79</v>
      </c>
      <c r="T1241">
        <v>4500</v>
      </c>
      <c r="U1241">
        <v>3.5</v>
      </c>
      <c r="V1241" t="s">
        <v>79</v>
      </c>
    </row>
    <row r="1242" spans="1:22" x14ac:dyDescent="0.3">
      <c r="A1242" t="s">
        <v>3024</v>
      </c>
      <c r="B1242" t="s">
        <v>1446</v>
      </c>
      <c r="C1242" t="s">
        <v>1447</v>
      </c>
      <c r="D1242" s="2">
        <v>46267</v>
      </c>
      <c r="E1242" t="s">
        <v>161</v>
      </c>
      <c r="F1242" t="s">
        <v>161</v>
      </c>
      <c r="G1242" t="s">
        <v>67</v>
      </c>
      <c r="H1242" t="s">
        <v>28</v>
      </c>
      <c r="I1242" t="s">
        <v>69</v>
      </c>
      <c r="J1242" t="s">
        <v>30</v>
      </c>
      <c r="K1242">
        <v>10</v>
      </c>
      <c r="L1242">
        <v>60</v>
      </c>
      <c r="M1242">
        <v>15000</v>
      </c>
      <c r="N1242">
        <v>0</v>
      </c>
      <c r="O1242">
        <v>15000</v>
      </c>
      <c r="P1242">
        <v>12200</v>
      </c>
      <c r="Q1242">
        <v>2800</v>
      </c>
      <c r="R1242">
        <v>18.670000000000002</v>
      </c>
      <c r="S1242" t="s">
        <v>79</v>
      </c>
      <c r="T1242">
        <v>2600</v>
      </c>
      <c r="U1242">
        <v>3</v>
      </c>
      <c r="V1242" t="s">
        <v>114</v>
      </c>
    </row>
    <row r="1243" spans="1:22" x14ac:dyDescent="0.3">
      <c r="A1243" t="s">
        <v>519</v>
      </c>
      <c r="B1243" t="s">
        <v>520</v>
      </c>
      <c r="C1243" t="s">
        <v>521</v>
      </c>
      <c r="D1243" s="2">
        <v>46268</v>
      </c>
      <c r="E1243" t="s">
        <v>244</v>
      </c>
      <c r="F1243" t="s">
        <v>244</v>
      </c>
      <c r="G1243" t="s">
        <v>48</v>
      </c>
      <c r="H1243" t="s">
        <v>5470</v>
      </c>
      <c r="I1243" t="s">
        <v>29</v>
      </c>
      <c r="J1243" t="s">
        <v>30</v>
      </c>
      <c r="K1243">
        <v>8</v>
      </c>
      <c r="L1243">
        <v>19</v>
      </c>
      <c r="M1243">
        <v>72100</v>
      </c>
      <c r="N1243">
        <v>14400</v>
      </c>
      <c r="O1243">
        <v>57700</v>
      </c>
      <c r="P1243">
        <v>34200</v>
      </c>
      <c r="Q1243">
        <v>23500</v>
      </c>
      <c r="R1243">
        <v>40.729999999999997</v>
      </c>
      <c r="S1243" t="s">
        <v>58</v>
      </c>
      <c r="T1243">
        <v>5200</v>
      </c>
      <c r="U1243">
        <v>3.8</v>
      </c>
      <c r="V1243" t="s">
        <v>58</v>
      </c>
    </row>
    <row r="1244" spans="1:22" x14ac:dyDescent="0.3">
      <c r="A1244" t="s">
        <v>1691</v>
      </c>
      <c r="B1244" t="s">
        <v>1269</v>
      </c>
      <c r="C1244" t="s">
        <v>1270</v>
      </c>
      <c r="D1244" s="2">
        <v>46268</v>
      </c>
      <c r="E1244" t="s">
        <v>134</v>
      </c>
      <c r="F1244" t="s">
        <v>134</v>
      </c>
      <c r="G1244" t="s">
        <v>27</v>
      </c>
      <c r="H1244" t="s">
        <v>5470</v>
      </c>
      <c r="I1244" t="s">
        <v>69</v>
      </c>
      <c r="J1244" t="s">
        <v>30</v>
      </c>
      <c r="K1244">
        <v>3</v>
      </c>
      <c r="L1244">
        <v>72</v>
      </c>
      <c r="M1244">
        <v>39900</v>
      </c>
      <c r="N1244">
        <v>0</v>
      </c>
      <c r="O1244">
        <v>39900</v>
      </c>
      <c r="P1244">
        <v>27800</v>
      </c>
      <c r="Q1244">
        <v>12100</v>
      </c>
      <c r="R1244">
        <v>30.33</v>
      </c>
      <c r="S1244" t="s">
        <v>39</v>
      </c>
      <c r="T1244">
        <v>3700</v>
      </c>
      <c r="U1244">
        <v>4.2</v>
      </c>
      <c r="V1244" t="s">
        <v>58</v>
      </c>
    </row>
    <row r="1245" spans="1:22" x14ac:dyDescent="0.3">
      <c r="A1245" t="s">
        <v>2925</v>
      </c>
      <c r="B1245" t="s">
        <v>845</v>
      </c>
      <c r="C1245" t="s">
        <v>846</v>
      </c>
      <c r="D1245" s="2">
        <v>46268</v>
      </c>
      <c r="E1245" t="s">
        <v>282</v>
      </c>
      <c r="F1245" t="s">
        <v>282</v>
      </c>
      <c r="G1245" t="s">
        <v>103</v>
      </c>
      <c r="H1245" t="s">
        <v>68</v>
      </c>
      <c r="I1245" t="s">
        <v>69</v>
      </c>
      <c r="J1245" t="s">
        <v>30</v>
      </c>
      <c r="K1245">
        <v>4</v>
      </c>
      <c r="L1245">
        <v>47</v>
      </c>
      <c r="M1245">
        <v>53800</v>
      </c>
      <c r="N1245">
        <v>0</v>
      </c>
      <c r="O1245">
        <v>53800</v>
      </c>
      <c r="P1245">
        <v>39500</v>
      </c>
      <c r="Q1245">
        <v>14300</v>
      </c>
      <c r="R1245">
        <v>26.58</v>
      </c>
      <c r="S1245" t="s">
        <v>58</v>
      </c>
      <c r="T1245">
        <v>7400</v>
      </c>
      <c r="U1245">
        <v>4.0999999999999996</v>
      </c>
      <c r="V1245" t="s">
        <v>42</v>
      </c>
    </row>
    <row r="1246" spans="1:22" x14ac:dyDescent="0.3">
      <c r="A1246" t="s">
        <v>2755</v>
      </c>
      <c r="B1246" t="s">
        <v>2756</v>
      </c>
      <c r="C1246" t="s">
        <v>2757</v>
      </c>
      <c r="D1246" s="2">
        <v>46269</v>
      </c>
      <c r="E1246" t="s">
        <v>66</v>
      </c>
      <c r="F1246" t="s">
        <v>66</v>
      </c>
      <c r="G1246" t="s">
        <v>580</v>
      </c>
      <c r="H1246" t="s">
        <v>214</v>
      </c>
      <c r="I1246" t="s">
        <v>69</v>
      </c>
      <c r="J1246" t="s">
        <v>162</v>
      </c>
      <c r="K1246">
        <v>2</v>
      </c>
      <c r="L1246">
        <v>64</v>
      </c>
      <c r="M1246">
        <v>28100</v>
      </c>
      <c r="N1246">
        <v>0</v>
      </c>
      <c r="O1246">
        <v>28100</v>
      </c>
      <c r="P1246">
        <v>19300</v>
      </c>
      <c r="Q1246">
        <v>8800</v>
      </c>
      <c r="R1246">
        <v>31.32</v>
      </c>
      <c r="S1246" t="s">
        <v>39</v>
      </c>
      <c r="T1246">
        <v>1200</v>
      </c>
      <c r="U1246">
        <v>4.5999999999999996</v>
      </c>
      <c r="V1246" t="s">
        <v>114</v>
      </c>
    </row>
    <row r="1247" spans="1:22" x14ac:dyDescent="0.3">
      <c r="A1247" t="s">
        <v>4115</v>
      </c>
      <c r="B1247" t="s">
        <v>1359</v>
      </c>
      <c r="C1247" t="s">
        <v>1360</v>
      </c>
      <c r="D1247" s="2">
        <v>46270</v>
      </c>
      <c r="E1247" t="s">
        <v>282</v>
      </c>
      <c r="F1247" t="s">
        <v>282</v>
      </c>
      <c r="G1247" t="s">
        <v>103</v>
      </c>
      <c r="H1247" t="s">
        <v>49</v>
      </c>
      <c r="I1247" t="s">
        <v>29</v>
      </c>
      <c r="J1247" t="s">
        <v>30</v>
      </c>
      <c r="K1247">
        <v>2</v>
      </c>
      <c r="L1247">
        <v>16</v>
      </c>
      <c r="M1247">
        <v>28700</v>
      </c>
      <c r="N1247">
        <v>1400</v>
      </c>
      <c r="O1247">
        <v>27300</v>
      </c>
      <c r="P1247">
        <v>23400</v>
      </c>
      <c r="Q1247">
        <v>3900</v>
      </c>
      <c r="R1247">
        <v>14.29</v>
      </c>
      <c r="S1247" t="s">
        <v>126</v>
      </c>
      <c r="T1247">
        <v>3100</v>
      </c>
      <c r="U1247">
        <v>4.4000000000000004</v>
      </c>
      <c r="V1247" t="s">
        <v>114</v>
      </c>
    </row>
    <row r="1248" spans="1:22" x14ac:dyDescent="0.3">
      <c r="A1248" t="s">
        <v>1877</v>
      </c>
      <c r="B1248" t="s">
        <v>197</v>
      </c>
      <c r="C1248" t="s">
        <v>198</v>
      </c>
      <c r="D1248" s="2">
        <v>46270</v>
      </c>
      <c r="E1248" t="s">
        <v>26</v>
      </c>
      <c r="F1248" t="s">
        <v>26</v>
      </c>
      <c r="G1248" t="s">
        <v>67</v>
      </c>
      <c r="H1248" t="s">
        <v>28</v>
      </c>
      <c r="I1248" t="s">
        <v>69</v>
      </c>
      <c r="J1248" t="s">
        <v>162</v>
      </c>
      <c r="K1248">
        <v>7</v>
      </c>
      <c r="L1248">
        <v>33</v>
      </c>
      <c r="M1248">
        <v>49400</v>
      </c>
      <c r="N1248">
        <v>4900</v>
      </c>
      <c r="O1248">
        <v>44500</v>
      </c>
      <c r="P1248">
        <v>37800</v>
      </c>
      <c r="Q1248">
        <v>6700</v>
      </c>
      <c r="R1248">
        <v>15.06</v>
      </c>
      <c r="S1248" t="s">
        <v>58</v>
      </c>
      <c r="T1248">
        <v>5600</v>
      </c>
      <c r="U1248">
        <v>3.8</v>
      </c>
      <c r="V1248" t="s">
        <v>42</v>
      </c>
    </row>
    <row r="1249" spans="1:22" x14ac:dyDescent="0.3">
      <c r="A1249" t="s">
        <v>4129</v>
      </c>
      <c r="B1249" t="s">
        <v>1333</v>
      </c>
      <c r="C1249" t="s">
        <v>1334</v>
      </c>
      <c r="D1249" s="2">
        <v>46271</v>
      </c>
      <c r="E1249" t="s">
        <v>66</v>
      </c>
      <c r="F1249" t="s">
        <v>66</v>
      </c>
      <c r="G1249" t="s">
        <v>213</v>
      </c>
      <c r="H1249" t="s">
        <v>268</v>
      </c>
      <c r="I1249" t="s">
        <v>69</v>
      </c>
      <c r="J1249" t="s">
        <v>257</v>
      </c>
      <c r="K1249">
        <v>9</v>
      </c>
      <c r="L1249">
        <v>29</v>
      </c>
      <c r="M1249">
        <v>67700</v>
      </c>
      <c r="N1249">
        <v>3400</v>
      </c>
      <c r="O1249">
        <v>64300</v>
      </c>
      <c r="P1249">
        <v>54200</v>
      </c>
      <c r="Q1249">
        <v>10100</v>
      </c>
      <c r="R1249">
        <v>15.71</v>
      </c>
      <c r="S1249" t="s">
        <v>39</v>
      </c>
      <c r="T1249">
        <v>7700</v>
      </c>
      <c r="U1249">
        <v>4.3</v>
      </c>
      <c r="V1249" t="s">
        <v>58</v>
      </c>
    </row>
    <row r="1250" spans="1:22" x14ac:dyDescent="0.3">
      <c r="A1250" t="s">
        <v>3988</v>
      </c>
      <c r="B1250" t="s">
        <v>956</v>
      </c>
      <c r="C1250" t="s">
        <v>957</v>
      </c>
      <c r="D1250" s="2">
        <v>46271</v>
      </c>
      <c r="E1250" t="s">
        <v>161</v>
      </c>
      <c r="F1250" t="s">
        <v>161</v>
      </c>
      <c r="G1250" t="s">
        <v>48</v>
      </c>
      <c r="H1250" t="s">
        <v>5470</v>
      </c>
      <c r="I1250" t="s">
        <v>29</v>
      </c>
      <c r="J1250" t="s">
        <v>30</v>
      </c>
      <c r="K1250">
        <v>2</v>
      </c>
      <c r="L1250">
        <v>32</v>
      </c>
      <c r="M1250">
        <v>47100</v>
      </c>
      <c r="N1250">
        <v>4700</v>
      </c>
      <c r="O1250">
        <v>42400</v>
      </c>
      <c r="P1250">
        <v>31000</v>
      </c>
      <c r="Q1250">
        <v>11400</v>
      </c>
      <c r="R1250">
        <v>26.89</v>
      </c>
      <c r="S1250" t="s">
        <v>126</v>
      </c>
      <c r="T1250">
        <v>5900</v>
      </c>
      <c r="U1250">
        <v>4.8</v>
      </c>
      <c r="V1250" t="s">
        <v>42</v>
      </c>
    </row>
    <row r="1251" spans="1:22" x14ac:dyDescent="0.3">
      <c r="A1251" t="s">
        <v>1185</v>
      </c>
      <c r="B1251" t="s">
        <v>1186</v>
      </c>
      <c r="C1251" t="s">
        <v>1187</v>
      </c>
      <c r="D1251" s="2">
        <v>46272</v>
      </c>
      <c r="E1251" t="s">
        <v>244</v>
      </c>
      <c r="F1251" t="s">
        <v>244</v>
      </c>
      <c r="G1251" t="s">
        <v>213</v>
      </c>
      <c r="H1251" t="s">
        <v>214</v>
      </c>
      <c r="I1251" t="s">
        <v>29</v>
      </c>
      <c r="J1251" t="s">
        <v>30</v>
      </c>
      <c r="K1251">
        <v>6</v>
      </c>
      <c r="L1251">
        <v>53</v>
      </c>
      <c r="M1251">
        <v>15000</v>
      </c>
      <c r="N1251">
        <v>0</v>
      </c>
      <c r="O1251">
        <v>15000</v>
      </c>
      <c r="P1251">
        <v>11800</v>
      </c>
      <c r="Q1251">
        <v>3200</v>
      </c>
      <c r="R1251">
        <v>21.33</v>
      </c>
      <c r="S1251" t="s">
        <v>79</v>
      </c>
      <c r="T1251">
        <v>1600</v>
      </c>
      <c r="U1251">
        <v>4.5999999999999996</v>
      </c>
      <c r="V1251" t="s">
        <v>42</v>
      </c>
    </row>
    <row r="1252" spans="1:22" x14ac:dyDescent="0.3">
      <c r="A1252" t="s">
        <v>2390</v>
      </c>
      <c r="B1252" t="s">
        <v>2364</v>
      </c>
      <c r="C1252" t="s">
        <v>2365</v>
      </c>
      <c r="D1252" s="2">
        <v>46272</v>
      </c>
      <c r="E1252" t="s">
        <v>134</v>
      </c>
      <c r="F1252" t="s">
        <v>134</v>
      </c>
      <c r="G1252" t="s">
        <v>147</v>
      </c>
      <c r="H1252" t="s">
        <v>214</v>
      </c>
      <c r="I1252" t="s">
        <v>29</v>
      </c>
      <c r="J1252" t="s">
        <v>70</v>
      </c>
      <c r="K1252">
        <v>8</v>
      </c>
      <c r="L1252">
        <v>47</v>
      </c>
      <c r="M1252">
        <v>51500</v>
      </c>
      <c r="N1252">
        <v>2600</v>
      </c>
      <c r="O1252">
        <v>48900</v>
      </c>
      <c r="P1252">
        <v>24400</v>
      </c>
      <c r="Q1252">
        <v>24500</v>
      </c>
      <c r="R1252">
        <v>50.1</v>
      </c>
      <c r="S1252" t="s">
        <v>126</v>
      </c>
      <c r="T1252">
        <v>8200</v>
      </c>
      <c r="U1252">
        <v>4.3</v>
      </c>
      <c r="V1252" t="s">
        <v>82</v>
      </c>
    </row>
    <row r="1253" spans="1:22" x14ac:dyDescent="0.3">
      <c r="A1253" t="s">
        <v>4238</v>
      </c>
      <c r="B1253" t="s">
        <v>2803</v>
      </c>
      <c r="C1253" t="s">
        <v>2804</v>
      </c>
      <c r="D1253" s="2">
        <v>46273</v>
      </c>
      <c r="E1253" t="s">
        <v>134</v>
      </c>
      <c r="F1253" t="s">
        <v>134</v>
      </c>
      <c r="G1253" t="s">
        <v>48</v>
      </c>
      <c r="H1253" t="s">
        <v>28</v>
      </c>
      <c r="I1253" t="s">
        <v>69</v>
      </c>
      <c r="J1253" t="s">
        <v>70</v>
      </c>
      <c r="K1253">
        <v>3</v>
      </c>
      <c r="L1253">
        <v>24</v>
      </c>
      <c r="M1253">
        <v>43600</v>
      </c>
      <c r="N1253">
        <v>4400</v>
      </c>
      <c r="O1253">
        <v>39200</v>
      </c>
      <c r="P1253">
        <v>23800</v>
      </c>
      <c r="Q1253">
        <v>15400</v>
      </c>
      <c r="R1253">
        <v>39.29</v>
      </c>
      <c r="S1253" t="s">
        <v>79</v>
      </c>
      <c r="T1253">
        <v>1800</v>
      </c>
      <c r="U1253">
        <v>4.5999999999999996</v>
      </c>
      <c r="V1253" t="s">
        <v>114</v>
      </c>
    </row>
    <row r="1254" spans="1:22" x14ac:dyDescent="0.3">
      <c r="A1254" t="s">
        <v>1441</v>
      </c>
      <c r="B1254" t="s">
        <v>463</v>
      </c>
      <c r="C1254" t="s">
        <v>464</v>
      </c>
      <c r="D1254" s="2">
        <v>46274</v>
      </c>
      <c r="E1254" t="s">
        <v>26</v>
      </c>
      <c r="F1254" t="s">
        <v>26</v>
      </c>
      <c r="G1254" t="s">
        <v>27</v>
      </c>
      <c r="H1254" t="s">
        <v>5470</v>
      </c>
      <c r="I1254" t="s">
        <v>69</v>
      </c>
      <c r="J1254" t="s">
        <v>30</v>
      </c>
      <c r="K1254">
        <v>4</v>
      </c>
      <c r="L1254">
        <v>55</v>
      </c>
      <c r="M1254">
        <v>94700</v>
      </c>
      <c r="N1254">
        <v>9500</v>
      </c>
      <c r="O1254">
        <v>85200</v>
      </c>
      <c r="P1254">
        <v>41100</v>
      </c>
      <c r="Q1254">
        <v>44100</v>
      </c>
      <c r="R1254">
        <v>51.76</v>
      </c>
      <c r="S1254" t="s">
        <v>126</v>
      </c>
      <c r="T1254">
        <v>10300</v>
      </c>
      <c r="U1254">
        <v>4.5</v>
      </c>
      <c r="V1254" t="s">
        <v>82</v>
      </c>
    </row>
    <row r="1255" spans="1:22" x14ac:dyDescent="0.3">
      <c r="A1255" t="s">
        <v>1262</v>
      </c>
      <c r="B1255" t="s">
        <v>1263</v>
      </c>
      <c r="C1255" t="s">
        <v>1264</v>
      </c>
      <c r="D1255" s="2">
        <v>46274</v>
      </c>
      <c r="E1255" t="s">
        <v>134</v>
      </c>
      <c r="F1255" t="s">
        <v>134</v>
      </c>
      <c r="G1255" t="s">
        <v>213</v>
      </c>
      <c r="H1255" t="s">
        <v>214</v>
      </c>
      <c r="I1255" t="s">
        <v>29</v>
      </c>
      <c r="J1255" t="s">
        <v>70</v>
      </c>
      <c r="K1255">
        <v>4</v>
      </c>
      <c r="L1255">
        <v>59</v>
      </c>
      <c r="M1255">
        <v>30700</v>
      </c>
      <c r="N1255">
        <v>4600</v>
      </c>
      <c r="O1255">
        <v>26100</v>
      </c>
      <c r="P1255">
        <v>17300</v>
      </c>
      <c r="Q1255">
        <v>8800</v>
      </c>
      <c r="R1255">
        <v>33.72</v>
      </c>
      <c r="S1255" t="s">
        <v>58</v>
      </c>
      <c r="T1255">
        <v>2100</v>
      </c>
      <c r="U1255">
        <v>4.7</v>
      </c>
      <c r="V1255" t="s">
        <v>58</v>
      </c>
    </row>
    <row r="1256" spans="1:22" x14ac:dyDescent="0.3">
      <c r="A1256" t="s">
        <v>1445</v>
      </c>
      <c r="B1256" t="s">
        <v>1446</v>
      </c>
      <c r="C1256" t="s">
        <v>1447</v>
      </c>
      <c r="D1256" s="2">
        <v>46275</v>
      </c>
      <c r="E1256" t="s">
        <v>66</v>
      </c>
      <c r="F1256" t="s">
        <v>66</v>
      </c>
      <c r="G1256" t="s">
        <v>118</v>
      </c>
      <c r="H1256" t="s">
        <v>214</v>
      </c>
      <c r="I1256" t="s">
        <v>69</v>
      </c>
      <c r="J1256" t="s">
        <v>30</v>
      </c>
      <c r="K1256">
        <v>8</v>
      </c>
      <c r="L1256">
        <v>26</v>
      </c>
      <c r="M1256">
        <v>35800</v>
      </c>
      <c r="N1256">
        <v>0</v>
      </c>
      <c r="O1256">
        <v>35800</v>
      </c>
      <c r="P1256">
        <v>27800</v>
      </c>
      <c r="Q1256">
        <v>8000</v>
      </c>
      <c r="R1256">
        <v>22.35</v>
      </c>
      <c r="S1256" t="s">
        <v>39</v>
      </c>
      <c r="T1256">
        <v>5700</v>
      </c>
      <c r="U1256">
        <v>4.0999999999999996</v>
      </c>
      <c r="V1256" t="s">
        <v>82</v>
      </c>
    </row>
    <row r="1257" spans="1:22" x14ac:dyDescent="0.3">
      <c r="A1257" t="s">
        <v>5225</v>
      </c>
      <c r="B1257" t="s">
        <v>1662</v>
      </c>
      <c r="C1257" t="s">
        <v>1663</v>
      </c>
      <c r="D1257" s="2">
        <v>46275</v>
      </c>
      <c r="E1257" t="s">
        <v>282</v>
      </c>
      <c r="F1257" t="s">
        <v>282</v>
      </c>
      <c r="G1257" t="s">
        <v>67</v>
      </c>
      <c r="H1257" t="s">
        <v>68</v>
      </c>
      <c r="I1257" t="s">
        <v>29</v>
      </c>
      <c r="J1257" t="s">
        <v>30</v>
      </c>
      <c r="K1257">
        <v>2</v>
      </c>
      <c r="L1257">
        <v>5</v>
      </c>
      <c r="M1257">
        <v>81100</v>
      </c>
      <c r="N1257">
        <v>0</v>
      </c>
      <c r="O1257">
        <v>81100</v>
      </c>
      <c r="P1257">
        <v>34400</v>
      </c>
      <c r="Q1257">
        <v>46700</v>
      </c>
      <c r="R1257">
        <v>57.58</v>
      </c>
      <c r="S1257" t="s">
        <v>126</v>
      </c>
      <c r="T1257">
        <v>12000</v>
      </c>
      <c r="U1257">
        <v>4.2</v>
      </c>
      <c r="V1257" t="s">
        <v>58</v>
      </c>
    </row>
    <row r="1258" spans="1:22" x14ac:dyDescent="0.3">
      <c r="A1258" t="s">
        <v>4205</v>
      </c>
      <c r="B1258" t="s">
        <v>4206</v>
      </c>
      <c r="C1258" t="s">
        <v>4207</v>
      </c>
      <c r="D1258" s="2">
        <v>46275</v>
      </c>
      <c r="E1258" t="s">
        <v>244</v>
      </c>
      <c r="F1258" t="s">
        <v>244</v>
      </c>
      <c r="G1258" t="s">
        <v>580</v>
      </c>
      <c r="H1258" t="s">
        <v>214</v>
      </c>
      <c r="I1258" t="s">
        <v>69</v>
      </c>
      <c r="J1258" t="s">
        <v>257</v>
      </c>
      <c r="K1258">
        <v>10</v>
      </c>
      <c r="L1258">
        <v>55</v>
      </c>
      <c r="M1258">
        <v>15000</v>
      </c>
      <c r="N1258">
        <v>2200</v>
      </c>
      <c r="O1258">
        <v>12800</v>
      </c>
      <c r="P1258">
        <v>12200</v>
      </c>
      <c r="Q1258">
        <v>600</v>
      </c>
      <c r="R1258">
        <v>4.6900000000000004</v>
      </c>
      <c r="S1258" t="s">
        <v>126</v>
      </c>
      <c r="T1258">
        <v>1000</v>
      </c>
      <c r="U1258">
        <v>5</v>
      </c>
      <c r="V1258" t="s">
        <v>58</v>
      </c>
    </row>
    <row r="1259" spans="1:22" x14ac:dyDescent="0.3">
      <c r="A1259" t="s">
        <v>3612</v>
      </c>
      <c r="B1259" t="s">
        <v>2213</v>
      </c>
      <c r="C1259" t="s">
        <v>2214</v>
      </c>
      <c r="D1259" s="2">
        <v>46277</v>
      </c>
      <c r="E1259" t="s">
        <v>228</v>
      </c>
      <c r="F1259" t="s">
        <v>228</v>
      </c>
      <c r="G1259" t="s">
        <v>27</v>
      </c>
      <c r="H1259" t="s">
        <v>214</v>
      </c>
      <c r="I1259" t="s">
        <v>69</v>
      </c>
      <c r="J1259" t="s">
        <v>30</v>
      </c>
      <c r="K1259">
        <v>7</v>
      </c>
      <c r="L1259">
        <v>41</v>
      </c>
      <c r="M1259">
        <v>20900</v>
      </c>
      <c r="N1259">
        <v>4200</v>
      </c>
      <c r="O1259">
        <v>16700</v>
      </c>
      <c r="P1259">
        <v>13100</v>
      </c>
      <c r="Q1259">
        <v>3600</v>
      </c>
      <c r="R1259">
        <v>21.56</v>
      </c>
      <c r="S1259" t="s">
        <v>58</v>
      </c>
      <c r="T1259">
        <v>1700</v>
      </c>
      <c r="U1259">
        <v>3.3</v>
      </c>
      <c r="V1259" t="s">
        <v>114</v>
      </c>
    </row>
    <row r="1260" spans="1:22" x14ac:dyDescent="0.3">
      <c r="A1260" t="s">
        <v>1856</v>
      </c>
      <c r="B1260" t="s">
        <v>1857</v>
      </c>
      <c r="C1260" t="s">
        <v>1858</v>
      </c>
      <c r="D1260" s="2">
        <v>46277</v>
      </c>
      <c r="E1260" t="s">
        <v>26</v>
      </c>
      <c r="F1260" t="s">
        <v>26</v>
      </c>
      <c r="G1260" t="s">
        <v>147</v>
      </c>
      <c r="H1260" t="s">
        <v>268</v>
      </c>
      <c r="I1260" t="s">
        <v>69</v>
      </c>
      <c r="J1260" t="s">
        <v>257</v>
      </c>
      <c r="K1260">
        <v>8</v>
      </c>
      <c r="L1260">
        <v>10</v>
      </c>
      <c r="M1260">
        <v>22700</v>
      </c>
      <c r="N1260">
        <v>1100</v>
      </c>
      <c r="O1260">
        <v>21600</v>
      </c>
      <c r="P1260">
        <v>14200</v>
      </c>
      <c r="Q1260">
        <v>7400</v>
      </c>
      <c r="R1260">
        <v>34.26</v>
      </c>
      <c r="S1260" t="s">
        <v>58</v>
      </c>
      <c r="T1260">
        <v>2100</v>
      </c>
      <c r="U1260">
        <v>3.6</v>
      </c>
      <c r="V1260" t="s">
        <v>79</v>
      </c>
    </row>
    <row r="1261" spans="1:22" x14ac:dyDescent="0.3">
      <c r="A1261" t="s">
        <v>3082</v>
      </c>
      <c r="B1261" t="s">
        <v>716</v>
      </c>
      <c r="C1261" t="s">
        <v>717</v>
      </c>
      <c r="D1261" s="2">
        <v>46277</v>
      </c>
      <c r="E1261" t="s">
        <v>161</v>
      </c>
      <c r="F1261" t="s">
        <v>161</v>
      </c>
      <c r="G1261" t="s">
        <v>103</v>
      </c>
      <c r="H1261" t="s">
        <v>68</v>
      </c>
      <c r="I1261" t="s">
        <v>29</v>
      </c>
      <c r="J1261" t="s">
        <v>30</v>
      </c>
      <c r="K1261">
        <v>7</v>
      </c>
      <c r="L1261">
        <v>18</v>
      </c>
      <c r="M1261">
        <v>64500</v>
      </c>
      <c r="N1261">
        <v>0</v>
      </c>
      <c r="O1261">
        <v>64500</v>
      </c>
      <c r="P1261">
        <v>32700</v>
      </c>
      <c r="Q1261">
        <v>31800</v>
      </c>
      <c r="R1261">
        <v>49.3</v>
      </c>
      <c r="S1261" t="s">
        <v>182</v>
      </c>
      <c r="T1261">
        <v>7300</v>
      </c>
      <c r="U1261">
        <v>5</v>
      </c>
      <c r="V1261" t="s">
        <v>58</v>
      </c>
    </row>
    <row r="1262" spans="1:22" x14ac:dyDescent="0.3">
      <c r="A1262" t="s">
        <v>1771</v>
      </c>
      <c r="B1262" t="s">
        <v>1592</v>
      </c>
      <c r="C1262" t="s">
        <v>1593</v>
      </c>
      <c r="D1262" s="2">
        <v>46277</v>
      </c>
      <c r="E1262" t="s">
        <v>161</v>
      </c>
      <c r="F1262" t="s">
        <v>161</v>
      </c>
      <c r="G1262" t="s">
        <v>103</v>
      </c>
      <c r="H1262" t="s">
        <v>214</v>
      </c>
      <c r="I1262" t="s">
        <v>69</v>
      </c>
      <c r="J1262" t="s">
        <v>162</v>
      </c>
      <c r="K1262">
        <v>2</v>
      </c>
      <c r="L1262">
        <v>26</v>
      </c>
      <c r="M1262">
        <v>28200</v>
      </c>
      <c r="N1262">
        <v>2800</v>
      </c>
      <c r="O1262">
        <v>25400</v>
      </c>
      <c r="P1262">
        <v>21000</v>
      </c>
      <c r="Q1262">
        <v>4400</v>
      </c>
      <c r="R1262">
        <v>17.32</v>
      </c>
      <c r="S1262" t="s">
        <v>79</v>
      </c>
      <c r="T1262">
        <v>1200</v>
      </c>
      <c r="U1262">
        <v>4</v>
      </c>
      <c r="V1262" t="s">
        <v>82</v>
      </c>
    </row>
    <row r="1263" spans="1:22" x14ac:dyDescent="0.3">
      <c r="A1263" t="s">
        <v>4896</v>
      </c>
      <c r="B1263" t="s">
        <v>2954</v>
      </c>
      <c r="C1263" t="s">
        <v>2955</v>
      </c>
      <c r="D1263" s="2">
        <v>46277</v>
      </c>
      <c r="E1263" t="s">
        <v>188</v>
      </c>
      <c r="F1263" t="s">
        <v>188</v>
      </c>
      <c r="G1263" t="s">
        <v>48</v>
      </c>
      <c r="H1263" t="s">
        <v>5470</v>
      </c>
      <c r="I1263" t="s">
        <v>29</v>
      </c>
      <c r="J1263" t="s">
        <v>30</v>
      </c>
      <c r="K1263">
        <v>10</v>
      </c>
      <c r="L1263">
        <v>22</v>
      </c>
      <c r="M1263">
        <v>54900</v>
      </c>
      <c r="N1263">
        <v>8200</v>
      </c>
      <c r="O1263">
        <v>46700</v>
      </c>
      <c r="P1263">
        <v>38100</v>
      </c>
      <c r="Q1263">
        <v>8600</v>
      </c>
      <c r="R1263">
        <v>18.420000000000002</v>
      </c>
      <c r="S1263" t="s">
        <v>97</v>
      </c>
      <c r="T1263">
        <v>3700</v>
      </c>
      <c r="U1263">
        <v>3.6</v>
      </c>
      <c r="V1263" t="s">
        <v>82</v>
      </c>
    </row>
    <row r="1264" spans="1:22" x14ac:dyDescent="0.3">
      <c r="A1264" t="s">
        <v>2840</v>
      </c>
      <c r="B1264" t="s">
        <v>510</v>
      </c>
      <c r="C1264" t="s">
        <v>511</v>
      </c>
      <c r="D1264" s="2">
        <v>46278</v>
      </c>
      <c r="E1264" t="s">
        <v>188</v>
      </c>
      <c r="F1264" t="s">
        <v>188</v>
      </c>
      <c r="G1264" t="s">
        <v>67</v>
      </c>
      <c r="H1264" t="s">
        <v>229</v>
      </c>
      <c r="I1264" t="s">
        <v>69</v>
      </c>
      <c r="J1264" t="s">
        <v>30</v>
      </c>
      <c r="K1264">
        <v>5</v>
      </c>
      <c r="L1264">
        <v>23</v>
      </c>
      <c r="M1264">
        <v>51100</v>
      </c>
      <c r="N1264">
        <v>0</v>
      </c>
      <c r="O1264">
        <v>51100</v>
      </c>
      <c r="P1264">
        <v>29900</v>
      </c>
      <c r="Q1264">
        <v>21200</v>
      </c>
      <c r="R1264">
        <v>41.49</v>
      </c>
      <c r="S1264" t="s">
        <v>126</v>
      </c>
      <c r="T1264">
        <v>5100</v>
      </c>
      <c r="U1264">
        <v>4.0999999999999996</v>
      </c>
      <c r="V1264" t="s">
        <v>58</v>
      </c>
    </row>
    <row r="1265" spans="1:22" x14ac:dyDescent="0.3">
      <c r="A1265" t="s">
        <v>5102</v>
      </c>
      <c r="B1265" t="s">
        <v>5103</v>
      </c>
      <c r="C1265" t="s">
        <v>5104</v>
      </c>
      <c r="D1265" s="2">
        <v>46279</v>
      </c>
      <c r="E1265" t="s">
        <v>26</v>
      </c>
      <c r="F1265" t="s">
        <v>26</v>
      </c>
      <c r="G1265" t="s">
        <v>580</v>
      </c>
      <c r="H1265" t="s">
        <v>88</v>
      </c>
      <c r="I1265" t="s">
        <v>69</v>
      </c>
      <c r="J1265" t="s">
        <v>70</v>
      </c>
      <c r="K1265">
        <v>10</v>
      </c>
      <c r="L1265">
        <v>57</v>
      </c>
      <c r="M1265">
        <v>40100</v>
      </c>
      <c r="N1265">
        <v>0</v>
      </c>
      <c r="O1265">
        <v>40100</v>
      </c>
      <c r="P1265">
        <v>23300</v>
      </c>
      <c r="Q1265">
        <v>16800</v>
      </c>
      <c r="R1265">
        <v>41.9</v>
      </c>
      <c r="S1265" t="s">
        <v>126</v>
      </c>
      <c r="T1265">
        <v>4400</v>
      </c>
      <c r="U1265">
        <v>3.7</v>
      </c>
      <c r="V1265" t="s">
        <v>79</v>
      </c>
    </row>
    <row r="1266" spans="1:22" x14ac:dyDescent="0.3">
      <c r="A1266" t="s">
        <v>5168</v>
      </c>
      <c r="B1266" t="s">
        <v>2669</v>
      </c>
      <c r="C1266" t="s">
        <v>2670</v>
      </c>
      <c r="D1266" s="2">
        <v>46279</v>
      </c>
      <c r="E1266" t="s">
        <v>134</v>
      </c>
      <c r="F1266" t="s">
        <v>134</v>
      </c>
      <c r="G1266" t="s">
        <v>118</v>
      </c>
      <c r="H1266" t="s">
        <v>268</v>
      </c>
      <c r="I1266" t="s">
        <v>29</v>
      </c>
      <c r="J1266" t="s">
        <v>30</v>
      </c>
      <c r="K1266">
        <v>8</v>
      </c>
      <c r="L1266">
        <v>42</v>
      </c>
      <c r="M1266">
        <v>42300</v>
      </c>
      <c r="N1266">
        <v>0</v>
      </c>
      <c r="O1266">
        <v>42300</v>
      </c>
      <c r="P1266">
        <v>26400</v>
      </c>
      <c r="Q1266">
        <v>15900</v>
      </c>
      <c r="R1266">
        <v>37.590000000000003</v>
      </c>
      <c r="S1266" t="s">
        <v>182</v>
      </c>
      <c r="T1266">
        <v>5900</v>
      </c>
      <c r="U1266">
        <v>2.8</v>
      </c>
      <c r="V1266" t="s">
        <v>82</v>
      </c>
    </row>
    <row r="1267" spans="1:22" x14ac:dyDescent="0.3">
      <c r="A1267" t="s">
        <v>263</v>
      </c>
      <c r="B1267" t="s">
        <v>264</v>
      </c>
      <c r="C1267" t="s">
        <v>265</v>
      </c>
      <c r="D1267" s="2">
        <v>46279</v>
      </c>
      <c r="E1267" t="s">
        <v>66</v>
      </c>
      <c r="F1267" t="s">
        <v>66</v>
      </c>
      <c r="G1267" t="s">
        <v>103</v>
      </c>
      <c r="H1267" t="s">
        <v>268</v>
      </c>
      <c r="I1267" t="s">
        <v>69</v>
      </c>
      <c r="J1267" t="s">
        <v>257</v>
      </c>
      <c r="K1267">
        <v>8</v>
      </c>
      <c r="L1267">
        <v>53</v>
      </c>
      <c r="M1267">
        <v>156100</v>
      </c>
      <c r="N1267">
        <v>23400</v>
      </c>
      <c r="O1267">
        <v>132700</v>
      </c>
      <c r="P1267">
        <v>78200</v>
      </c>
      <c r="Q1267">
        <v>54500</v>
      </c>
      <c r="R1267">
        <v>41.07</v>
      </c>
      <c r="S1267" t="s">
        <v>58</v>
      </c>
      <c r="T1267">
        <v>6700</v>
      </c>
      <c r="U1267">
        <v>3.6</v>
      </c>
      <c r="V1267" t="s">
        <v>82</v>
      </c>
    </row>
    <row r="1268" spans="1:22" x14ac:dyDescent="0.3">
      <c r="A1268" t="s">
        <v>1458</v>
      </c>
      <c r="B1268" t="s">
        <v>1459</v>
      </c>
      <c r="C1268" t="s">
        <v>1460</v>
      </c>
      <c r="D1268" s="2">
        <v>46280</v>
      </c>
      <c r="E1268" t="s">
        <v>244</v>
      </c>
      <c r="F1268" t="s">
        <v>244</v>
      </c>
      <c r="G1268" t="s">
        <v>103</v>
      </c>
      <c r="H1268" t="s">
        <v>229</v>
      </c>
      <c r="I1268" t="s">
        <v>29</v>
      </c>
      <c r="J1268" t="s">
        <v>30</v>
      </c>
      <c r="K1268">
        <v>9</v>
      </c>
      <c r="L1268">
        <v>53</v>
      </c>
      <c r="M1268">
        <v>26300</v>
      </c>
      <c r="N1268">
        <v>5300</v>
      </c>
      <c r="O1268">
        <v>21000</v>
      </c>
      <c r="P1268">
        <v>16300</v>
      </c>
      <c r="Q1268">
        <v>4700</v>
      </c>
      <c r="R1268">
        <v>22.38</v>
      </c>
      <c r="S1268" t="s">
        <v>126</v>
      </c>
      <c r="T1268">
        <v>3700</v>
      </c>
      <c r="U1268">
        <v>4.0999999999999996</v>
      </c>
      <c r="V1268" t="s">
        <v>79</v>
      </c>
    </row>
    <row r="1269" spans="1:22" x14ac:dyDescent="0.3">
      <c r="A1269" t="s">
        <v>5053</v>
      </c>
      <c r="B1269" t="s">
        <v>3871</v>
      </c>
      <c r="C1269" t="s">
        <v>3872</v>
      </c>
      <c r="D1269" s="2">
        <v>46281</v>
      </c>
      <c r="E1269" t="s">
        <v>244</v>
      </c>
      <c r="F1269" t="s">
        <v>244</v>
      </c>
      <c r="G1269" t="s">
        <v>118</v>
      </c>
      <c r="H1269" t="s">
        <v>268</v>
      </c>
      <c r="I1269" t="s">
        <v>29</v>
      </c>
      <c r="J1269" t="s">
        <v>30</v>
      </c>
      <c r="K1269">
        <v>3</v>
      </c>
      <c r="L1269">
        <v>39</v>
      </c>
      <c r="M1269">
        <v>40100</v>
      </c>
      <c r="N1269">
        <v>4000</v>
      </c>
      <c r="O1269">
        <v>36100</v>
      </c>
      <c r="P1269">
        <v>17700</v>
      </c>
      <c r="Q1269">
        <v>18400</v>
      </c>
      <c r="R1269">
        <v>50.97</v>
      </c>
      <c r="S1269" t="s">
        <v>58</v>
      </c>
      <c r="T1269">
        <v>3500</v>
      </c>
      <c r="V1269" t="s">
        <v>79</v>
      </c>
    </row>
    <row r="1270" spans="1:22" x14ac:dyDescent="0.3">
      <c r="A1270" t="s">
        <v>4782</v>
      </c>
      <c r="B1270" t="s">
        <v>2099</v>
      </c>
      <c r="C1270" t="s">
        <v>2100</v>
      </c>
      <c r="D1270" s="2">
        <v>46282</v>
      </c>
      <c r="E1270" t="s">
        <v>244</v>
      </c>
      <c r="F1270" t="s">
        <v>244</v>
      </c>
      <c r="G1270" t="s">
        <v>48</v>
      </c>
      <c r="H1270" t="s">
        <v>214</v>
      </c>
      <c r="I1270" t="s">
        <v>29</v>
      </c>
      <c r="J1270" t="s">
        <v>30</v>
      </c>
      <c r="K1270">
        <v>8</v>
      </c>
      <c r="L1270">
        <v>22</v>
      </c>
      <c r="M1270">
        <v>94600</v>
      </c>
      <c r="N1270">
        <v>14200</v>
      </c>
      <c r="O1270">
        <v>80400</v>
      </c>
      <c r="P1270">
        <v>72700</v>
      </c>
      <c r="Q1270">
        <v>7700</v>
      </c>
      <c r="R1270">
        <v>9.58</v>
      </c>
      <c r="S1270" t="s">
        <v>39</v>
      </c>
      <c r="T1270">
        <v>11900</v>
      </c>
      <c r="U1270">
        <v>4.8</v>
      </c>
      <c r="V1270" t="s">
        <v>114</v>
      </c>
    </row>
    <row r="1271" spans="1:22" x14ac:dyDescent="0.3">
      <c r="A1271" t="s">
        <v>2499</v>
      </c>
      <c r="B1271" t="s">
        <v>1195</v>
      </c>
      <c r="C1271" t="s">
        <v>1196</v>
      </c>
      <c r="D1271" s="2">
        <v>46283</v>
      </c>
      <c r="E1271" t="s">
        <v>282</v>
      </c>
      <c r="F1271" t="s">
        <v>282</v>
      </c>
      <c r="G1271" t="s">
        <v>147</v>
      </c>
      <c r="H1271" t="s">
        <v>68</v>
      </c>
      <c r="I1271" t="s">
        <v>29</v>
      </c>
      <c r="J1271" t="s">
        <v>70</v>
      </c>
      <c r="K1271">
        <v>8</v>
      </c>
      <c r="L1271">
        <v>45</v>
      </c>
      <c r="M1271">
        <v>41400</v>
      </c>
      <c r="N1271">
        <v>0</v>
      </c>
      <c r="O1271">
        <v>41400</v>
      </c>
      <c r="P1271">
        <v>25700</v>
      </c>
      <c r="Q1271">
        <v>15700</v>
      </c>
      <c r="R1271">
        <v>37.92</v>
      </c>
      <c r="S1271" t="s">
        <v>58</v>
      </c>
      <c r="T1271">
        <v>4400</v>
      </c>
      <c r="U1271">
        <v>4.3</v>
      </c>
      <c r="V1271" t="s">
        <v>79</v>
      </c>
    </row>
    <row r="1272" spans="1:22" x14ac:dyDescent="0.3">
      <c r="A1272" t="s">
        <v>4748</v>
      </c>
      <c r="B1272" t="s">
        <v>2976</v>
      </c>
      <c r="C1272" t="s">
        <v>2977</v>
      </c>
      <c r="D1272" s="2">
        <v>46283</v>
      </c>
      <c r="E1272" t="s">
        <v>134</v>
      </c>
      <c r="F1272" t="s">
        <v>134</v>
      </c>
      <c r="G1272" t="s">
        <v>27</v>
      </c>
      <c r="H1272" t="s">
        <v>214</v>
      </c>
      <c r="I1272" t="s">
        <v>69</v>
      </c>
      <c r="J1272" t="s">
        <v>30</v>
      </c>
      <c r="K1272">
        <v>10</v>
      </c>
      <c r="L1272">
        <v>37</v>
      </c>
      <c r="M1272">
        <v>67400</v>
      </c>
      <c r="N1272">
        <v>0</v>
      </c>
      <c r="O1272">
        <v>67400</v>
      </c>
      <c r="P1272">
        <v>45300</v>
      </c>
      <c r="Q1272">
        <v>22100</v>
      </c>
      <c r="R1272">
        <v>32.79</v>
      </c>
      <c r="S1272" t="s">
        <v>126</v>
      </c>
      <c r="T1272">
        <v>9000</v>
      </c>
      <c r="U1272">
        <v>4.2</v>
      </c>
      <c r="V1272" t="s">
        <v>42</v>
      </c>
    </row>
    <row r="1273" spans="1:22" x14ac:dyDescent="0.3">
      <c r="A1273" t="s">
        <v>2260</v>
      </c>
      <c r="B1273" t="s">
        <v>62</v>
      </c>
      <c r="C1273" t="s">
        <v>63</v>
      </c>
      <c r="D1273" s="2">
        <v>46284</v>
      </c>
      <c r="E1273" t="s">
        <v>188</v>
      </c>
      <c r="F1273" t="s">
        <v>188</v>
      </c>
      <c r="G1273" t="s">
        <v>580</v>
      </c>
      <c r="H1273" t="s">
        <v>68</v>
      </c>
      <c r="I1273" t="s">
        <v>69</v>
      </c>
      <c r="J1273" t="s">
        <v>70</v>
      </c>
      <c r="K1273">
        <v>5</v>
      </c>
      <c r="L1273">
        <v>44</v>
      </c>
      <c r="M1273">
        <v>84100</v>
      </c>
      <c r="N1273">
        <v>12600</v>
      </c>
      <c r="O1273">
        <v>71500</v>
      </c>
      <c r="P1273">
        <v>39200</v>
      </c>
      <c r="Q1273">
        <v>32300</v>
      </c>
      <c r="R1273">
        <v>45.17</v>
      </c>
      <c r="S1273" t="s">
        <v>126</v>
      </c>
      <c r="T1273">
        <v>8100</v>
      </c>
      <c r="U1273">
        <v>3.4</v>
      </c>
      <c r="V1273" t="s">
        <v>42</v>
      </c>
    </row>
    <row r="1274" spans="1:22" x14ac:dyDescent="0.3">
      <c r="A1274" t="s">
        <v>2110</v>
      </c>
      <c r="B1274" t="s">
        <v>1101</v>
      </c>
      <c r="C1274" t="s">
        <v>1102</v>
      </c>
      <c r="D1274" s="2">
        <v>46284</v>
      </c>
      <c r="E1274" t="s">
        <v>26</v>
      </c>
      <c r="F1274" t="s">
        <v>26</v>
      </c>
      <c r="G1274" t="s">
        <v>27</v>
      </c>
      <c r="H1274" t="s">
        <v>88</v>
      </c>
      <c r="I1274" t="s">
        <v>69</v>
      </c>
      <c r="J1274" t="s">
        <v>30</v>
      </c>
      <c r="K1274">
        <v>2</v>
      </c>
      <c r="L1274">
        <v>28</v>
      </c>
      <c r="M1274">
        <v>68700</v>
      </c>
      <c r="N1274">
        <v>0</v>
      </c>
      <c r="O1274">
        <v>68700</v>
      </c>
      <c r="P1274">
        <v>34300</v>
      </c>
      <c r="Q1274">
        <v>34400</v>
      </c>
      <c r="R1274">
        <v>50.07</v>
      </c>
      <c r="S1274" t="s">
        <v>97</v>
      </c>
      <c r="T1274">
        <v>7200</v>
      </c>
      <c r="U1274">
        <v>3.3</v>
      </c>
      <c r="V1274" t="s">
        <v>114</v>
      </c>
    </row>
    <row r="1275" spans="1:22" x14ac:dyDescent="0.3">
      <c r="A1275" t="s">
        <v>5257</v>
      </c>
      <c r="B1275" t="s">
        <v>3236</v>
      </c>
      <c r="C1275" t="s">
        <v>3237</v>
      </c>
      <c r="D1275" s="2">
        <v>46285</v>
      </c>
      <c r="E1275" t="s">
        <v>66</v>
      </c>
      <c r="F1275" t="s">
        <v>66</v>
      </c>
      <c r="G1275" t="s">
        <v>213</v>
      </c>
      <c r="H1275" t="s">
        <v>68</v>
      </c>
      <c r="I1275" t="s">
        <v>29</v>
      </c>
      <c r="J1275" t="s">
        <v>30</v>
      </c>
      <c r="K1275">
        <v>3</v>
      </c>
      <c r="L1275">
        <v>62</v>
      </c>
      <c r="M1275">
        <v>15000</v>
      </c>
      <c r="N1275">
        <v>2200</v>
      </c>
      <c r="O1275">
        <v>12800</v>
      </c>
      <c r="P1275">
        <v>7800</v>
      </c>
      <c r="Q1275">
        <v>5000</v>
      </c>
      <c r="R1275">
        <v>39.06</v>
      </c>
      <c r="S1275" t="s">
        <v>58</v>
      </c>
      <c r="T1275">
        <v>2200</v>
      </c>
      <c r="V1275" t="s">
        <v>114</v>
      </c>
    </row>
    <row r="1276" spans="1:22" x14ac:dyDescent="0.3">
      <c r="A1276" t="s">
        <v>4221</v>
      </c>
      <c r="B1276" t="s">
        <v>4222</v>
      </c>
      <c r="C1276" t="s">
        <v>4223</v>
      </c>
      <c r="D1276" s="2">
        <v>46285</v>
      </c>
      <c r="E1276" t="s">
        <v>282</v>
      </c>
      <c r="F1276" t="s">
        <v>282</v>
      </c>
      <c r="G1276" t="s">
        <v>27</v>
      </c>
      <c r="H1276" t="s">
        <v>28</v>
      </c>
      <c r="I1276" t="s">
        <v>69</v>
      </c>
      <c r="J1276" t="s">
        <v>30</v>
      </c>
      <c r="K1276">
        <v>3</v>
      </c>
      <c r="L1276">
        <v>28</v>
      </c>
      <c r="M1276">
        <v>48200</v>
      </c>
      <c r="N1276">
        <v>0</v>
      </c>
      <c r="O1276">
        <v>48200</v>
      </c>
      <c r="P1276">
        <v>36400</v>
      </c>
      <c r="Q1276">
        <v>11800</v>
      </c>
      <c r="R1276">
        <v>24.48</v>
      </c>
      <c r="S1276" t="s">
        <v>126</v>
      </c>
      <c r="T1276">
        <v>7900</v>
      </c>
      <c r="U1276">
        <v>2.9</v>
      </c>
      <c r="V1276" t="s">
        <v>58</v>
      </c>
    </row>
    <row r="1277" spans="1:22" x14ac:dyDescent="0.3">
      <c r="A1277" t="s">
        <v>4606</v>
      </c>
      <c r="B1277" t="s">
        <v>3922</v>
      </c>
      <c r="C1277" t="s">
        <v>3923</v>
      </c>
      <c r="D1277" s="2">
        <v>46285</v>
      </c>
      <c r="E1277" t="s">
        <v>188</v>
      </c>
      <c r="F1277" t="s">
        <v>188</v>
      </c>
      <c r="G1277" t="s">
        <v>580</v>
      </c>
      <c r="H1277" t="s">
        <v>5470</v>
      </c>
      <c r="I1277" t="s">
        <v>69</v>
      </c>
      <c r="J1277" t="s">
        <v>30</v>
      </c>
      <c r="K1277">
        <v>2</v>
      </c>
      <c r="L1277">
        <v>43</v>
      </c>
      <c r="M1277">
        <v>15000</v>
      </c>
      <c r="N1277">
        <v>1500</v>
      </c>
      <c r="O1277">
        <v>13500</v>
      </c>
      <c r="P1277">
        <v>8200</v>
      </c>
      <c r="Q1277">
        <v>5300</v>
      </c>
      <c r="R1277">
        <v>39.26</v>
      </c>
      <c r="S1277" t="s">
        <v>126</v>
      </c>
      <c r="T1277">
        <v>1300</v>
      </c>
      <c r="U1277">
        <v>3.5</v>
      </c>
      <c r="V1277" t="s">
        <v>58</v>
      </c>
    </row>
    <row r="1278" spans="1:22" x14ac:dyDescent="0.3">
      <c r="A1278" t="s">
        <v>2845</v>
      </c>
      <c r="B1278" t="s">
        <v>2846</v>
      </c>
      <c r="C1278" t="s">
        <v>2847</v>
      </c>
      <c r="D1278" s="2">
        <v>46285</v>
      </c>
      <c r="E1278" t="s">
        <v>161</v>
      </c>
      <c r="F1278" t="s">
        <v>161</v>
      </c>
      <c r="G1278" t="s">
        <v>27</v>
      </c>
      <c r="H1278" t="s">
        <v>68</v>
      </c>
      <c r="I1278" t="s">
        <v>69</v>
      </c>
      <c r="J1278" t="s">
        <v>162</v>
      </c>
      <c r="K1278">
        <v>8</v>
      </c>
      <c r="L1278">
        <v>5</v>
      </c>
      <c r="M1278">
        <v>36400</v>
      </c>
      <c r="N1278">
        <v>0</v>
      </c>
      <c r="O1278">
        <v>36400</v>
      </c>
      <c r="P1278">
        <v>29000</v>
      </c>
      <c r="Q1278">
        <v>7400</v>
      </c>
      <c r="R1278">
        <v>20.329999999999998</v>
      </c>
      <c r="S1278" t="s">
        <v>126</v>
      </c>
      <c r="T1278">
        <v>4000</v>
      </c>
      <c r="U1278">
        <v>4.0999999999999996</v>
      </c>
      <c r="V1278" t="s">
        <v>114</v>
      </c>
    </row>
    <row r="1279" spans="1:22" x14ac:dyDescent="0.3">
      <c r="A1279" t="s">
        <v>2679</v>
      </c>
      <c r="B1279" t="s">
        <v>577</v>
      </c>
      <c r="C1279" t="s">
        <v>578</v>
      </c>
      <c r="D1279" s="2">
        <v>46286</v>
      </c>
      <c r="E1279" t="s">
        <v>134</v>
      </c>
      <c r="F1279" t="s">
        <v>134</v>
      </c>
      <c r="G1279" t="s">
        <v>580</v>
      </c>
      <c r="H1279" t="s">
        <v>68</v>
      </c>
      <c r="I1279" t="s">
        <v>69</v>
      </c>
      <c r="J1279" t="s">
        <v>70</v>
      </c>
      <c r="K1279">
        <v>4</v>
      </c>
      <c r="L1279">
        <v>56</v>
      </c>
      <c r="M1279">
        <v>25600</v>
      </c>
      <c r="N1279">
        <v>0</v>
      </c>
      <c r="O1279">
        <v>25600</v>
      </c>
      <c r="P1279">
        <v>18500</v>
      </c>
      <c r="Q1279">
        <v>7100</v>
      </c>
      <c r="R1279">
        <v>27.73</v>
      </c>
      <c r="S1279" t="s">
        <v>79</v>
      </c>
      <c r="T1279">
        <v>3100</v>
      </c>
      <c r="U1279">
        <v>3.5</v>
      </c>
      <c r="V1279" t="s">
        <v>58</v>
      </c>
    </row>
    <row r="1280" spans="1:22" x14ac:dyDescent="0.3">
      <c r="A1280" t="s">
        <v>3642</v>
      </c>
      <c r="B1280" t="s">
        <v>2277</v>
      </c>
      <c r="C1280" t="s">
        <v>2278</v>
      </c>
      <c r="D1280" s="2">
        <v>46287</v>
      </c>
      <c r="E1280" t="s">
        <v>188</v>
      </c>
      <c r="F1280" t="s">
        <v>188</v>
      </c>
      <c r="G1280" t="s">
        <v>103</v>
      </c>
      <c r="H1280" t="s">
        <v>214</v>
      </c>
      <c r="I1280" t="s">
        <v>29</v>
      </c>
      <c r="J1280" t="s">
        <v>30</v>
      </c>
      <c r="K1280">
        <v>6</v>
      </c>
      <c r="L1280">
        <v>37</v>
      </c>
      <c r="M1280">
        <v>52200</v>
      </c>
      <c r="N1280">
        <v>10400</v>
      </c>
      <c r="O1280">
        <v>41800</v>
      </c>
      <c r="P1280">
        <v>42500</v>
      </c>
      <c r="Q1280">
        <v>-700</v>
      </c>
      <c r="R1280">
        <v>-1.67</v>
      </c>
      <c r="S1280" t="s">
        <v>97</v>
      </c>
      <c r="T1280">
        <v>3100</v>
      </c>
      <c r="U1280">
        <v>4.2</v>
      </c>
      <c r="V1280" t="s">
        <v>42</v>
      </c>
    </row>
    <row r="1281" spans="1:22" x14ac:dyDescent="0.3">
      <c r="A1281" t="s">
        <v>3914</v>
      </c>
      <c r="B1281" t="s">
        <v>3915</v>
      </c>
      <c r="C1281" t="s">
        <v>3916</v>
      </c>
      <c r="D1281" s="2">
        <v>46287</v>
      </c>
      <c r="E1281" t="s">
        <v>228</v>
      </c>
      <c r="F1281" t="s">
        <v>228</v>
      </c>
      <c r="G1281" t="s">
        <v>67</v>
      </c>
      <c r="H1281" t="s">
        <v>28</v>
      </c>
      <c r="I1281" t="s">
        <v>29</v>
      </c>
      <c r="J1281" t="s">
        <v>30</v>
      </c>
      <c r="K1281">
        <v>7</v>
      </c>
      <c r="L1281">
        <v>65</v>
      </c>
      <c r="M1281">
        <v>61900</v>
      </c>
      <c r="N1281">
        <v>6200</v>
      </c>
      <c r="O1281">
        <v>55700</v>
      </c>
      <c r="P1281">
        <v>31200</v>
      </c>
      <c r="Q1281">
        <v>24500</v>
      </c>
      <c r="R1281">
        <v>43.99</v>
      </c>
      <c r="S1281" t="s">
        <v>39</v>
      </c>
      <c r="T1281">
        <v>7600</v>
      </c>
      <c r="U1281">
        <v>3.9</v>
      </c>
      <c r="V1281" t="s">
        <v>82</v>
      </c>
    </row>
    <row r="1282" spans="1:22" x14ac:dyDescent="0.3">
      <c r="A1282" t="s">
        <v>1380</v>
      </c>
      <c r="B1282" t="s">
        <v>777</v>
      </c>
      <c r="C1282" t="s">
        <v>778</v>
      </c>
      <c r="D1282" s="2">
        <v>46288</v>
      </c>
      <c r="E1282" t="s">
        <v>282</v>
      </c>
      <c r="F1282" t="s">
        <v>282</v>
      </c>
      <c r="G1282" t="s">
        <v>67</v>
      </c>
      <c r="H1282" t="s">
        <v>49</v>
      </c>
      <c r="I1282" t="s">
        <v>69</v>
      </c>
      <c r="J1282" t="s">
        <v>162</v>
      </c>
      <c r="K1282">
        <v>2</v>
      </c>
      <c r="L1282">
        <v>56</v>
      </c>
      <c r="M1282">
        <v>19600</v>
      </c>
      <c r="N1282">
        <v>0</v>
      </c>
      <c r="O1282">
        <v>19600</v>
      </c>
      <c r="P1282">
        <v>15200</v>
      </c>
      <c r="Q1282">
        <v>4400</v>
      </c>
      <c r="R1282">
        <v>22.45</v>
      </c>
      <c r="S1282" t="s">
        <v>79</v>
      </c>
      <c r="T1282">
        <v>3200</v>
      </c>
      <c r="U1282">
        <v>3.4</v>
      </c>
      <c r="V1282" t="s">
        <v>58</v>
      </c>
    </row>
    <row r="1283" spans="1:22" x14ac:dyDescent="0.3">
      <c r="A1283" t="s">
        <v>4703</v>
      </c>
      <c r="B1283" t="s">
        <v>2959</v>
      </c>
      <c r="C1283" t="s">
        <v>2960</v>
      </c>
      <c r="D1283" s="2">
        <v>46289</v>
      </c>
      <c r="E1283" t="s">
        <v>282</v>
      </c>
      <c r="F1283" t="s">
        <v>282</v>
      </c>
      <c r="G1283" t="s">
        <v>147</v>
      </c>
      <c r="H1283" t="s">
        <v>68</v>
      </c>
      <c r="I1283" t="s">
        <v>69</v>
      </c>
      <c r="J1283" t="s">
        <v>30</v>
      </c>
      <c r="K1283">
        <v>3</v>
      </c>
      <c r="L1283">
        <v>57</v>
      </c>
      <c r="M1283">
        <v>48600</v>
      </c>
      <c r="N1283">
        <v>2400</v>
      </c>
      <c r="O1283">
        <v>46200</v>
      </c>
      <c r="P1283">
        <v>36600</v>
      </c>
      <c r="Q1283">
        <v>9600</v>
      </c>
      <c r="R1283">
        <v>20.78</v>
      </c>
      <c r="S1283" t="s">
        <v>79</v>
      </c>
      <c r="T1283">
        <v>5800</v>
      </c>
      <c r="U1283">
        <v>4.8</v>
      </c>
      <c r="V1283" t="s">
        <v>114</v>
      </c>
    </row>
    <row r="1284" spans="1:22" x14ac:dyDescent="0.3">
      <c r="A1284" t="s">
        <v>4325</v>
      </c>
      <c r="B1284" t="s">
        <v>1535</v>
      </c>
      <c r="C1284" t="s">
        <v>1536</v>
      </c>
      <c r="D1284" s="2">
        <v>46290</v>
      </c>
      <c r="E1284" t="s">
        <v>244</v>
      </c>
      <c r="F1284" t="s">
        <v>244</v>
      </c>
      <c r="G1284" t="s">
        <v>580</v>
      </c>
      <c r="H1284" t="s">
        <v>229</v>
      </c>
      <c r="I1284" t="s">
        <v>69</v>
      </c>
      <c r="J1284" t="s">
        <v>30</v>
      </c>
      <c r="K1284">
        <v>9</v>
      </c>
      <c r="L1284">
        <v>7</v>
      </c>
      <c r="M1284">
        <v>32700</v>
      </c>
      <c r="N1284">
        <v>0</v>
      </c>
      <c r="O1284">
        <v>32700</v>
      </c>
      <c r="P1284">
        <v>21600</v>
      </c>
      <c r="Q1284">
        <v>11100</v>
      </c>
      <c r="R1284">
        <v>33.94</v>
      </c>
      <c r="S1284" t="s">
        <v>126</v>
      </c>
      <c r="T1284">
        <v>5900</v>
      </c>
      <c r="U1284">
        <v>2.9</v>
      </c>
      <c r="V1284" t="s">
        <v>82</v>
      </c>
    </row>
    <row r="1285" spans="1:22" x14ac:dyDescent="0.3">
      <c r="A1285" t="s">
        <v>4722</v>
      </c>
      <c r="B1285" t="s">
        <v>2384</v>
      </c>
      <c r="C1285" t="s">
        <v>2385</v>
      </c>
      <c r="D1285" s="2">
        <v>46290</v>
      </c>
      <c r="E1285" t="s">
        <v>188</v>
      </c>
      <c r="F1285" t="s">
        <v>188</v>
      </c>
      <c r="G1285" t="s">
        <v>213</v>
      </c>
      <c r="H1285" t="s">
        <v>49</v>
      </c>
      <c r="I1285" t="s">
        <v>69</v>
      </c>
      <c r="J1285" t="s">
        <v>30</v>
      </c>
      <c r="K1285">
        <v>8</v>
      </c>
      <c r="L1285">
        <v>27</v>
      </c>
      <c r="M1285">
        <v>70600</v>
      </c>
      <c r="N1285">
        <v>0</v>
      </c>
      <c r="O1285">
        <v>70600</v>
      </c>
      <c r="P1285">
        <v>36400</v>
      </c>
      <c r="Q1285">
        <v>34200</v>
      </c>
      <c r="R1285">
        <v>48.44</v>
      </c>
      <c r="S1285" t="s">
        <v>39</v>
      </c>
      <c r="T1285">
        <v>10600</v>
      </c>
      <c r="U1285">
        <v>4.9000000000000004</v>
      </c>
      <c r="V1285" t="s">
        <v>42</v>
      </c>
    </row>
    <row r="1286" spans="1:22" x14ac:dyDescent="0.3">
      <c r="A1286" t="s">
        <v>5435</v>
      </c>
      <c r="B1286" t="s">
        <v>3204</v>
      </c>
      <c r="C1286" t="s">
        <v>3205</v>
      </c>
      <c r="D1286" s="2">
        <v>46291</v>
      </c>
      <c r="E1286" t="s">
        <v>26</v>
      </c>
      <c r="F1286" t="s">
        <v>26</v>
      </c>
      <c r="G1286" t="s">
        <v>67</v>
      </c>
      <c r="H1286" t="s">
        <v>49</v>
      </c>
      <c r="I1286" t="s">
        <v>69</v>
      </c>
      <c r="J1286" t="s">
        <v>30</v>
      </c>
      <c r="K1286">
        <v>8</v>
      </c>
      <c r="M1286">
        <v>63300</v>
      </c>
      <c r="N1286">
        <v>0</v>
      </c>
      <c r="O1286">
        <v>63300</v>
      </c>
      <c r="P1286">
        <v>35500</v>
      </c>
      <c r="Q1286">
        <v>27800</v>
      </c>
      <c r="R1286">
        <v>43.92</v>
      </c>
      <c r="S1286" t="s">
        <v>39</v>
      </c>
      <c r="T1286">
        <v>8900</v>
      </c>
      <c r="U1286">
        <v>3.4</v>
      </c>
      <c r="V1286" t="s">
        <v>114</v>
      </c>
    </row>
    <row r="1287" spans="1:22" x14ac:dyDescent="0.3">
      <c r="A1287" t="s">
        <v>5125</v>
      </c>
      <c r="B1287" t="s">
        <v>4308</v>
      </c>
      <c r="C1287" t="s">
        <v>4309</v>
      </c>
      <c r="D1287" s="2">
        <v>46291</v>
      </c>
      <c r="E1287" t="s">
        <v>161</v>
      </c>
      <c r="F1287" t="s">
        <v>161</v>
      </c>
      <c r="G1287" t="s">
        <v>213</v>
      </c>
      <c r="H1287" t="s">
        <v>229</v>
      </c>
      <c r="I1287" t="s">
        <v>69</v>
      </c>
      <c r="J1287" t="s">
        <v>257</v>
      </c>
      <c r="K1287">
        <v>4</v>
      </c>
      <c r="L1287">
        <v>19</v>
      </c>
      <c r="M1287">
        <v>44300</v>
      </c>
      <c r="N1287">
        <v>4400</v>
      </c>
      <c r="O1287">
        <v>39900</v>
      </c>
      <c r="P1287">
        <v>26400</v>
      </c>
      <c r="Q1287">
        <v>13500</v>
      </c>
      <c r="R1287">
        <v>33.83</v>
      </c>
      <c r="S1287" t="s">
        <v>182</v>
      </c>
      <c r="T1287">
        <v>4600</v>
      </c>
      <c r="U1287">
        <v>3.8</v>
      </c>
      <c r="V1287" t="s">
        <v>82</v>
      </c>
    </row>
    <row r="1288" spans="1:22" x14ac:dyDescent="0.3">
      <c r="A1288" t="s">
        <v>2606</v>
      </c>
      <c r="B1288" t="s">
        <v>650</v>
      </c>
      <c r="C1288" t="s">
        <v>651</v>
      </c>
      <c r="D1288" s="2">
        <v>46291</v>
      </c>
      <c r="E1288" t="s">
        <v>134</v>
      </c>
      <c r="F1288" t="s">
        <v>134</v>
      </c>
      <c r="G1288" t="s">
        <v>27</v>
      </c>
      <c r="H1288" t="s">
        <v>5471</v>
      </c>
      <c r="I1288" t="s">
        <v>69</v>
      </c>
      <c r="J1288" t="s">
        <v>30</v>
      </c>
      <c r="K1288">
        <v>10</v>
      </c>
      <c r="L1288">
        <v>37</v>
      </c>
      <c r="M1288">
        <v>104700</v>
      </c>
      <c r="N1288">
        <v>0</v>
      </c>
      <c r="O1288">
        <v>104700</v>
      </c>
      <c r="P1288">
        <v>44500</v>
      </c>
      <c r="Q1288">
        <v>60200</v>
      </c>
      <c r="R1288">
        <v>57.5</v>
      </c>
      <c r="S1288" t="s">
        <v>58</v>
      </c>
      <c r="T1288">
        <v>15700</v>
      </c>
      <c r="U1288">
        <v>4.7</v>
      </c>
      <c r="V1288" t="s">
        <v>114</v>
      </c>
    </row>
    <row r="1289" spans="1:22" x14ac:dyDescent="0.3">
      <c r="A1289" t="s">
        <v>5091</v>
      </c>
      <c r="B1289" t="s">
        <v>2064</v>
      </c>
      <c r="C1289" t="s">
        <v>2065</v>
      </c>
      <c r="D1289" s="2">
        <v>46292</v>
      </c>
      <c r="E1289" t="s">
        <v>228</v>
      </c>
      <c r="F1289" t="s">
        <v>228</v>
      </c>
      <c r="G1289" t="s">
        <v>147</v>
      </c>
      <c r="H1289" t="s">
        <v>229</v>
      </c>
      <c r="I1289" t="s">
        <v>69</v>
      </c>
      <c r="J1289" t="s">
        <v>257</v>
      </c>
      <c r="K1289">
        <v>10</v>
      </c>
      <c r="L1289">
        <v>25</v>
      </c>
      <c r="M1289">
        <v>62200</v>
      </c>
      <c r="N1289">
        <v>0</v>
      </c>
      <c r="O1289">
        <v>62200</v>
      </c>
      <c r="P1289">
        <v>30400</v>
      </c>
      <c r="Q1289">
        <v>31800</v>
      </c>
      <c r="R1289">
        <v>51.13</v>
      </c>
      <c r="S1289" t="s">
        <v>182</v>
      </c>
      <c r="T1289">
        <v>8200</v>
      </c>
      <c r="U1289">
        <v>4.4000000000000004</v>
      </c>
      <c r="V1289" t="s">
        <v>114</v>
      </c>
    </row>
    <row r="1290" spans="1:22" x14ac:dyDescent="0.3">
      <c r="A1290" t="s">
        <v>1071</v>
      </c>
      <c r="B1290" t="s">
        <v>23</v>
      </c>
      <c r="C1290" t="s">
        <v>24</v>
      </c>
      <c r="D1290" s="2">
        <v>46292</v>
      </c>
      <c r="E1290" t="s">
        <v>282</v>
      </c>
      <c r="F1290" t="s">
        <v>282</v>
      </c>
      <c r="G1290" t="s">
        <v>103</v>
      </c>
      <c r="H1290" t="s">
        <v>5470</v>
      </c>
      <c r="I1290" t="s">
        <v>29</v>
      </c>
      <c r="J1290" t="s">
        <v>30</v>
      </c>
      <c r="K1290">
        <v>10</v>
      </c>
      <c r="L1290">
        <v>34</v>
      </c>
      <c r="M1290">
        <v>54400</v>
      </c>
      <c r="N1290">
        <v>5400</v>
      </c>
      <c r="O1290">
        <v>49000</v>
      </c>
      <c r="P1290">
        <v>43300</v>
      </c>
      <c r="Q1290">
        <v>5700</v>
      </c>
      <c r="R1290">
        <v>11.63</v>
      </c>
      <c r="S1290" t="s">
        <v>97</v>
      </c>
      <c r="T1290">
        <v>4600</v>
      </c>
      <c r="U1290">
        <v>3.7</v>
      </c>
      <c r="V1290" t="s">
        <v>79</v>
      </c>
    </row>
    <row r="1291" spans="1:22" x14ac:dyDescent="0.3">
      <c r="A1291" t="s">
        <v>3462</v>
      </c>
      <c r="B1291" t="s">
        <v>2187</v>
      </c>
      <c r="C1291" t="s">
        <v>2188</v>
      </c>
      <c r="D1291" s="2">
        <v>46293</v>
      </c>
      <c r="E1291" t="s">
        <v>66</v>
      </c>
      <c r="F1291" t="s">
        <v>66</v>
      </c>
      <c r="G1291" t="s">
        <v>27</v>
      </c>
      <c r="H1291" t="s">
        <v>49</v>
      </c>
      <c r="I1291" t="s">
        <v>69</v>
      </c>
      <c r="J1291" t="s">
        <v>70</v>
      </c>
      <c r="K1291">
        <v>7</v>
      </c>
      <c r="L1291">
        <v>56</v>
      </c>
      <c r="M1291">
        <v>201400</v>
      </c>
      <c r="N1291">
        <v>0</v>
      </c>
      <c r="O1291">
        <v>201400</v>
      </c>
      <c r="P1291">
        <v>164700</v>
      </c>
      <c r="Q1291">
        <v>36700</v>
      </c>
      <c r="R1291">
        <v>18.22</v>
      </c>
      <c r="S1291" t="s">
        <v>58</v>
      </c>
      <c r="T1291">
        <v>23800</v>
      </c>
      <c r="U1291">
        <v>4.2</v>
      </c>
      <c r="V1291" t="s">
        <v>42</v>
      </c>
    </row>
    <row r="1292" spans="1:22" x14ac:dyDescent="0.3">
      <c r="A1292" t="s">
        <v>4536</v>
      </c>
      <c r="B1292" t="s">
        <v>2563</v>
      </c>
      <c r="C1292" t="s">
        <v>2564</v>
      </c>
      <c r="D1292" s="2">
        <v>46293</v>
      </c>
      <c r="E1292" t="s">
        <v>66</v>
      </c>
      <c r="F1292" t="s">
        <v>66</v>
      </c>
      <c r="G1292" t="s">
        <v>27</v>
      </c>
      <c r="H1292" t="s">
        <v>88</v>
      </c>
      <c r="I1292" t="s">
        <v>69</v>
      </c>
      <c r="J1292" t="s">
        <v>257</v>
      </c>
      <c r="K1292">
        <v>3</v>
      </c>
      <c r="L1292">
        <v>55</v>
      </c>
      <c r="M1292">
        <v>36300</v>
      </c>
      <c r="N1292">
        <v>0</v>
      </c>
      <c r="O1292">
        <v>36300</v>
      </c>
      <c r="P1292">
        <v>26900</v>
      </c>
      <c r="Q1292">
        <v>9400</v>
      </c>
      <c r="R1292">
        <v>25.9</v>
      </c>
      <c r="S1292" t="s">
        <v>182</v>
      </c>
      <c r="T1292">
        <v>2700</v>
      </c>
      <c r="U1292">
        <v>5</v>
      </c>
      <c r="V1292" t="s">
        <v>79</v>
      </c>
    </row>
    <row r="1293" spans="1:22" x14ac:dyDescent="0.3">
      <c r="A1293" t="s">
        <v>4825</v>
      </c>
      <c r="B1293" t="s">
        <v>2302</v>
      </c>
      <c r="C1293" t="s">
        <v>2303</v>
      </c>
      <c r="D1293" s="2">
        <v>46294</v>
      </c>
      <c r="E1293" t="s">
        <v>282</v>
      </c>
      <c r="F1293" t="s">
        <v>282</v>
      </c>
      <c r="G1293" t="s">
        <v>67</v>
      </c>
      <c r="H1293" t="s">
        <v>68</v>
      </c>
      <c r="I1293" t="s">
        <v>29</v>
      </c>
      <c r="J1293" t="s">
        <v>30</v>
      </c>
      <c r="K1293">
        <v>2</v>
      </c>
      <c r="L1293">
        <v>64</v>
      </c>
      <c r="M1293">
        <v>28300</v>
      </c>
      <c r="N1293">
        <v>5700</v>
      </c>
      <c r="O1293">
        <v>22600</v>
      </c>
      <c r="P1293">
        <v>13100</v>
      </c>
      <c r="Q1293">
        <v>9500</v>
      </c>
      <c r="R1293">
        <v>42.04</v>
      </c>
      <c r="S1293" t="s">
        <v>182</v>
      </c>
      <c r="T1293">
        <v>2400</v>
      </c>
      <c r="U1293">
        <v>3.2</v>
      </c>
      <c r="V1293" t="s">
        <v>42</v>
      </c>
    </row>
    <row r="1294" spans="1:22" x14ac:dyDescent="0.3">
      <c r="A1294" t="s">
        <v>5352</v>
      </c>
      <c r="B1294" t="s">
        <v>4446</v>
      </c>
      <c r="C1294" t="s">
        <v>4447</v>
      </c>
      <c r="D1294" s="2">
        <v>46295</v>
      </c>
      <c r="E1294" t="s">
        <v>282</v>
      </c>
      <c r="F1294" t="s">
        <v>282</v>
      </c>
      <c r="G1294" t="s">
        <v>67</v>
      </c>
      <c r="H1294" t="s">
        <v>268</v>
      </c>
      <c r="I1294" t="s">
        <v>29</v>
      </c>
      <c r="J1294" t="s">
        <v>162</v>
      </c>
      <c r="K1294">
        <v>2</v>
      </c>
      <c r="L1294">
        <v>21</v>
      </c>
      <c r="M1294">
        <v>72500</v>
      </c>
      <c r="N1294">
        <v>3600</v>
      </c>
      <c r="O1294">
        <v>68900</v>
      </c>
      <c r="P1294">
        <v>47900</v>
      </c>
      <c r="Q1294">
        <v>21000</v>
      </c>
      <c r="R1294">
        <v>30.48</v>
      </c>
      <c r="S1294" t="s">
        <v>39</v>
      </c>
      <c r="T1294">
        <v>10500</v>
      </c>
      <c r="U1294">
        <v>4.2</v>
      </c>
      <c r="V1294" t="s">
        <v>82</v>
      </c>
    </row>
    <row r="1295" spans="1:22" x14ac:dyDescent="0.3">
      <c r="A1295" t="s">
        <v>3128</v>
      </c>
      <c r="B1295" t="s">
        <v>943</v>
      </c>
      <c r="C1295" t="s">
        <v>944</v>
      </c>
      <c r="D1295" s="2">
        <v>46295</v>
      </c>
      <c r="E1295" t="s">
        <v>134</v>
      </c>
      <c r="F1295" t="s">
        <v>134</v>
      </c>
      <c r="G1295" t="s">
        <v>580</v>
      </c>
      <c r="H1295" t="s">
        <v>88</v>
      </c>
      <c r="I1295" t="s">
        <v>29</v>
      </c>
      <c r="J1295" t="s">
        <v>30</v>
      </c>
      <c r="K1295">
        <v>6</v>
      </c>
      <c r="L1295">
        <v>29</v>
      </c>
      <c r="M1295">
        <v>23500</v>
      </c>
      <c r="N1295">
        <v>2400</v>
      </c>
      <c r="O1295">
        <v>21100</v>
      </c>
      <c r="P1295">
        <v>18600</v>
      </c>
      <c r="Q1295">
        <v>2500</v>
      </c>
      <c r="R1295">
        <v>11.85</v>
      </c>
      <c r="S1295" t="s">
        <v>5471</v>
      </c>
      <c r="T1295">
        <v>1300</v>
      </c>
      <c r="U1295">
        <v>4.5999999999999996</v>
      </c>
      <c r="V1295" t="s">
        <v>79</v>
      </c>
    </row>
    <row r="1296" spans="1:22" x14ac:dyDescent="0.3">
      <c r="A1296" t="s">
        <v>4538</v>
      </c>
      <c r="B1296" t="s">
        <v>2122</v>
      </c>
      <c r="C1296" t="s">
        <v>2123</v>
      </c>
      <c r="D1296" s="2">
        <v>46296</v>
      </c>
      <c r="E1296" t="s">
        <v>26</v>
      </c>
      <c r="F1296" t="s">
        <v>26</v>
      </c>
      <c r="G1296" t="s">
        <v>147</v>
      </c>
      <c r="H1296" t="s">
        <v>268</v>
      </c>
      <c r="I1296" t="s">
        <v>69</v>
      </c>
      <c r="J1296" t="s">
        <v>30</v>
      </c>
      <c r="K1296">
        <v>10</v>
      </c>
      <c r="L1296">
        <v>53</v>
      </c>
      <c r="M1296">
        <v>38600</v>
      </c>
      <c r="N1296">
        <v>1900</v>
      </c>
      <c r="O1296">
        <v>36700</v>
      </c>
      <c r="P1296">
        <v>25800</v>
      </c>
      <c r="Q1296">
        <v>10900</v>
      </c>
      <c r="R1296">
        <v>29.7</v>
      </c>
      <c r="S1296" t="s">
        <v>58</v>
      </c>
      <c r="T1296">
        <v>4900</v>
      </c>
      <c r="U1296">
        <v>4.5</v>
      </c>
      <c r="V1296" t="s">
        <v>114</v>
      </c>
    </row>
    <row r="1297" spans="1:22" x14ac:dyDescent="0.3">
      <c r="A1297" t="s">
        <v>4026</v>
      </c>
      <c r="B1297" t="s">
        <v>4027</v>
      </c>
      <c r="C1297" t="s">
        <v>4028</v>
      </c>
      <c r="D1297" s="2">
        <v>46296</v>
      </c>
      <c r="E1297" t="s">
        <v>228</v>
      </c>
      <c r="F1297" t="s">
        <v>228</v>
      </c>
      <c r="G1297" t="s">
        <v>27</v>
      </c>
      <c r="H1297" t="s">
        <v>68</v>
      </c>
      <c r="I1297" t="s">
        <v>69</v>
      </c>
      <c r="J1297" t="s">
        <v>162</v>
      </c>
      <c r="K1297">
        <v>8</v>
      </c>
      <c r="L1297">
        <v>22</v>
      </c>
      <c r="M1297">
        <v>99400</v>
      </c>
      <c r="N1297">
        <v>5000</v>
      </c>
      <c r="O1297">
        <v>94400</v>
      </c>
      <c r="P1297">
        <v>54100</v>
      </c>
      <c r="Q1297">
        <v>40300</v>
      </c>
      <c r="R1297">
        <v>42.69</v>
      </c>
      <c r="S1297" t="s">
        <v>79</v>
      </c>
      <c r="T1297">
        <v>16000</v>
      </c>
      <c r="U1297">
        <v>4.5</v>
      </c>
      <c r="V1297" t="s">
        <v>114</v>
      </c>
    </row>
    <row r="1298" spans="1:22" x14ac:dyDescent="0.3">
      <c r="A1298" t="s">
        <v>1892</v>
      </c>
      <c r="B1298" t="s">
        <v>698</v>
      </c>
      <c r="C1298" t="s">
        <v>699</v>
      </c>
      <c r="D1298" s="2">
        <v>46298</v>
      </c>
      <c r="E1298" t="s">
        <v>66</v>
      </c>
      <c r="F1298" t="s">
        <v>66</v>
      </c>
      <c r="G1298" t="s">
        <v>580</v>
      </c>
      <c r="H1298" t="s">
        <v>5470</v>
      </c>
      <c r="I1298" t="s">
        <v>29</v>
      </c>
      <c r="J1298" t="s">
        <v>30</v>
      </c>
      <c r="K1298">
        <v>9</v>
      </c>
      <c r="L1298">
        <v>43</v>
      </c>
      <c r="M1298">
        <v>51800</v>
      </c>
      <c r="N1298">
        <v>0</v>
      </c>
      <c r="O1298">
        <v>51800</v>
      </c>
      <c r="P1298">
        <v>26200</v>
      </c>
      <c r="Q1298">
        <v>25600</v>
      </c>
      <c r="R1298">
        <v>49.42</v>
      </c>
      <c r="S1298" t="s">
        <v>79</v>
      </c>
      <c r="T1298">
        <v>5100</v>
      </c>
      <c r="U1298">
        <v>3.6</v>
      </c>
      <c r="V1298" t="s">
        <v>82</v>
      </c>
    </row>
    <row r="1299" spans="1:22" x14ac:dyDescent="0.3">
      <c r="A1299" t="s">
        <v>2927</v>
      </c>
      <c r="B1299" t="s">
        <v>2928</v>
      </c>
      <c r="C1299" t="s">
        <v>2929</v>
      </c>
      <c r="D1299" s="2">
        <v>46298</v>
      </c>
      <c r="E1299" t="s">
        <v>188</v>
      </c>
      <c r="F1299" t="s">
        <v>188</v>
      </c>
      <c r="G1299" t="s">
        <v>27</v>
      </c>
      <c r="H1299" t="s">
        <v>68</v>
      </c>
      <c r="I1299" t="s">
        <v>69</v>
      </c>
      <c r="J1299" t="s">
        <v>30</v>
      </c>
      <c r="K1299">
        <v>2</v>
      </c>
      <c r="L1299">
        <v>19</v>
      </c>
      <c r="M1299">
        <v>15100</v>
      </c>
      <c r="N1299">
        <v>3000</v>
      </c>
      <c r="O1299">
        <v>12100</v>
      </c>
      <c r="P1299">
        <v>6500</v>
      </c>
      <c r="Q1299">
        <v>5600</v>
      </c>
      <c r="R1299">
        <v>46.28</v>
      </c>
      <c r="S1299" t="s">
        <v>58</v>
      </c>
      <c r="T1299">
        <v>1000</v>
      </c>
      <c r="U1299">
        <v>3.9</v>
      </c>
      <c r="V1299" t="s">
        <v>114</v>
      </c>
    </row>
    <row r="1300" spans="1:22" x14ac:dyDescent="0.3">
      <c r="A1300" t="s">
        <v>2896</v>
      </c>
      <c r="B1300" t="s">
        <v>2057</v>
      </c>
      <c r="C1300" t="s">
        <v>2058</v>
      </c>
      <c r="D1300" s="2">
        <v>46298</v>
      </c>
      <c r="E1300" t="s">
        <v>26</v>
      </c>
      <c r="F1300" t="s">
        <v>26</v>
      </c>
      <c r="G1300" t="s">
        <v>67</v>
      </c>
      <c r="H1300" t="s">
        <v>268</v>
      </c>
      <c r="I1300" t="s">
        <v>69</v>
      </c>
      <c r="J1300" t="s">
        <v>30</v>
      </c>
      <c r="K1300">
        <v>5</v>
      </c>
      <c r="L1300">
        <v>50</v>
      </c>
      <c r="M1300">
        <v>29600</v>
      </c>
      <c r="N1300">
        <v>0</v>
      </c>
      <c r="O1300">
        <v>29600</v>
      </c>
      <c r="P1300">
        <v>21500</v>
      </c>
      <c r="Q1300">
        <v>8100</v>
      </c>
      <c r="R1300">
        <v>27.36</v>
      </c>
      <c r="S1300" t="s">
        <v>58</v>
      </c>
      <c r="T1300">
        <v>3500</v>
      </c>
      <c r="U1300">
        <v>4.2</v>
      </c>
      <c r="V1300" t="s">
        <v>114</v>
      </c>
    </row>
    <row r="1301" spans="1:22" x14ac:dyDescent="0.3">
      <c r="A1301" t="s">
        <v>5216</v>
      </c>
      <c r="B1301" t="s">
        <v>5217</v>
      </c>
      <c r="C1301" t="s">
        <v>5218</v>
      </c>
      <c r="D1301" s="2">
        <v>46298</v>
      </c>
      <c r="E1301" t="s">
        <v>66</v>
      </c>
      <c r="F1301" t="s">
        <v>66</v>
      </c>
      <c r="G1301" t="s">
        <v>118</v>
      </c>
      <c r="H1301" t="s">
        <v>88</v>
      </c>
      <c r="I1301" t="s">
        <v>69</v>
      </c>
      <c r="J1301" t="s">
        <v>162</v>
      </c>
      <c r="K1301">
        <v>7</v>
      </c>
      <c r="L1301">
        <v>23</v>
      </c>
      <c r="M1301">
        <v>67600</v>
      </c>
      <c r="N1301">
        <v>10100</v>
      </c>
      <c r="O1301">
        <v>57500</v>
      </c>
      <c r="P1301">
        <v>49500</v>
      </c>
      <c r="Q1301">
        <v>8000</v>
      </c>
      <c r="R1301">
        <v>13.91</v>
      </c>
      <c r="S1301" t="s">
        <v>39</v>
      </c>
      <c r="T1301">
        <v>4300</v>
      </c>
      <c r="U1301">
        <v>3.8</v>
      </c>
      <c r="V1301" t="s">
        <v>82</v>
      </c>
    </row>
    <row r="1302" spans="1:22" x14ac:dyDescent="0.3">
      <c r="A1302" t="s">
        <v>5093</v>
      </c>
      <c r="B1302" t="s">
        <v>2410</v>
      </c>
      <c r="C1302" t="s">
        <v>2411</v>
      </c>
      <c r="D1302" s="2">
        <v>46298</v>
      </c>
      <c r="E1302" t="s">
        <v>228</v>
      </c>
      <c r="F1302" t="s">
        <v>228</v>
      </c>
      <c r="G1302" t="s">
        <v>147</v>
      </c>
      <c r="H1302" t="s">
        <v>28</v>
      </c>
      <c r="I1302" t="s">
        <v>69</v>
      </c>
      <c r="J1302" t="s">
        <v>70</v>
      </c>
      <c r="K1302">
        <v>9</v>
      </c>
      <c r="L1302">
        <v>37</v>
      </c>
      <c r="M1302">
        <v>78400</v>
      </c>
      <c r="N1302">
        <v>0</v>
      </c>
      <c r="O1302">
        <v>78400</v>
      </c>
      <c r="P1302">
        <v>49900</v>
      </c>
      <c r="Q1302">
        <v>28500</v>
      </c>
      <c r="R1302">
        <v>36.35</v>
      </c>
      <c r="S1302" t="s">
        <v>182</v>
      </c>
      <c r="T1302">
        <v>8500</v>
      </c>
      <c r="U1302">
        <v>3.4</v>
      </c>
      <c r="V1302" t="s">
        <v>58</v>
      </c>
    </row>
    <row r="1303" spans="1:22" x14ac:dyDescent="0.3">
      <c r="A1303" t="s">
        <v>2034</v>
      </c>
      <c r="B1303" t="s">
        <v>1093</v>
      </c>
      <c r="C1303" t="s">
        <v>1094</v>
      </c>
      <c r="D1303" s="2">
        <v>46299</v>
      </c>
      <c r="E1303" t="s">
        <v>244</v>
      </c>
      <c r="F1303" t="s">
        <v>244</v>
      </c>
      <c r="G1303" t="s">
        <v>580</v>
      </c>
      <c r="H1303" t="s">
        <v>214</v>
      </c>
      <c r="I1303" t="s">
        <v>29</v>
      </c>
      <c r="J1303" t="s">
        <v>30</v>
      </c>
      <c r="K1303">
        <v>9</v>
      </c>
      <c r="L1303">
        <v>38</v>
      </c>
      <c r="M1303">
        <v>80100</v>
      </c>
      <c r="N1303">
        <v>12000</v>
      </c>
      <c r="O1303">
        <v>68100</v>
      </c>
      <c r="P1303">
        <v>56800</v>
      </c>
      <c r="Q1303">
        <v>11300</v>
      </c>
      <c r="R1303">
        <v>16.59</v>
      </c>
      <c r="S1303" t="s">
        <v>39</v>
      </c>
      <c r="T1303">
        <v>8300</v>
      </c>
      <c r="U1303">
        <v>5</v>
      </c>
      <c r="V1303" t="s">
        <v>79</v>
      </c>
    </row>
    <row r="1304" spans="1:22" x14ac:dyDescent="0.3">
      <c r="A1304" t="s">
        <v>3400</v>
      </c>
      <c r="B1304" t="s">
        <v>1535</v>
      </c>
      <c r="C1304" t="s">
        <v>1536</v>
      </c>
      <c r="D1304" s="2">
        <v>46299</v>
      </c>
      <c r="E1304" t="s">
        <v>134</v>
      </c>
      <c r="F1304" t="s">
        <v>134</v>
      </c>
      <c r="G1304" t="s">
        <v>27</v>
      </c>
      <c r="H1304" t="s">
        <v>68</v>
      </c>
      <c r="I1304" t="s">
        <v>69</v>
      </c>
      <c r="J1304" t="s">
        <v>30</v>
      </c>
      <c r="K1304">
        <v>5</v>
      </c>
      <c r="L1304">
        <v>25</v>
      </c>
      <c r="M1304">
        <v>129900</v>
      </c>
      <c r="N1304">
        <v>0</v>
      </c>
      <c r="O1304">
        <v>129900</v>
      </c>
      <c r="P1304">
        <v>88200</v>
      </c>
      <c r="Q1304">
        <v>41700</v>
      </c>
      <c r="R1304">
        <v>32.1</v>
      </c>
      <c r="S1304" t="s">
        <v>97</v>
      </c>
      <c r="T1304">
        <v>10800</v>
      </c>
      <c r="U1304">
        <v>5</v>
      </c>
      <c r="V1304" t="s">
        <v>79</v>
      </c>
    </row>
    <row r="1305" spans="1:22" x14ac:dyDescent="0.3">
      <c r="A1305" t="s">
        <v>5278</v>
      </c>
      <c r="B1305" t="s">
        <v>4222</v>
      </c>
      <c r="C1305" t="s">
        <v>4223</v>
      </c>
      <c r="D1305" s="2">
        <v>46301</v>
      </c>
      <c r="E1305" t="s">
        <v>244</v>
      </c>
      <c r="F1305" t="s">
        <v>244</v>
      </c>
      <c r="G1305" t="s">
        <v>103</v>
      </c>
      <c r="H1305" t="s">
        <v>68</v>
      </c>
      <c r="I1305" t="s">
        <v>69</v>
      </c>
      <c r="J1305" t="s">
        <v>70</v>
      </c>
      <c r="K1305">
        <v>8</v>
      </c>
      <c r="L1305">
        <v>49</v>
      </c>
      <c r="M1305">
        <v>39400</v>
      </c>
      <c r="N1305">
        <v>3900</v>
      </c>
      <c r="O1305">
        <v>35500</v>
      </c>
      <c r="P1305">
        <v>26300</v>
      </c>
      <c r="Q1305">
        <v>9200</v>
      </c>
      <c r="R1305">
        <v>25.92</v>
      </c>
      <c r="S1305" t="s">
        <v>39</v>
      </c>
      <c r="T1305">
        <v>4100</v>
      </c>
      <c r="U1305">
        <v>2.8</v>
      </c>
      <c r="V1305" t="s">
        <v>82</v>
      </c>
    </row>
    <row r="1306" spans="1:22" x14ac:dyDescent="0.3">
      <c r="A1306" t="s">
        <v>3610</v>
      </c>
      <c r="B1306" t="s">
        <v>795</v>
      </c>
      <c r="C1306" t="s">
        <v>796</v>
      </c>
      <c r="D1306" s="2">
        <v>46301</v>
      </c>
      <c r="E1306" t="s">
        <v>282</v>
      </c>
      <c r="F1306" t="s">
        <v>282</v>
      </c>
      <c r="G1306" t="s">
        <v>147</v>
      </c>
      <c r="H1306" t="s">
        <v>5470</v>
      </c>
      <c r="I1306" t="s">
        <v>29</v>
      </c>
      <c r="J1306" t="s">
        <v>30</v>
      </c>
      <c r="K1306">
        <v>4</v>
      </c>
      <c r="L1306">
        <v>39</v>
      </c>
      <c r="M1306">
        <v>53700</v>
      </c>
      <c r="N1306">
        <v>5400</v>
      </c>
      <c r="O1306">
        <v>48300</v>
      </c>
      <c r="P1306">
        <v>43900</v>
      </c>
      <c r="Q1306">
        <v>4400</v>
      </c>
      <c r="R1306">
        <v>9.11</v>
      </c>
      <c r="S1306" t="s">
        <v>58</v>
      </c>
      <c r="T1306">
        <v>5600</v>
      </c>
      <c r="U1306">
        <v>4.0999999999999996</v>
      </c>
      <c r="V1306" t="s">
        <v>42</v>
      </c>
    </row>
    <row r="1307" spans="1:22" x14ac:dyDescent="0.3">
      <c r="A1307" t="s">
        <v>3134</v>
      </c>
      <c r="B1307" t="s">
        <v>1007</v>
      </c>
      <c r="C1307" t="s">
        <v>1008</v>
      </c>
      <c r="D1307" s="2">
        <v>46301</v>
      </c>
      <c r="E1307" t="s">
        <v>66</v>
      </c>
      <c r="F1307" t="s">
        <v>66</v>
      </c>
      <c r="G1307" t="s">
        <v>147</v>
      </c>
      <c r="H1307" t="s">
        <v>68</v>
      </c>
      <c r="I1307" t="s">
        <v>69</v>
      </c>
      <c r="J1307" t="s">
        <v>70</v>
      </c>
      <c r="K1307">
        <v>10</v>
      </c>
      <c r="L1307">
        <v>42</v>
      </c>
      <c r="M1307">
        <v>66100</v>
      </c>
      <c r="N1307">
        <v>3300</v>
      </c>
      <c r="O1307">
        <v>62800</v>
      </c>
      <c r="P1307">
        <v>35000</v>
      </c>
      <c r="Q1307">
        <v>27800</v>
      </c>
      <c r="R1307">
        <v>44.27</v>
      </c>
      <c r="S1307" t="s">
        <v>79</v>
      </c>
      <c r="T1307">
        <v>10500</v>
      </c>
      <c r="U1307">
        <v>4.5</v>
      </c>
      <c r="V1307" t="s">
        <v>42</v>
      </c>
    </row>
    <row r="1308" spans="1:22" x14ac:dyDescent="0.3">
      <c r="A1308" t="s">
        <v>4848</v>
      </c>
      <c r="B1308" t="s">
        <v>890</v>
      </c>
      <c r="C1308" t="s">
        <v>891</v>
      </c>
      <c r="D1308" s="2">
        <v>46303</v>
      </c>
      <c r="E1308" t="s">
        <v>282</v>
      </c>
      <c r="F1308" t="s">
        <v>282</v>
      </c>
      <c r="G1308" t="s">
        <v>67</v>
      </c>
      <c r="H1308" t="s">
        <v>214</v>
      </c>
      <c r="I1308" t="s">
        <v>69</v>
      </c>
      <c r="J1308" t="s">
        <v>70</v>
      </c>
      <c r="K1308">
        <v>9</v>
      </c>
      <c r="L1308">
        <v>5</v>
      </c>
      <c r="M1308">
        <v>28500</v>
      </c>
      <c r="N1308">
        <v>4300</v>
      </c>
      <c r="O1308">
        <v>24200</v>
      </c>
      <c r="P1308">
        <v>14700</v>
      </c>
      <c r="Q1308">
        <v>9500</v>
      </c>
      <c r="R1308">
        <v>39.26</v>
      </c>
      <c r="S1308" t="s">
        <v>97</v>
      </c>
      <c r="T1308">
        <v>1200</v>
      </c>
      <c r="U1308">
        <v>5</v>
      </c>
      <c r="V1308" t="s">
        <v>114</v>
      </c>
    </row>
    <row r="1309" spans="1:22" x14ac:dyDescent="0.3">
      <c r="A1309" t="s">
        <v>3835</v>
      </c>
      <c r="B1309" t="s">
        <v>2277</v>
      </c>
      <c r="C1309" t="s">
        <v>2278</v>
      </c>
      <c r="D1309" s="2">
        <v>46303</v>
      </c>
      <c r="E1309" t="s">
        <v>26</v>
      </c>
      <c r="F1309" t="s">
        <v>26</v>
      </c>
      <c r="G1309" t="s">
        <v>213</v>
      </c>
      <c r="H1309" t="s">
        <v>268</v>
      </c>
      <c r="I1309" t="s">
        <v>29</v>
      </c>
      <c r="J1309" t="s">
        <v>162</v>
      </c>
      <c r="K1309">
        <v>3</v>
      </c>
      <c r="L1309">
        <v>43</v>
      </c>
      <c r="M1309">
        <v>36400</v>
      </c>
      <c r="N1309">
        <v>1800</v>
      </c>
      <c r="O1309">
        <v>34600</v>
      </c>
      <c r="P1309">
        <v>22700</v>
      </c>
      <c r="Q1309">
        <v>11900</v>
      </c>
      <c r="R1309">
        <v>34.39</v>
      </c>
      <c r="S1309" t="s">
        <v>97</v>
      </c>
      <c r="T1309">
        <v>3900</v>
      </c>
      <c r="U1309">
        <v>4</v>
      </c>
      <c r="V1309" t="s">
        <v>79</v>
      </c>
    </row>
    <row r="1310" spans="1:22" x14ac:dyDescent="0.3">
      <c r="A1310" t="s">
        <v>3109</v>
      </c>
      <c r="B1310" t="s">
        <v>279</v>
      </c>
      <c r="C1310" t="s">
        <v>280</v>
      </c>
      <c r="D1310" s="2">
        <v>46303</v>
      </c>
      <c r="E1310" t="s">
        <v>161</v>
      </c>
      <c r="F1310" t="s">
        <v>161</v>
      </c>
      <c r="G1310" t="s">
        <v>48</v>
      </c>
      <c r="H1310" t="s">
        <v>268</v>
      </c>
      <c r="I1310" t="s">
        <v>69</v>
      </c>
      <c r="J1310" t="s">
        <v>30</v>
      </c>
      <c r="K1310">
        <v>2</v>
      </c>
      <c r="L1310">
        <v>53</v>
      </c>
      <c r="M1310">
        <v>51700</v>
      </c>
      <c r="N1310">
        <v>10300</v>
      </c>
      <c r="O1310">
        <v>41400</v>
      </c>
      <c r="P1310">
        <v>39400</v>
      </c>
      <c r="Q1310">
        <v>2000</v>
      </c>
      <c r="R1310">
        <v>4.83</v>
      </c>
      <c r="S1310" t="s">
        <v>126</v>
      </c>
      <c r="T1310">
        <v>3800</v>
      </c>
      <c r="U1310">
        <v>3.2</v>
      </c>
      <c r="V1310" t="s">
        <v>79</v>
      </c>
    </row>
    <row r="1311" spans="1:22" x14ac:dyDescent="0.3">
      <c r="A1311" t="s">
        <v>2832</v>
      </c>
      <c r="B1311" t="s">
        <v>1662</v>
      </c>
      <c r="C1311" t="s">
        <v>1663</v>
      </c>
      <c r="D1311" s="2">
        <v>46303</v>
      </c>
      <c r="E1311" t="s">
        <v>282</v>
      </c>
      <c r="F1311" t="s">
        <v>282</v>
      </c>
      <c r="G1311" t="s">
        <v>580</v>
      </c>
      <c r="H1311" t="s">
        <v>268</v>
      </c>
      <c r="I1311" t="s">
        <v>29</v>
      </c>
      <c r="J1311" t="s">
        <v>30</v>
      </c>
      <c r="K1311">
        <v>10</v>
      </c>
      <c r="L1311">
        <v>34</v>
      </c>
      <c r="M1311">
        <v>15000</v>
      </c>
      <c r="N1311">
        <v>2200</v>
      </c>
      <c r="O1311">
        <v>12800</v>
      </c>
      <c r="P1311">
        <v>8900</v>
      </c>
      <c r="Q1311">
        <v>3900</v>
      </c>
      <c r="R1311">
        <v>30.47</v>
      </c>
      <c r="S1311" t="s">
        <v>126</v>
      </c>
      <c r="T1311">
        <v>1800</v>
      </c>
      <c r="U1311">
        <v>4.2</v>
      </c>
      <c r="V1311" t="s">
        <v>58</v>
      </c>
    </row>
    <row r="1312" spans="1:22" x14ac:dyDescent="0.3">
      <c r="A1312" t="s">
        <v>917</v>
      </c>
      <c r="B1312" t="s">
        <v>918</v>
      </c>
      <c r="C1312" t="s">
        <v>919</v>
      </c>
      <c r="D1312" s="2">
        <v>46303</v>
      </c>
      <c r="E1312" t="s">
        <v>26</v>
      </c>
      <c r="F1312" t="s">
        <v>26</v>
      </c>
      <c r="G1312" t="s">
        <v>147</v>
      </c>
      <c r="H1312" t="s">
        <v>28</v>
      </c>
      <c r="I1312" t="s">
        <v>29</v>
      </c>
      <c r="J1312" t="s">
        <v>70</v>
      </c>
      <c r="K1312">
        <v>5</v>
      </c>
      <c r="L1312">
        <v>36</v>
      </c>
      <c r="M1312">
        <v>21600</v>
      </c>
      <c r="N1312">
        <v>0</v>
      </c>
      <c r="O1312">
        <v>21600</v>
      </c>
      <c r="P1312">
        <v>9700</v>
      </c>
      <c r="Q1312">
        <v>11900</v>
      </c>
      <c r="R1312">
        <v>55.09</v>
      </c>
      <c r="S1312" t="s">
        <v>39</v>
      </c>
      <c r="T1312">
        <v>2300</v>
      </c>
      <c r="U1312">
        <v>4.5</v>
      </c>
      <c r="V1312" t="s">
        <v>114</v>
      </c>
    </row>
    <row r="1313" spans="1:22" x14ac:dyDescent="0.3">
      <c r="A1313" t="s">
        <v>1274</v>
      </c>
      <c r="B1313" t="s">
        <v>1275</v>
      </c>
      <c r="C1313" t="s">
        <v>1276</v>
      </c>
      <c r="D1313" s="2">
        <v>46304</v>
      </c>
      <c r="E1313" t="s">
        <v>282</v>
      </c>
      <c r="F1313" t="s">
        <v>282</v>
      </c>
      <c r="G1313" t="s">
        <v>147</v>
      </c>
      <c r="H1313" t="s">
        <v>229</v>
      </c>
      <c r="I1313" t="s">
        <v>69</v>
      </c>
      <c r="J1313" t="s">
        <v>70</v>
      </c>
      <c r="K1313">
        <v>6</v>
      </c>
      <c r="L1313">
        <v>23</v>
      </c>
      <c r="M1313">
        <v>108200</v>
      </c>
      <c r="N1313">
        <v>21600</v>
      </c>
      <c r="O1313">
        <v>86600</v>
      </c>
      <c r="P1313">
        <v>54900</v>
      </c>
      <c r="Q1313">
        <v>31700</v>
      </c>
      <c r="R1313">
        <v>36.61</v>
      </c>
      <c r="S1313" t="s">
        <v>182</v>
      </c>
      <c r="T1313">
        <v>13600</v>
      </c>
      <c r="U1313">
        <v>4.0999999999999996</v>
      </c>
      <c r="V1313" t="s">
        <v>42</v>
      </c>
    </row>
    <row r="1314" spans="1:22" x14ac:dyDescent="0.3">
      <c r="A1314" t="s">
        <v>4963</v>
      </c>
      <c r="B1314" t="s">
        <v>3502</v>
      </c>
      <c r="C1314" t="s">
        <v>3503</v>
      </c>
      <c r="D1314" s="2">
        <v>46305</v>
      </c>
      <c r="E1314" t="s">
        <v>282</v>
      </c>
      <c r="F1314" t="s">
        <v>282</v>
      </c>
      <c r="G1314" t="s">
        <v>27</v>
      </c>
      <c r="H1314" t="s">
        <v>88</v>
      </c>
      <c r="I1314" t="s">
        <v>69</v>
      </c>
      <c r="J1314" t="s">
        <v>30</v>
      </c>
      <c r="K1314">
        <v>9</v>
      </c>
      <c r="L1314">
        <v>17</v>
      </c>
      <c r="M1314">
        <v>44700</v>
      </c>
      <c r="N1314">
        <v>6700</v>
      </c>
      <c r="O1314">
        <v>38000</v>
      </c>
      <c r="P1314">
        <v>22400</v>
      </c>
      <c r="Q1314">
        <v>15600</v>
      </c>
      <c r="R1314">
        <v>41.05</v>
      </c>
      <c r="S1314" t="s">
        <v>126</v>
      </c>
      <c r="T1314">
        <v>4300</v>
      </c>
      <c r="U1314">
        <v>4.3</v>
      </c>
      <c r="V1314" t="s">
        <v>42</v>
      </c>
    </row>
    <row r="1315" spans="1:22" x14ac:dyDescent="0.3">
      <c r="A1315" t="s">
        <v>3370</v>
      </c>
      <c r="B1315" t="s">
        <v>1263</v>
      </c>
      <c r="C1315" t="s">
        <v>1264</v>
      </c>
      <c r="D1315" s="2">
        <v>46305</v>
      </c>
      <c r="E1315" t="s">
        <v>244</v>
      </c>
      <c r="F1315" t="s">
        <v>244</v>
      </c>
      <c r="G1315" t="s">
        <v>580</v>
      </c>
      <c r="H1315" t="s">
        <v>68</v>
      </c>
      <c r="I1315" t="s">
        <v>29</v>
      </c>
      <c r="J1315" t="s">
        <v>162</v>
      </c>
      <c r="K1315">
        <v>2</v>
      </c>
      <c r="L1315">
        <v>58</v>
      </c>
      <c r="M1315">
        <v>158900</v>
      </c>
      <c r="N1315">
        <v>7900</v>
      </c>
      <c r="O1315">
        <v>151000</v>
      </c>
      <c r="P1315">
        <v>72200</v>
      </c>
      <c r="Q1315">
        <v>78800</v>
      </c>
      <c r="R1315">
        <v>52.19</v>
      </c>
      <c r="S1315" t="s">
        <v>182</v>
      </c>
      <c r="T1315">
        <v>23600</v>
      </c>
      <c r="U1315">
        <v>4.0999999999999996</v>
      </c>
      <c r="V1315" t="s">
        <v>42</v>
      </c>
    </row>
    <row r="1316" spans="1:22" x14ac:dyDescent="0.3">
      <c r="A1316" t="s">
        <v>1152</v>
      </c>
      <c r="B1316" t="s">
        <v>1153</v>
      </c>
      <c r="C1316" t="s">
        <v>1154</v>
      </c>
      <c r="D1316" s="2">
        <v>46306</v>
      </c>
      <c r="E1316" t="s">
        <v>66</v>
      </c>
      <c r="F1316" t="s">
        <v>66</v>
      </c>
      <c r="G1316" t="s">
        <v>67</v>
      </c>
      <c r="H1316" t="s">
        <v>214</v>
      </c>
      <c r="I1316" t="s">
        <v>69</v>
      </c>
      <c r="J1316" t="s">
        <v>70</v>
      </c>
      <c r="K1316">
        <v>10</v>
      </c>
      <c r="L1316">
        <v>64</v>
      </c>
      <c r="M1316">
        <v>63600</v>
      </c>
      <c r="N1316">
        <v>0</v>
      </c>
      <c r="O1316">
        <v>63600</v>
      </c>
      <c r="P1316">
        <v>30600</v>
      </c>
      <c r="Q1316">
        <v>33000</v>
      </c>
      <c r="R1316">
        <v>51.89</v>
      </c>
      <c r="S1316" t="s">
        <v>182</v>
      </c>
      <c r="T1316">
        <v>3200</v>
      </c>
      <c r="U1316">
        <v>4.0999999999999996</v>
      </c>
      <c r="V1316" t="s">
        <v>58</v>
      </c>
    </row>
    <row r="1317" spans="1:22" x14ac:dyDescent="0.3">
      <c r="A1317" t="s">
        <v>5140</v>
      </c>
      <c r="B1317" t="s">
        <v>1125</v>
      </c>
      <c r="C1317" t="s">
        <v>1126</v>
      </c>
      <c r="D1317" s="2">
        <v>46307</v>
      </c>
      <c r="E1317" t="s">
        <v>188</v>
      </c>
      <c r="F1317" t="s">
        <v>188</v>
      </c>
      <c r="G1317" t="s">
        <v>580</v>
      </c>
      <c r="H1317" t="s">
        <v>5470</v>
      </c>
      <c r="I1317" t="s">
        <v>69</v>
      </c>
      <c r="J1317" t="s">
        <v>30</v>
      </c>
      <c r="K1317">
        <v>3</v>
      </c>
      <c r="L1317">
        <v>60</v>
      </c>
      <c r="M1317">
        <v>19700</v>
      </c>
      <c r="N1317">
        <v>0</v>
      </c>
      <c r="O1317">
        <v>19700</v>
      </c>
      <c r="P1317">
        <v>14500</v>
      </c>
      <c r="Q1317">
        <v>5200</v>
      </c>
      <c r="R1317">
        <v>26.4</v>
      </c>
      <c r="S1317" t="s">
        <v>58</v>
      </c>
      <c r="T1317">
        <v>1500</v>
      </c>
      <c r="U1317">
        <v>5</v>
      </c>
      <c r="V1317" t="s">
        <v>114</v>
      </c>
    </row>
    <row r="1318" spans="1:22" x14ac:dyDescent="0.3">
      <c r="A1318" t="s">
        <v>2417</v>
      </c>
      <c r="B1318" t="s">
        <v>1787</v>
      </c>
      <c r="C1318" t="s">
        <v>1788</v>
      </c>
      <c r="D1318" s="2">
        <v>46307</v>
      </c>
      <c r="E1318" t="s">
        <v>228</v>
      </c>
      <c r="F1318" t="s">
        <v>228</v>
      </c>
      <c r="G1318" t="s">
        <v>103</v>
      </c>
      <c r="H1318" t="s">
        <v>68</v>
      </c>
      <c r="I1318" t="s">
        <v>29</v>
      </c>
      <c r="J1318" t="s">
        <v>30</v>
      </c>
      <c r="K1318">
        <v>2</v>
      </c>
      <c r="L1318">
        <v>63</v>
      </c>
      <c r="M1318">
        <v>91100</v>
      </c>
      <c r="N1318">
        <v>0</v>
      </c>
      <c r="O1318">
        <v>91100</v>
      </c>
      <c r="P1318">
        <v>68100</v>
      </c>
      <c r="Q1318">
        <v>23000</v>
      </c>
      <c r="R1318">
        <v>25.25</v>
      </c>
      <c r="S1318" t="s">
        <v>182</v>
      </c>
      <c r="T1318">
        <v>7200</v>
      </c>
      <c r="U1318">
        <v>4.7</v>
      </c>
      <c r="V1318" t="s">
        <v>114</v>
      </c>
    </row>
    <row r="1319" spans="1:22" x14ac:dyDescent="0.3">
      <c r="A1319" t="s">
        <v>5145</v>
      </c>
      <c r="B1319" t="s">
        <v>290</v>
      </c>
      <c r="C1319" t="s">
        <v>291</v>
      </c>
      <c r="D1319" s="2">
        <v>46308</v>
      </c>
      <c r="E1319" t="s">
        <v>134</v>
      </c>
      <c r="F1319" t="s">
        <v>134</v>
      </c>
      <c r="G1319" t="s">
        <v>48</v>
      </c>
      <c r="H1319" t="s">
        <v>268</v>
      </c>
      <c r="I1319" t="s">
        <v>69</v>
      </c>
      <c r="J1319" t="s">
        <v>257</v>
      </c>
      <c r="K1319">
        <v>9</v>
      </c>
      <c r="L1319">
        <v>52</v>
      </c>
      <c r="M1319">
        <v>59200</v>
      </c>
      <c r="N1319">
        <v>3000</v>
      </c>
      <c r="O1319">
        <v>56200</v>
      </c>
      <c r="P1319">
        <v>42500</v>
      </c>
      <c r="Q1319">
        <v>13700</v>
      </c>
      <c r="R1319">
        <v>24.38</v>
      </c>
      <c r="S1319" t="s">
        <v>58</v>
      </c>
      <c r="T1319">
        <v>8900</v>
      </c>
      <c r="U1319">
        <v>5</v>
      </c>
      <c r="V1319" t="s">
        <v>114</v>
      </c>
    </row>
    <row r="1320" spans="1:22" x14ac:dyDescent="0.3">
      <c r="A1320" t="s">
        <v>4975</v>
      </c>
      <c r="B1320" t="s">
        <v>1263</v>
      </c>
      <c r="C1320" t="s">
        <v>1264</v>
      </c>
      <c r="D1320" s="2">
        <v>46308</v>
      </c>
      <c r="E1320" t="s">
        <v>161</v>
      </c>
      <c r="F1320" t="s">
        <v>161</v>
      </c>
      <c r="G1320" t="s">
        <v>118</v>
      </c>
      <c r="H1320" t="s">
        <v>5470</v>
      </c>
      <c r="I1320" t="s">
        <v>29</v>
      </c>
      <c r="J1320" t="s">
        <v>30</v>
      </c>
      <c r="K1320">
        <v>2</v>
      </c>
      <c r="L1320">
        <v>23</v>
      </c>
      <c r="M1320">
        <v>94400</v>
      </c>
      <c r="N1320">
        <v>4700</v>
      </c>
      <c r="O1320">
        <v>89700</v>
      </c>
      <c r="P1320">
        <v>43700</v>
      </c>
      <c r="Q1320">
        <v>46000</v>
      </c>
      <c r="R1320">
        <v>51.28</v>
      </c>
      <c r="S1320" t="s">
        <v>126</v>
      </c>
      <c r="T1320">
        <v>7500</v>
      </c>
      <c r="U1320">
        <v>4.8</v>
      </c>
      <c r="V1320" t="s">
        <v>79</v>
      </c>
    </row>
    <row r="1321" spans="1:22" x14ac:dyDescent="0.3">
      <c r="A1321" t="s">
        <v>2875</v>
      </c>
      <c r="B1321" t="s">
        <v>2846</v>
      </c>
      <c r="C1321" t="s">
        <v>2847</v>
      </c>
      <c r="D1321" s="2">
        <v>46309</v>
      </c>
      <c r="E1321" t="s">
        <v>282</v>
      </c>
      <c r="F1321" t="s">
        <v>282</v>
      </c>
      <c r="G1321" t="s">
        <v>67</v>
      </c>
      <c r="H1321" t="s">
        <v>229</v>
      </c>
      <c r="I1321" t="s">
        <v>69</v>
      </c>
      <c r="J1321" t="s">
        <v>30</v>
      </c>
      <c r="K1321">
        <v>8</v>
      </c>
      <c r="L1321">
        <v>33</v>
      </c>
      <c r="M1321">
        <v>74400</v>
      </c>
      <c r="N1321">
        <v>7400</v>
      </c>
      <c r="O1321">
        <v>67000</v>
      </c>
      <c r="P1321">
        <v>47400</v>
      </c>
      <c r="Q1321">
        <v>19600</v>
      </c>
      <c r="R1321">
        <v>29.25</v>
      </c>
      <c r="S1321" t="s">
        <v>58</v>
      </c>
      <c r="T1321">
        <v>10600</v>
      </c>
      <c r="U1321">
        <v>4.3</v>
      </c>
      <c r="V1321" t="s">
        <v>58</v>
      </c>
    </row>
    <row r="1322" spans="1:22" x14ac:dyDescent="0.3">
      <c r="A1322" t="s">
        <v>3299</v>
      </c>
      <c r="B1322" t="s">
        <v>3300</v>
      </c>
      <c r="C1322" t="s">
        <v>3301</v>
      </c>
      <c r="D1322" s="2">
        <v>46310</v>
      </c>
      <c r="E1322" t="s">
        <v>282</v>
      </c>
      <c r="F1322" t="s">
        <v>282</v>
      </c>
      <c r="G1322" t="s">
        <v>118</v>
      </c>
      <c r="H1322" t="s">
        <v>88</v>
      </c>
      <c r="I1322" t="s">
        <v>69</v>
      </c>
      <c r="J1322" t="s">
        <v>30</v>
      </c>
      <c r="K1322">
        <v>4</v>
      </c>
      <c r="L1322">
        <v>7</v>
      </c>
      <c r="M1322">
        <v>48400</v>
      </c>
      <c r="N1322">
        <v>2400</v>
      </c>
      <c r="O1322">
        <v>46000</v>
      </c>
      <c r="P1322">
        <v>29400</v>
      </c>
      <c r="Q1322">
        <v>16600</v>
      </c>
      <c r="R1322">
        <v>36.090000000000003</v>
      </c>
      <c r="S1322" t="s">
        <v>97</v>
      </c>
      <c r="T1322">
        <v>8200</v>
      </c>
      <c r="U1322">
        <v>3.5</v>
      </c>
      <c r="V1322" t="s">
        <v>82</v>
      </c>
    </row>
    <row r="1323" spans="1:22" x14ac:dyDescent="0.3">
      <c r="A1323" t="s">
        <v>3322</v>
      </c>
      <c r="B1323" t="s">
        <v>240</v>
      </c>
      <c r="C1323" t="s">
        <v>241</v>
      </c>
      <c r="D1323" s="2">
        <v>46311</v>
      </c>
      <c r="E1323" t="s">
        <v>134</v>
      </c>
      <c r="F1323" t="s">
        <v>134</v>
      </c>
      <c r="G1323" t="s">
        <v>27</v>
      </c>
      <c r="H1323" t="s">
        <v>68</v>
      </c>
      <c r="I1323" t="s">
        <v>69</v>
      </c>
      <c r="J1323" t="s">
        <v>70</v>
      </c>
      <c r="K1323">
        <v>3</v>
      </c>
      <c r="L1323">
        <v>72</v>
      </c>
      <c r="M1323">
        <v>21900</v>
      </c>
      <c r="N1323">
        <v>0</v>
      </c>
      <c r="O1323">
        <v>21900</v>
      </c>
      <c r="P1323">
        <v>11800</v>
      </c>
      <c r="Q1323">
        <v>10100</v>
      </c>
      <c r="R1323">
        <v>46.12</v>
      </c>
      <c r="S1323" t="s">
        <v>58</v>
      </c>
      <c r="T1323">
        <v>3800</v>
      </c>
      <c r="U1323">
        <v>4.2</v>
      </c>
      <c r="V1323" t="s">
        <v>58</v>
      </c>
    </row>
    <row r="1324" spans="1:22" x14ac:dyDescent="0.3">
      <c r="A1324" t="s">
        <v>4312</v>
      </c>
      <c r="B1324" t="s">
        <v>2808</v>
      </c>
      <c r="C1324" t="s">
        <v>2809</v>
      </c>
      <c r="D1324" s="2">
        <v>46312</v>
      </c>
      <c r="E1324" t="s">
        <v>66</v>
      </c>
      <c r="F1324" t="s">
        <v>66</v>
      </c>
      <c r="G1324" t="s">
        <v>48</v>
      </c>
      <c r="H1324" t="s">
        <v>214</v>
      </c>
      <c r="I1324" t="s">
        <v>29</v>
      </c>
      <c r="J1324" t="s">
        <v>70</v>
      </c>
      <c r="K1324">
        <v>7</v>
      </c>
      <c r="L1324">
        <v>37</v>
      </c>
      <c r="M1324">
        <v>16500</v>
      </c>
      <c r="N1324">
        <v>1600</v>
      </c>
      <c r="O1324">
        <v>14900</v>
      </c>
      <c r="P1324">
        <v>9100</v>
      </c>
      <c r="Q1324">
        <v>5800</v>
      </c>
      <c r="R1324">
        <v>38.93</v>
      </c>
      <c r="S1324" t="s">
        <v>79</v>
      </c>
      <c r="T1324">
        <v>2400</v>
      </c>
      <c r="U1324">
        <v>4.5999999999999996</v>
      </c>
      <c r="V1324" t="s">
        <v>79</v>
      </c>
    </row>
    <row r="1325" spans="1:22" x14ac:dyDescent="0.3">
      <c r="A1325" t="s">
        <v>1451</v>
      </c>
      <c r="B1325" t="s">
        <v>1452</v>
      </c>
      <c r="C1325" t="s">
        <v>1453</v>
      </c>
      <c r="D1325" s="2">
        <v>46312</v>
      </c>
      <c r="E1325" t="s">
        <v>161</v>
      </c>
      <c r="F1325" t="s">
        <v>161</v>
      </c>
      <c r="G1325" t="s">
        <v>48</v>
      </c>
      <c r="H1325" t="s">
        <v>229</v>
      </c>
      <c r="I1325" t="s">
        <v>29</v>
      </c>
      <c r="J1325" t="s">
        <v>30</v>
      </c>
      <c r="K1325">
        <v>2</v>
      </c>
      <c r="L1325">
        <v>34</v>
      </c>
      <c r="M1325">
        <v>47500</v>
      </c>
      <c r="N1325">
        <v>4800</v>
      </c>
      <c r="O1325">
        <v>42700</v>
      </c>
      <c r="P1325">
        <v>25300</v>
      </c>
      <c r="Q1325">
        <v>17400</v>
      </c>
      <c r="R1325">
        <v>40.75</v>
      </c>
      <c r="S1325" t="s">
        <v>182</v>
      </c>
      <c r="T1325">
        <v>3900</v>
      </c>
      <c r="U1325">
        <v>4.2</v>
      </c>
      <c r="V1325" t="s">
        <v>114</v>
      </c>
    </row>
    <row r="1326" spans="1:22" x14ac:dyDescent="0.3">
      <c r="A1326" t="s">
        <v>3689</v>
      </c>
      <c r="B1326" t="s">
        <v>2104</v>
      </c>
      <c r="C1326" t="s">
        <v>2105</v>
      </c>
      <c r="D1326" s="2">
        <v>46312</v>
      </c>
      <c r="E1326" t="s">
        <v>161</v>
      </c>
      <c r="F1326" t="s">
        <v>161</v>
      </c>
      <c r="G1326" t="s">
        <v>27</v>
      </c>
      <c r="H1326" t="s">
        <v>49</v>
      </c>
      <c r="I1326" t="s">
        <v>29</v>
      </c>
      <c r="J1326" t="s">
        <v>162</v>
      </c>
      <c r="K1326">
        <v>7</v>
      </c>
      <c r="L1326">
        <v>47</v>
      </c>
      <c r="M1326">
        <v>35900</v>
      </c>
      <c r="N1326">
        <v>0</v>
      </c>
      <c r="O1326">
        <v>35900</v>
      </c>
      <c r="P1326">
        <v>16100</v>
      </c>
      <c r="Q1326">
        <v>19800</v>
      </c>
      <c r="R1326">
        <v>55.15</v>
      </c>
      <c r="S1326" t="s">
        <v>58</v>
      </c>
      <c r="T1326">
        <v>3000</v>
      </c>
      <c r="U1326">
        <v>3.2</v>
      </c>
      <c r="V1326" t="s">
        <v>79</v>
      </c>
    </row>
    <row r="1327" spans="1:22" x14ac:dyDescent="0.3">
      <c r="A1327" t="s">
        <v>1239</v>
      </c>
      <c r="B1327" t="s">
        <v>1240</v>
      </c>
      <c r="C1327" t="s">
        <v>1241</v>
      </c>
      <c r="D1327" s="2">
        <v>46313</v>
      </c>
      <c r="E1327" t="s">
        <v>161</v>
      </c>
      <c r="F1327" t="s">
        <v>161</v>
      </c>
      <c r="G1327" t="s">
        <v>147</v>
      </c>
      <c r="H1327" t="s">
        <v>229</v>
      </c>
      <c r="I1327" t="s">
        <v>69</v>
      </c>
      <c r="J1327" t="s">
        <v>30</v>
      </c>
      <c r="K1327">
        <v>8</v>
      </c>
      <c r="L1327">
        <v>39</v>
      </c>
      <c r="M1327">
        <v>41300</v>
      </c>
      <c r="N1327">
        <v>0</v>
      </c>
      <c r="O1327">
        <v>41300</v>
      </c>
      <c r="P1327">
        <v>20300</v>
      </c>
      <c r="Q1327">
        <v>21000</v>
      </c>
      <c r="R1327">
        <v>50.85</v>
      </c>
      <c r="S1327" t="s">
        <v>79</v>
      </c>
      <c r="T1327">
        <v>4900</v>
      </c>
      <c r="U1327">
        <v>4.7</v>
      </c>
      <c r="V1327" t="s">
        <v>58</v>
      </c>
    </row>
    <row r="1328" spans="1:22" x14ac:dyDescent="0.3">
      <c r="A1328" t="s">
        <v>209</v>
      </c>
      <c r="B1328" t="s">
        <v>210</v>
      </c>
      <c r="C1328" t="s">
        <v>211</v>
      </c>
      <c r="D1328" s="2">
        <v>46314</v>
      </c>
      <c r="E1328" t="s">
        <v>66</v>
      </c>
      <c r="F1328" t="s">
        <v>66</v>
      </c>
      <c r="G1328" t="s">
        <v>213</v>
      </c>
      <c r="H1328" t="s">
        <v>214</v>
      </c>
      <c r="I1328" t="s">
        <v>69</v>
      </c>
      <c r="J1328" t="s">
        <v>30</v>
      </c>
      <c r="K1328">
        <v>7</v>
      </c>
      <c r="L1328">
        <v>10</v>
      </c>
      <c r="M1328">
        <v>81200</v>
      </c>
      <c r="N1328">
        <v>16200</v>
      </c>
      <c r="O1328">
        <v>65000</v>
      </c>
      <c r="P1328">
        <v>36200</v>
      </c>
      <c r="Q1328">
        <v>28800</v>
      </c>
      <c r="R1328">
        <v>44.31</v>
      </c>
      <c r="S1328" t="s">
        <v>39</v>
      </c>
      <c r="T1328">
        <v>5600</v>
      </c>
      <c r="V1328" t="s">
        <v>82</v>
      </c>
    </row>
    <row r="1329" spans="1:22" x14ac:dyDescent="0.3">
      <c r="A1329" t="s">
        <v>1358</v>
      </c>
      <c r="B1329" t="s">
        <v>1359</v>
      </c>
      <c r="C1329" t="s">
        <v>1360</v>
      </c>
      <c r="D1329" s="2">
        <v>46314</v>
      </c>
      <c r="E1329" t="s">
        <v>66</v>
      </c>
      <c r="F1329" t="s">
        <v>66</v>
      </c>
      <c r="G1329" t="s">
        <v>27</v>
      </c>
      <c r="H1329" t="s">
        <v>5470</v>
      </c>
      <c r="I1329" t="s">
        <v>29</v>
      </c>
      <c r="J1329" t="s">
        <v>162</v>
      </c>
      <c r="K1329">
        <v>9</v>
      </c>
      <c r="L1329">
        <v>5</v>
      </c>
      <c r="M1329">
        <v>38000</v>
      </c>
      <c r="N1329">
        <v>0</v>
      </c>
      <c r="O1329">
        <v>38000</v>
      </c>
      <c r="P1329">
        <v>17800</v>
      </c>
      <c r="Q1329">
        <v>20200</v>
      </c>
      <c r="R1329">
        <v>53.16</v>
      </c>
      <c r="S1329" t="s">
        <v>126</v>
      </c>
      <c r="T1329">
        <v>2500</v>
      </c>
      <c r="U1329">
        <v>4</v>
      </c>
      <c r="V1329" t="s">
        <v>42</v>
      </c>
    </row>
    <row r="1330" spans="1:22" x14ac:dyDescent="0.3">
      <c r="A1330" t="s">
        <v>3501</v>
      </c>
      <c r="B1330" t="s">
        <v>3502</v>
      </c>
      <c r="C1330" t="s">
        <v>3503</v>
      </c>
      <c r="D1330" s="2">
        <v>46314</v>
      </c>
      <c r="E1330" t="s">
        <v>244</v>
      </c>
      <c r="F1330" t="s">
        <v>244</v>
      </c>
      <c r="G1330" t="s">
        <v>67</v>
      </c>
      <c r="H1330" t="s">
        <v>49</v>
      </c>
      <c r="I1330" t="s">
        <v>69</v>
      </c>
      <c r="J1330" t="s">
        <v>30</v>
      </c>
      <c r="K1330">
        <v>5</v>
      </c>
      <c r="L1330">
        <v>71</v>
      </c>
      <c r="M1330">
        <v>38800</v>
      </c>
      <c r="N1330">
        <v>1900</v>
      </c>
      <c r="O1330">
        <v>36900</v>
      </c>
      <c r="P1330">
        <v>21800</v>
      </c>
      <c r="Q1330">
        <v>15100</v>
      </c>
      <c r="R1330">
        <v>40.92</v>
      </c>
      <c r="S1330" t="s">
        <v>39</v>
      </c>
      <c r="T1330">
        <v>4900</v>
      </c>
      <c r="U1330">
        <v>3.4</v>
      </c>
      <c r="V1330" t="s">
        <v>42</v>
      </c>
    </row>
    <row r="1331" spans="1:22" x14ac:dyDescent="0.3">
      <c r="A1331" t="s">
        <v>4983</v>
      </c>
      <c r="B1331" t="s">
        <v>1269</v>
      </c>
      <c r="C1331" t="s">
        <v>1270</v>
      </c>
      <c r="D1331" s="2">
        <v>46315</v>
      </c>
      <c r="E1331" t="s">
        <v>66</v>
      </c>
      <c r="F1331" t="s">
        <v>66</v>
      </c>
      <c r="G1331" t="s">
        <v>213</v>
      </c>
      <c r="H1331" t="s">
        <v>268</v>
      </c>
      <c r="I1331" t="s">
        <v>69</v>
      </c>
      <c r="J1331" t="s">
        <v>70</v>
      </c>
      <c r="K1331">
        <v>5</v>
      </c>
      <c r="L1331">
        <v>43</v>
      </c>
      <c r="M1331">
        <v>41000</v>
      </c>
      <c r="N1331">
        <v>8200</v>
      </c>
      <c r="O1331">
        <v>32800</v>
      </c>
      <c r="P1331">
        <v>21400</v>
      </c>
      <c r="Q1331">
        <v>11400</v>
      </c>
      <c r="R1331">
        <v>34.76</v>
      </c>
      <c r="S1331" t="s">
        <v>39</v>
      </c>
      <c r="T1331">
        <v>5000</v>
      </c>
      <c r="U1331">
        <v>3.5</v>
      </c>
      <c r="V1331" t="s">
        <v>79</v>
      </c>
    </row>
    <row r="1332" spans="1:22" x14ac:dyDescent="0.3">
      <c r="A1332" t="s">
        <v>1416</v>
      </c>
      <c r="B1332" t="s">
        <v>1417</v>
      </c>
      <c r="C1332" t="s">
        <v>1418</v>
      </c>
      <c r="D1332" s="2">
        <v>46316</v>
      </c>
      <c r="E1332" t="s">
        <v>188</v>
      </c>
      <c r="F1332" t="s">
        <v>188</v>
      </c>
      <c r="G1332" t="s">
        <v>580</v>
      </c>
      <c r="H1332" t="s">
        <v>68</v>
      </c>
      <c r="I1332" t="s">
        <v>69</v>
      </c>
      <c r="J1332" t="s">
        <v>70</v>
      </c>
      <c r="K1332">
        <v>4</v>
      </c>
      <c r="L1332">
        <v>26</v>
      </c>
      <c r="M1332">
        <v>68900</v>
      </c>
      <c r="N1332">
        <v>13800</v>
      </c>
      <c r="O1332">
        <v>55100</v>
      </c>
      <c r="P1332">
        <v>45200</v>
      </c>
      <c r="Q1332">
        <v>9900</v>
      </c>
      <c r="R1332">
        <v>17.97</v>
      </c>
      <c r="S1332" t="s">
        <v>79</v>
      </c>
      <c r="T1332">
        <v>6800</v>
      </c>
      <c r="U1332">
        <v>4</v>
      </c>
      <c r="V1332" t="s">
        <v>42</v>
      </c>
    </row>
    <row r="1333" spans="1:22" x14ac:dyDescent="0.3">
      <c r="A1333" t="s">
        <v>2518</v>
      </c>
      <c r="B1333" t="s">
        <v>1993</v>
      </c>
      <c r="C1333" t="s">
        <v>1994</v>
      </c>
      <c r="D1333" s="2">
        <v>46316</v>
      </c>
      <c r="E1333" t="s">
        <v>134</v>
      </c>
      <c r="F1333" t="s">
        <v>134</v>
      </c>
      <c r="G1333" t="s">
        <v>27</v>
      </c>
      <c r="H1333" t="s">
        <v>214</v>
      </c>
      <c r="I1333" t="s">
        <v>69</v>
      </c>
      <c r="J1333" t="s">
        <v>30</v>
      </c>
      <c r="K1333">
        <v>8</v>
      </c>
      <c r="L1333">
        <v>31</v>
      </c>
      <c r="M1333">
        <v>130700</v>
      </c>
      <c r="N1333">
        <v>0</v>
      </c>
      <c r="O1333">
        <v>130700</v>
      </c>
      <c r="P1333">
        <v>85200</v>
      </c>
      <c r="Q1333">
        <v>45500</v>
      </c>
      <c r="R1333">
        <v>34.81</v>
      </c>
      <c r="S1333" t="s">
        <v>58</v>
      </c>
      <c r="T1333">
        <v>8900</v>
      </c>
      <c r="U1333">
        <v>3.7</v>
      </c>
      <c r="V1333" t="s">
        <v>58</v>
      </c>
    </row>
    <row r="1334" spans="1:22" x14ac:dyDescent="0.3">
      <c r="A1334" t="s">
        <v>3694</v>
      </c>
      <c r="B1334" t="s">
        <v>3695</v>
      </c>
      <c r="C1334" t="s">
        <v>3696</v>
      </c>
      <c r="D1334" s="2">
        <v>46317</v>
      </c>
      <c r="E1334" t="s">
        <v>188</v>
      </c>
      <c r="F1334" t="s">
        <v>188</v>
      </c>
      <c r="G1334" t="s">
        <v>27</v>
      </c>
      <c r="H1334" t="s">
        <v>214</v>
      </c>
      <c r="I1334" t="s">
        <v>69</v>
      </c>
      <c r="J1334" t="s">
        <v>70</v>
      </c>
      <c r="K1334">
        <v>8</v>
      </c>
      <c r="L1334">
        <v>41</v>
      </c>
      <c r="M1334">
        <v>19000</v>
      </c>
      <c r="N1334">
        <v>0</v>
      </c>
      <c r="O1334">
        <v>19000</v>
      </c>
      <c r="P1334">
        <v>14400</v>
      </c>
      <c r="Q1334">
        <v>4600</v>
      </c>
      <c r="R1334">
        <v>24.21</v>
      </c>
      <c r="S1334" t="s">
        <v>58</v>
      </c>
      <c r="T1334">
        <v>1400</v>
      </c>
      <c r="U1334">
        <v>4.3</v>
      </c>
      <c r="V1334" t="s">
        <v>79</v>
      </c>
    </row>
    <row r="1335" spans="1:22" x14ac:dyDescent="0.3">
      <c r="A1335" t="s">
        <v>2477</v>
      </c>
      <c r="B1335" t="s">
        <v>2478</v>
      </c>
      <c r="C1335" t="s">
        <v>2479</v>
      </c>
      <c r="D1335" s="2">
        <v>46317</v>
      </c>
      <c r="E1335" t="s">
        <v>26</v>
      </c>
      <c r="F1335" t="s">
        <v>26</v>
      </c>
      <c r="G1335" t="s">
        <v>67</v>
      </c>
      <c r="H1335" t="s">
        <v>214</v>
      </c>
      <c r="I1335" t="s">
        <v>29</v>
      </c>
      <c r="J1335" t="s">
        <v>30</v>
      </c>
      <c r="K1335">
        <v>5</v>
      </c>
      <c r="L1335">
        <v>34</v>
      </c>
      <c r="M1335">
        <v>40400</v>
      </c>
      <c r="N1335">
        <v>0</v>
      </c>
      <c r="O1335">
        <v>40400</v>
      </c>
      <c r="P1335">
        <v>26100</v>
      </c>
      <c r="Q1335">
        <v>14300</v>
      </c>
      <c r="R1335">
        <v>35.4</v>
      </c>
      <c r="S1335" t="s">
        <v>39</v>
      </c>
      <c r="T1335">
        <v>3400</v>
      </c>
      <c r="U1335">
        <v>4.2</v>
      </c>
      <c r="V1335" t="s">
        <v>42</v>
      </c>
    </row>
    <row r="1336" spans="1:22" x14ac:dyDescent="0.3">
      <c r="A1336" t="s">
        <v>3684</v>
      </c>
      <c r="B1336" t="s">
        <v>3685</v>
      </c>
      <c r="C1336" t="s">
        <v>3686</v>
      </c>
      <c r="D1336" s="2">
        <v>46318</v>
      </c>
      <c r="E1336" t="s">
        <v>66</v>
      </c>
      <c r="F1336" t="s">
        <v>66</v>
      </c>
      <c r="G1336" t="s">
        <v>147</v>
      </c>
      <c r="H1336" t="s">
        <v>49</v>
      </c>
      <c r="I1336" t="s">
        <v>29</v>
      </c>
      <c r="J1336" t="s">
        <v>162</v>
      </c>
      <c r="K1336">
        <v>2</v>
      </c>
      <c r="L1336">
        <v>35</v>
      </c>
      <c r="M1336">
        <v>20200</v>
      </c>
      <c r="N1336">
        <v>0</v>
      </c>
      <c r="O1336">
        <v>20200</v>
      </c>
      <c r="P1336">
        <v>15000</v>
      </c>
      <c r="Q1336">
        <v>5200</v>
      </c>
      <c r="R1336">
        <v>25.74</v>
      </c>
      <c r="S1336" t="s">
        <v>126</v>
      </c>
      <c r="T1336">
        <v>1900</v>
      </c>
      <c r="U1336">
        <v>2.4</v>
      </c>
      <c r="V1336" t="s">
        <v>58</v>
      </c>
    </row>
    <row r="1337" spans="1:22" x14ac:dyDescent="0.3">
      <c r="A1337" t="s">
        <v>4454</v>
      </c>
      <c r="B1337" t="s">
        <v>2547</v>
      </c>
      <c r="C1337" t="s">
        <v>2548</v>
      </c>
      <c r="D1337" s="2">
        <v>46318</v>
      </c>
      <c r="E1337" t="s">
        <v>282</v>
      </c>
      <c r="F1337" t="s">
        <v>282</v>
      </c>
      <c r="G1337" t="s">
        <v>147</v>
      </c>
      <c r="H1337" t="s">
        <v>88</v>
      </c>
      <c r="I1337" t="s">
        <v>69</v>
      </c>
      <c r="J1337" t="s">
        <v>30</v>
      </c>
      <c r="K1337">
        <v>2</v>
      </c>
      <c r="L1337">
        <v>24</v>
      </c>
      <c r="M1337">
        <v>37000</v>
      </c>
      <c r="N1337">
        <v>7400</v>
      </c>
      <c r="O1337">
        <v>29600</v>
      </c>
      <c r="P1337">
        <v>28400</v>
      </c>
      <c r="Q1337">
        <v>1200</v>
      </c>
      <c r="R1337">
        <v>4.05</v>
      </c>
      <c r="S1337" t="s">
        <v>182</v>
      </c>
      <c r="T1337">
        <v>1400</v>
      </c>
      <c r="U1337">
        <v>4.9000000000000004</v>
      </c>
      <c r="V1337" t="s">
        <v>114</v>
      </c>
    </row>
    <row r="1338" spans="1:22" x14ac:dyDescent="0.3">
      <c r="A1338" t="s">
        <v>2931</v>
      </c>
      <c r="B1338" t="s">
        <v>1617</v>
      </c>
      <c r="C1338" t="s">
        <v>1618</v>
      </c>
      <c r="D1338" s="2">
        <v>46318</v>
      </c>
      <c r="E1338" t="s">
        <v>188</v>
      </c>
      <c r="F1338" t="s">
        <v>188</v>
      </c>
      <c r="G1338" t="s">
        <v>103</v>
      </c>
      <c r="H1338" t="s">
        <v>88</v>
      </c>
      <c r="I1338" t="s">
        <v>69</v>
      </c>
      <c r="J1338" t="s">
        <v>70</v>
      </c>
      <c r="K1338">
        <v>7</v>
      </c>
      <c r="L1338">
        <v>46</v>
      </c>
      <c r="M1338">
        <v>33000</v>
      </c>
      <c r="N1338">
        <v>6600</v>
      </c>
      <c r="O1338">
        <v>26400</v>
      </c>
      <c r="P1338">
        <v>22700</v>
      </c>
      <c r="Q1338">
        <v>3700</v>
      </c>
      <c r="R1338">
        <v>14.02</v>
      </c>
      <c r="S1338" t="s">
        <v>97</v>
      </c>
      <c r="T1338">
        <v>2600</v>
      </c>
      <c r="U1338">
        <v>4.0999999999999996</v>
      </c>
      <c r="V1338" t="s">
        <v>79</v>
      </c>
    </row>
    <row r="1339" spans="1:22" x14ac:dyDescent="0.3">
      <c r="A1339" t="s">
        <v>3899</v>
      </c>
      <c r="B1339" t="s">
        <v>454</v>
      </c>
      <c r="C1339" t="s">
        <v>455</v>
      </c>
      <c r="D1339" s="2">
        <v>46318</v>
      </c>
      <c r="E1339" t="s">
        <v>66</v>
      </c>
      <c r="F1339" t="s">
        <v>66</v>
      </c>
      <c r="G1339" t="s">
        <v>103</v>
      </c>
      <c r="H1339" t="s">
        <v>88</v>
      </c>
      <c r="I1339" t="s">
        <v>69</v>
      </c>
      <c r="J1339" t="s">
        <v>70</v>
      </c>
      <c r="K1339">
        <v>3</v>
      </c>
      <c r="L1339">
        <v>20</v>
      </c>
      <c r="M1339">
        <v>69000</v>
      </c>
      <c r="N1339">
        <v>6900</v>
      </c>
      <c r="O1339">
        <v>62100</v>
      </c>
      <c r="P1339">
        <v>48000</v>
      </c>
      <c r="Q1339">
        <v>14100</v>
      </c>
      <c r="R1339">
        <v>22.71</v>
      </c>
      <c r="S1339" t="s">
        <v>182</v>
      </c>
      <c r="T1339">
        <v>5300</v>
      </c>
      <c r="U1339">
        <v>5</v>
      </c>
      <c r="V1339" t="s">
        <v>58</v>
      </c>
    </row>
    <row r="1340" spans="1:22" x14ac:dyDescent="0.3">
      <c r="A1340" t="s">
        <v>3533</v>
      </c>
      <c r="B1340" t="s">
        <v>845</v>
      </c>
      <c r="C1340" t="s">
        <v>846</v>
      </c>
      <c r="D1340" s="2">
        <v>46318</v>
      </c>
      <c r="E1340" t="s">
        <v>282</v>
      </c>
      <c r="F1340" t="s">
        <v>282</v>
      </c>
      <c r="G1340" t="s">
        <v>580</v>
      </c>
      <c r="H1340" t="s">
        <v>5470</v>
      </c>
      <c r="I1340" t="s">
        <v>69</v>
      </c>
      <c r="J1340" t="s">
        <v>30</v>
      </c>
      <c r="K1340">
        <v>5</v>
      </c>
      <c r="L1340">
        <v>15</v>
      </c>
      <c r="M1340">
        <v>51900</v>
      </c>
      <c r="N1340">
        <v>5200</v>
      </c>
      <c r="O1340">
        <v>46700</v>
      </c>
      <c r="P1340">
        <v>27400</v>
      </c>
      <c r="Q1340">
        <v>19300</v>
      </c>
      <c r="R1340">
        <v>41.33</v>
      </c>
      <c r="S1340" t="s">
        <v>182</v>
      </c>
      <c r="T1340">
        <v>7000</v>
      </c>
      <c r="U1340">
        <v>3.4</v>
      </c>
      <c r="V1340" t="s">
        <v>82</v>
      </c>
    </row>
    <row r="1341" spans="1:22" x14ac:dyDescent="0.3">
      <c r="A1341" t="s">
        <v>2075</v>
      </c>
      <c r="B1341" t="s">
        <v>1733</v>
      </c>
      <c r="C1341" t="s">
        <v>1734</v>
      </c>
      <c r="D1341" s="2">
        <v>46318</v>
      </c>
      <c r="E1341" t="s">
        <v>134</v>
      </c>
      <c r="F1341" t="s">
        <v>134</v>
      </c>
      <c r="G1341" t="s">
        <v>147</v>
      </c>
      <c r="H1341" t="s">
        <v>268</v>
      </c>
      <c r="I1341" t="s">
        <v>29</v>
      </c>
      <c r="J1341" t="s">
        <v>30</v>
      </c>
      <c r="K1341">
        <v>3</v>
      </c>
      <c r="L1341">
        <v>27</v>
      </c>
      <c r="M1341">
        <v>21700</v>
      </c>
      <c r="N1341">
        <v>2200</v>
      </c>
      <c r="O1341">
        <v>19500</v>
      </c>
      <c r="P1341">
        <v>13100</v>
      </c>
      <c r="Q1341">
        <v>6400</v>
      </c>
      <c r="R1341">
        <v>32.82</v>
      </c>
      <c r="S1341" t="s">
        <v>79</v>
      </c>
      <c r="T1341">
        <v>3000</v>
      </c>
      <c r="U1341">
        <v>3.3</v>
      </c>
      <c r="V1341" t="s">
        <v>58</v>
      </c>
    </row>
    <row r="1342" spans="1:22" x14ac:dyDescent="0.3">
      <c r="A1342" t="s">
        <v>3472</v>
      </c>
      <c r="B1342" t="s">
        <v>2915</v>
      </c>
      <c r="C1342" t="s">
        <v>2916</v>
      </c>
      <c r="D1342" s="2">
        <v>46318</v>
      </c>
      <c r="E1342" t="s">
        <v>134</v>
      </c>
      <c r="F1342" t="s">
        <v>134</v>
      </c>
      <c r="G1342" t="s">
        <v>118</v>
      </c>
      <c r="H1342" t="s">
        <v>214</v>
      </c>
      <c r="I1342" t="s">
        <v>69</v>
      </c>
      <c r="J1342" t="s">
        <v>30</v>
      </c>
      <c r="K1342">
        <v>7</v>
      </c>
      <c r="L1342">
        <v>55</v>
      </c>
      <c r="M1342">
        <v>22900</v>
      </c>
      <c r="N1342">
        <v>2300</v>
      </c>
      <c r="O1342">
        <v>20600</v>
      </c>
      <c r="P1342">
        <v>11200</v>
      </c>
      <c r="Q1342">
        <v>9400</v>
      </c>
      <c r="R1342">
        <v>45.63</v>
      </c>
      <c r="S1342" t="s">
        <v>182</v>
      </c>
      <c r="T1342">
        <v>2700</v>
      </c>
      <c r="U1342">
        <v>3.9</v>
      </c>
      <c r="V1342" t="s">
        <v>58</v>
      </c>
    </row>
    <row r="1343" spans="1:22" x14ac:dyDescent="0.3">
      <c r="A1343" t="s">
        <v>1765</v>
      </c>
      <c r="B1343" t="s">
        <v>1766</v>
      </c>
      <c r="C1343" t="s">
        <v>1767</v>
      </c>
      <c r="D1343" s="2">
        <v>46320</v>
      </c>
      <c r="E1343" t="s">
        <v>134</v>
      </c>
      <c r="F1343" t="s">
        <v>134</v>
      </c>
      <c r="G1343" t="s">
        <v>27</v>
      </c>
      <c r="H1343" t="s">
        <v>49</v>
      </c>
      <c r="I1343" t="s">
        <v>69</v>
      </c>
      <c r="J1343" t="s">
        <v>162</v>
      </c>
      <c r="K1343">
        <v>3</v>
      </c>
      <c r="L1343">
        <v>18</v>
      </c>
      <c r="M1343">
        <v>45900</v>
      </c>
      <c r="N1343">
        <v>6900</v>
      </c>
      <c r="O1343">
        <v>39000</v>
      </c>
      <c r="P1343">
        <v>35100</v>
      </c>
      <c r="Q1343">
        <v>3900</v>
      </c>
      <c r="R1343">
        <v>10</v>
      </c>
      <c r="S1343" t="s">
        <v>39</v>
      </c>
      <c r="T1343">
        <v>2600</v>
      </c>
      <c r="U1343">
        <v>4.7</v>
      </c>
      <c r="V1343" t="s">
        <v>82</v>
      </c>
    </row>
    <row r="1344" spans="1:22" x14ac:dyDescent="0.3">
      <c r="A1344" t="s">
        <v>2579</v>
      </c>
      <c r="B1344" t="s">
        <v>2580</v>
      </c>
      <c r="C1344" t="s">
        <v>2581</v>
      </c>
      <c r="D1344" s="2">
        <v>46320</v>
      </c>
      <c r="E1344" t="s">
        <v>134</v>
      </c>
      <c r="F1344" t="s">
        <v>134</v>
      </c>
      <c r="G1344" t="s">
        <v>147</v>
      </c>
      <c r="H1344" t="s">
        <v>28</v>
      </c>
      <c r="I1344" t="s">
        <v>69</v>
      </c>
      <c r="J1344" t="s">
        <v>30</v>
      </c>
      <c r="K1344">
        <v>10</v>
      </c>
      <c r="L1344">
        <v>35</v>
      </c>
      <c r="M1344">
        <v>47100</v>
      </c>
      <c r="N1344">
        <v>9400</v>
      </c>
      <c r="O1344">
        <v>37700</v>
      </c>
      <c r="P1344">
        <v>37300</v>
      </c>
      <c r="Q1344">
        <v>400</v>
      </c>
      <c r="R1344">
        <v>1.06</v>
      </c>
      <c r="S1344" t="s">
        <v>58</v>
      </c>
      <c r="T1344">
        <v>3900</v>
      </c>
      <c r="U1344">
        <v>4.4000000000000004</v>
      </c>
      <c r="V1344" t="s">
        <v>79</v>
      </c>
    </row>
    <row r="1345" spans="1:22" x14ac:dyDescent="0.3">
      <c r="A1345" t="s">
        <v>5127</v>
      </c>
      <c r="B1345" t="s">
        <v>660</v>
      </c>
      <c r="C1345" t="s">
        <v>661</v>
      </c>
      <c r="D1345" s="2">
        <v>46321</v>
      </c>
      <c r="E1345" t="s">
        <v>161</v>
      </c>
      <c r="F1345" t="s">
        <v>161</v>
      </c>
      <c r="G1345" t="s">
        <v>213</v>
      </c>
      <c r="H1345" t="s">
        <v>214</v>
      </c>
      <c r="I1345" t="s">
        <v>69</v>
      </c>
      <c r="J1345" t="s">
        <v>162</v>
      </c>
      <c r="K1345">
        <v>4</v>
      </c>
      <c r="L1345">
        <v>30</v>
      </c>
      <c r="M1345">
        <v>40300</v>
      </c>
      <c r="N1345">
        <v>2000</v>
      </c>
      <c r="O1345">
        <v>38300</v>
      </c>
      <c r="P1345">
        <v>23600</v>
      </c>
      <c r="Q1345">
        <v>14700</v>
      </c>
      <c r="R1345">
        <v>38.380000000000003</v>
      </c>
      <c r="S1345" t="s">
        <v>58</v>
      </c>
      <c r="T1345">
        <v>6400</v>
      </c>
      <c r="U1345">
        <v>4.8</v>
      </c>
      <c r="V1345" t="s">
        <v>42</v>
      </c>
    </row>
    <row r="1346" spans="1:22" x14ac:dyDescent="0.3">
      <c r="A1346" t="s">
        <v>5185</v>
      </c>
      <c r="B1346" t="s">
        <v>763</v>
      </c>
      <c r="C1346" t="s">
        <v>764</v>
      </c>
      <c r="D1346" s="2">
        <v>46321</v>
      </c>
      <c r="E1346" t="s">
        <v>26</v>
      </c>
      <c r="F1346" t="s">
        <v>26</v>
      </c>
      <c r="G1346" t="s">
        <v>147</v>
      </c>
      <c r="H1346" t="s">
        <v>28</v>
      </c>
      <c r="I1346" t="s">
        <v>29</v>
      </c>
      <c r="J1346" t="s">
        <v>30</v>
      </c>
      <c r="K1346">
        <v>7</v>
      </c>
      <c r="L1346">
        <v>47</v>
      </c>
      <c r="M1346">
        <v>32300</v>
      </c>
      <c r="N1346">
        <v>6500</v>
      </c>
      <c r="O1346">
        <v>25800</v>
      </c>
      <c r="P1346">
        <v>25500</v>
      </c>
      <c r="Q1346">
        <v>300</v>
      </c>
      <c r="R1346">
        <v>1.1599999999999999</v>
      </c>
      <c r="S1346" t="s">
        <v>182</v>
      </c>
      <c r="T1346">
        <v>2800</v>
      </c>
      <c r="U1346">
        <v>4</v>
      </c>
      <c r="V1346" t="s">
        <v>82</v>
      </c>
    </row>
    <row r="1347" spans="1:22" x14ac:dyDescent="0.3">
      <c r="A1347" t="s">
        <v>4830</v>
      </c>
      <c r="B1347" t="s">
        <v>2213</v>
      </c>
      <c r="C1347" t="s">
        <v>2214</v>
      </c>
      <c r="D1347" s="2">
        <v>46322</v>
      </c>
      <c r="E1347" t="s">
        <v>228</v>
      </c>
      <c r="F1347" t="s">
        <v>228</v>
      </c>
      <c r="G1347" t="s">
        <v>48</v>
      </c>
      <c r="H1347" t="s">
        <v>5470</v>
      </c>
      <c r="I1347" t="s">
        <v>69</v>
      </c>
      <c r="J1347" t="s">
        <v>257</v>
      </c>
      <c r="K1347">
        <v>3</v>
      </c>
      <c r="L1347">
        <v>27</v>
      </c>
      <c r="M1347">
        <v>45400</v>
      </c>
      <c r="N1347">
        <v>4500</v>
      </c>
      <c r="O1347">
        <v>40900</v>
      </c>
      <c r="P1347">
        <v>27300</v>
      </c>
      <c r="Q1347">
        <v>13600</v>
      </c>
      <c r="R1347">
        <v>33.25</v>
      </c>
      <c r="S1347" t="s">
        <v>182</v>
      </c>
      <c r="T1347">
        <v>6700</v>
      </c>
      <c r="U1347">
        <v>4.7</v>
      </c>
      <c r="V1347" t="s">
        <v>42</v>
      </c>
    </row>
    <row r="1348" spans="1:22" x14ac:dyDescent="0.3">
      <c r="A1348" t="s">
        <v>2046</v>
      </c>
      <c r="B1348" t="s">
        <v>2047</v>
      </c>
      <c r="C1348" t="s">
        <v>2048</v>
      </c>
      <c r="D1348" s="2">
        <v>46322</v>
      </c>
      <c r="E1348" t="s">
        <v>188</v>
      </c>
      <c r="F1348" t="s">
        <v>188</v>
      </c>
      <c r="G1348" t="s">
        <v>103</v>
      </c>
      <c r="H1348" t="s">
        <v>28</v>
      </c>
      <c r="I1348" t="s">
        <v>69</v>
      </c>
      <c r="J1348" t="s">
        <v>30</v>
      </c>
      <c r="K1348">
        <v>4</v>
      </c>
      <c r="L1348">
        <v>23</v>
      </c>
      <c r="M1348">
        <v>44300</v>
      </c>
      <c r="N1348">
        <v>6600</v>
      </c>
      <c r="O1348">
        <v>37700</v>
      </c>
      <c r="P1348">
        <v>19600</v>
      </c>
      <c r="Q1348">
        <v>18100</v>
      </c>
      <c r="R1348">
        <v>48.01</v>
      </c>
      <c r="S1348" t="s">
        <v>97</v>
      </c>
      <c r="T1348">
        <v>5400</v>
      </c>
      <c r="U1348">
        <v>4.2</v>
      </c>
      <c r="V1348" t="s">
        <v>42</v>
      </c>
    </row>
    <row r="1349" spans="1:22" x14ac:dyDescent="0.3">
      <c r="A1349" t="s">
        <v>5333</v>
      </c>
      <c r="B1349" t="s">
        <v>4446</v>
      </c>
      <c r="C1349" t="s">
        <v>4447</v>
      </c>
      <c r="D1349" s="2">
        <v>46322</v>
      </c>
      <c r="E1349" t="s">
        <v>228</v>
      </c>
      <c r="F1349" t="s">
        <v>228</v>
      </c>
      <c r="G1349" t="s">
        <v>27</v>
      </c>
      <c r="H1349" t="s">
        <v>5470</v>
      </c>
      <c r="I1349" t="s">
        <v>29</v>
      </c>
      <c r="J1349" t="s">
        <v>70</v>
      </c>
      <c r="K1349">
        <v>9</v>
      </c>
      <c r="L1349">
        <v>19</v>
      </c>
      <c r="M1349">
        <v>26000</v>
      </c>
      <c r="N1349">
        <v>5200</v>
      </c>
      <c r="O1349">
        <v>20800</v>
      </c>
      <c r="P1349">
        <v>12400</v>
      </c>
      <c r="Q1349">
        <v>8400</v>
      </c>
      <c r="R1349">
        <v>40.380000000000003</v>
      </c>
      <c r="S1349" t="s">
        <v>58</v>
      </c>
      <c r="T1349">
        <v>1500</v>
      </c>
      <c r="U1349">
        <v>4.8</v>
      </c>
      <c r="V1349" t="s">
        <v>58</v>
      </c>
    </row>
    <row r="1350" spans="1:22" x14ac:dyDescent="0.3">
      <c r="A1350" t="s">
        <v>2063</v>
      </c>
      <c r="B1350" t="s">
        <v>2064</v>
      </c>
      <c r="C1350" t="s">
        <v>2065</v>
      </c>
      <c r="D1350" s="2">
        <v>46323</v>
      </c>
      <c r="E1350" t="s">
        <v>244</v>
      </c>
      <c r="F1350" t="s">
        <v>244</v>
      </c>
      <c r="G1350" t="s">
        <v>213</v>
      </c>
      <c r="H1350" t="s">
        <v>28</v>
      </c>
      <c r="I1350" t="s">
        <v>69</v>
      </c>
      <c r="J1350" t="s">
        <v>30</v>
      </c>
      <c r="K1350">
        <v>4</v>
      </c>
      <c r="L1350">
        <v>53</v>
      </c>
      <c r="M1350">
        <v>71800</v>
      </c>
      <c r="N1350">
        <v>10800</v>
      </c>
      <c r="O1350">
        <v>61000</v>
      </c>
      <c r="P1350">
        <v>57400</v>
      </c>
      <c r="Q1350">
        <v>3600</v>
      </c>
      <c r="R1350">
        <v>5.9</v>
      </c>
      <c r="S1350" t="s">
        <v>182</v>
      </c>
      <c r="T1350">
        <v>4000</v>
      </c>
      <c r="U1350">
        <v>3.2</v>
      </c>
      <c r="V1350" t="s">
        <v>79</v>
      </c>
    </row>
    <row r="1351" spans="1:22" x14ac:dyDescent="0.3">
      <c r="A1351" t="s">
        <v>4364</v>
      </c>
      <c r="B1351" t="s">
        <v>1025</v>
      </c>
      <c r="C1351" t="s">
        <v>1026</v>
      </c>
      <c r="D1351" s="2">
        <v>46323</v>
      </c>
      <c r="E1351" t="s">
        <v>188</v>
      </c>
      <c r="F1351" t="s">
        <v>188</v>
      </c>
      <c r="G1351" t="s">
        <v>27</v>
      </c>
      <c r="H1351" t="s">
        <v>5470</v>
      </c>
      <c r="I1351" t="s">
        <v>29</v>
      </c>
      <c r="J1351" t="s">
        <v>30</v>
      </c>
      <c r="K1351">
        <v>6</v>
      </c>
      <c r="L1351">
        <v>55</v>
      </c>
      <c r="M1351">
        <v>33600</v>
      </c>
      <c r="N1351">
        <v>5000</v>
      </c>
      <c r="O1351">
        <v>28600</v>
      </c>
      <c r="P1351">
        <v>24300</v>
      </c>
      <c r="Q1351">
        <v>4300</v>
      </c>
      <c r="R1351">
        <v>15.03</v>
      </c>
      <c r="S1351" t="s">
        <v>79</v>
      </c>
      <c r="T1351">
        <v>4700</v>
      </c>
      <c r="U1351">
        <v>4</v>
      </c>
      <c r="V1351" t="s">
        <v>58</v>
      </c>
    </row>
    <row r="1352" spans="1:22" x14ac:dyDescent="0.3">
      <c r="A1352" t="s">
        <v>3817</v>
      </c>
      <c r="B1352" t="s">
        <v>1592</v>
      </c>
      <c r="C1352" t="s">
        <v>1593</v>
      </c>
      <c r="D1352" s="2">
        <v>46326</v>
      </c>
      <c r="E1352" t="s">
        <v>161</v>
      </c>
      <c r="F1352" t="s">
        <v>161</v>
      </c>
      <c r="G1352" t="s">
        <v>103</v>
      </c>
      <c r="H1352" t="s">
        <v>268</v>
      </c>
      <c r="I1352" t="s">
        <v>69</v>
      </c>
      <c r="J1352" t="s">
        <v>70</v>
      </c>
      <c r="K1352">
        <v>7</v>
      </c>
      <c r="L1352">
        <v>49</v>
      </c>
      <c r="M1352">
        <v>69300</v>
      </c>
      <c r="N1352">
        <v>3500</v>
      </c>
      <c r="O1352">
        <v>65800</v>
      </c>
      <c r="P1352">
        <v>30900</v>
      </c>
      <c r="Q1352">
        <v>34900</v>
      </c>
      <c r="R1352">
        <v>53.04</v>
      </c>
      <c r="S1352" t="s">
        <v>97</v>
      </c>
      <c r="T1352">
        <v>4900</v>
      </c>
      <c r="U1352">
        <v>3.4</v>
      </c>
      <c r="V1352" t="s">
        <v>42</v>
      </c>
    </row>
    <row r="1353" spans="1:22" x14ac:dyDescent="0.3">
      <c r="A1353" t="s">
        <v>5089</v>
      </c>
      <c r="B1353" t="s">
        <v>2817</v>
      </c>
      <c r="C1353" t="s">
        <v>2818</v>
      </c>
      <c r="D1353" s="2">
        <v>46326</v>
      </c>
      <c r="E1353" t="s">
        <v>161</v>
      </c>
      <c r="F1353" t="s">
        <v>161</v>
      </c>
      <c r="G1353" t="s">
        <v>103</v>
      </c>
      <c r="H1353" t="s">
        <v>88</v>
      </c>
      <c r="I1353" t="s">
        <v>69</v>
      </c>
      <c r="J1353" t="s">
        <v>257</v>
      </c>
      <c r="K1353">
        <v>8</v>
      </c>
      <c r="L1353">
        <v>27</v>
      </c>
      <c r="M1353">
        <v>40000</v>
      </c>
      <c r="N1353">
        <v>0</v>
      </c>
      <c r="O1353">
        <v>40000</v>
      </c>
      <c r="P1353">
        <v>19500</v>
      </c>
      <c r="Q1353">
        <v>20500</v>
      </c>
      <c r="R1353">
        <v>51.25</v>
      </c>
      <c r="S1353" t="s">
        <v>182</v>
      </c>
      <c r="T1353">
        <v>5400</v>
      </c>
      <c r="U1353">
        <v>4.2</v>
      </c>
      <c r="V1353" t="s">
        <v>114</v>
      </c>
    </row>
    <row r="1354" spans="1:22" x14ac:dyDescent="0.3">
      <c r="A1354" t="s">
        <v>2850</v>
      </c>
      <c r="B1354" t="s">
        <v>2851</v>
      </c>
      <c r="C1354" t="s">
        <v>2852</v>
      </c>
      <c r="D1354" s="2">
        <v>46326</v>
      </c>
      <c r="E1354" t="s">
        <v>188</v>
      </c>
      <c r="F1354" t="s">
        <v>188</v>
      </c>
      <c r="G1354" t="s">
        <v>67</v>
      </c>
      <c r="H1354" t="s">
        <v>214</v>
      </c>
      <c r="I1354" t="s">
        <v>29</v>
      </c>
      <c r="J1354" t="s">
        <v>70</v>
      </c>
      <c r="K1354">
        <v>6</v>
      </c>
      <c r="L1354">
        <v>36</v>
      </c>
      <c r="M1354">
        <v>66100</v>
      </c>
      <c r="N1354">
        <v>0</v>
      </c>
      <c r="O1354">
        <v>66100</v>
      </c>
      <c r="P1354">
        <v>53700</v>
      </c>
      <c r="Q1354">
        <v>12400</v>
      </c>
      <c r="R1354">
        <v>18.760000000000002</v>
      </c>
      <c r="S1354" t="s">
        <v>126</v>
      </c>
      <c r="T1354">
        <v>4600</v>
      </c>
      <c r="U1354">
        <v>4.7</v>
      </c>
      <c r="V1354" t="s">
        <v>58</v>
      </c>
    </row>
    <row r="1355" spans="1:22" x14ac:dyDescent="0.3">
      <c r="A1355" t="s">
        <v>1679</v>
      </c>
      <c r="B1355" t="s">
        <v>396</v>
      </c>
      <c r="C1355" t="s">
        <v>397</v>
      </c>
      <c r="D1355" s="2">
        <v>46327</v>
      </c>
      <c r="E1355" t="s">
        <v>244</v>
      </c>
      <c r="F1355" t="s">
        <v>244</v>
      </c>
      <c r="G1355" t="s">
        <v>27</v>
      </c>
      <c r="H1355" t="s">
        <v>214</v>
      </c>
      <c r="I1355" t="s">
        <v>29</v>
      </c>
      <c r="J1355" t="s">
        <v>70</v>
      </c>
      <c r="K1355">
        <v>7</v>
      </c>
      <c r="L1355">
        <v>73</v>
      </c>
      <c r="M1355">
        <v>39400</v>
      </c>
      <c r="N1355">
        <v>0</v>
      </c>
      <c r="O1355">
        <v>39400</v>
      </c>
      <c r="P1355">
        <v>16800</v>
      </c>
      <c r="Q1355">
        <v>22600</v>
      </c>
      <c r="R1355">
        <v>57.36</v>
      </c>
      <c r="S1355" t="s">
        <v>126</v>
      </c>
      <c r="T1355">
        <v>5100</v>
      </c>
      <c r="U1355">
        <v>4</v>
      </c>
      <c r="V1355" t="s">
        <v>114</v>
      </c>
    </row>
    <row r="1356" spans="1:22" x14ac:dyDescent="0.3">
      <c r="A1356" t="s">
        <v>2694</v>
      </c>
      <c r="B1356" t="s">
        <v>1019</v>
      </c>
      <c r="C1356" t="s">
        <v>1020</v>
      </c>
      <c r="D1356" s="2">
        <v>46327</v>
      </c>
      <c r="E1356" t="s">
        <v>188</v>
      </c>
      <c r="F1356" t="s">
        <v>188</v>
      </c>
      <c r="G1356" t="s">
        <v>103</v>
      </c>
      <c r="H1356" t="s">
        <v>28</v>
      </c>
      <c r="I1356" t="s">
        <v>69</v>
      </c>
      <c r="J1356" t="s">
        <v>30</v>
      </c>
      <c r="K1356">
        <v>3</v>
      </c>
      <c r="L1356">
        <v>61</v>
      </c>
      <c r="M1356">
        <v>15000</v>
      </c>
      <c r="N1356">
        <v>1500</v>
      </c>
      <c r="O1356">
        <v>13500</v>
      </c>
      <c r="P1356">
        <v>8600</v>
      </c>
      <c r="Q1356">
        <v>4900</v>
      </c>
      <c r="R1356">
        <v>36.299999999999997</v>
      </c>
      <c r="S1356" t="s">
        <v>126</v>
      </c>
      <c r="T1356">
        <v>1300</v>
      </c>
      <c r="U1356">
        <v>4.0999999999999996</v>
      </c>
      <c r="V1356" t="s">
        <v>82</v>
      </c>
    </row>
    <row r="1357" spans="1:22" x14ac:dyDescent="0.3">
      <c r="A1357" t="s">
        <v>1560</v>
      </c>
      <c r="B1357" t="s">
        <v>197</v>
      </c>
      <c r="C1357" t="s">
        <v>198</v>
      </c>
      <c r="D1357" s="2">
        <v>46327</v>
      </c>
      <c r="E1357" t="s">
        <v>282</v>
      </c>
      <c r="F1357" t="s">
        <v>282</v>
      </c>
      <c r="G1357" t="s">
        <v>27</v>
      </c>
      <c r="H1357" t="s">
        <v>28</v>
      </c>
      <c r="I1357" t="s">
        <v>69</v>
      </c>
      <c r="J1357" t="s">
        <v>30</v>
      </c>
      <c r="K1357">
        <v>9</v>
      </c>
      <c r="L1357">
        <v>9</v>
      </c>
      <c r="M1357">
        <v>67400</v>
      </c>
      <c r="N1357">
        <v>0</v>
      </c>
      <c r="O1357">
        <v>67400</v>
      </c>
      <c r="P1357">
        <v>47000</v>
      </c>
      <c r="Q1357">
        <v>20400</v>
      </c>
      <c r="R1357">
        <v>30.27</v>
      </c>
      <c r="S1357" t="s">
        <v>79</v>
      </c>
      <c r="T1357">
        <v>11700</v>
      </c>
      <c r="U1357">
        <v>4.3</v>
      </c>
      <c r="V1357" t="s">
        <v>82</v>
      </c>
    </row>
    <row r="1358" spans="1:22" x14ac:dyDescent="0.3">
      <c r="A1358" t="s">
        <v>3314</v>
      </c>
      <c r="B1358" t="s">
        <v>531</v>
      </c>
      <c r="C1358" t="s">
        <v>532</v>
      </c>
      <c r="D1358" s="2">
        <v>46328</v>
      </c>
      <c r="E1358" t="s">
        <v>26</v>
      </c>
      <c r="F1358" t="s">
        <v>26</v>
      </c>
      <c r="G1358" t="s">
        <v>103</v>
      </c>
      <c r="H1358" t="s">
        <v>229</v>
      </c>
      <c r="I1358" t="s">
        <v>29</v>
      </c>
      <c r="J1358" t="s">
        <v>30</v>
      </c>
      <c r="K1358">
        <v>8</v>
      </c>
      <c r="L1358">
        <v>50</v>
      </c>
      <c r="M1358">
        <v>43000</v>
      </c>
      <c r="N1358">
        <v>0</v>
      </c>
      <c r="O1358">
        <v>43000</v>
      </c>
      <c r="P1358">
        <v>23600</v>
      </c>
      <c r="Q1358">
        <v>19400</v>
      </c>
      <c r="R1358">
        <v>45.12</v>
      </c>
      <c r="S1358" t="s">
        <v>97</v>
      </c>
      <c r="T1358">
        <v>5600</v>
      </c>
      <c r="U1358">
        <v>4.5999999999999996</v>
      </c>
      <c r="V1358" t="s">
        <v>114</v>
      </c>
    </row>
    <row r="1359" spans="1:22" x14ac:dyDescent="0.3">
      <c r="A1359" t="s">
        <v>3760</v>
      </c>
      <c r="B1359" t="s">
        <v>444</v>
      </c>
      <c r="C1359" t="s">
        <v>445</v>
      </c>
      <c r="D1359" s="2">
        <v>46329</v>
      </c>
      <c r="E1359" t="s">
        <v>188</v>
      </c>
      <c r="F1359" t="s">
        <v>188</v>
      </c>
      <c r="G1359" t="s">
        <v>103</v>
      </c>
      <c r="H1359" t="s">
        <v>88</v>
      </c>
      <c r="I1359" t="s">
        <v>29</v>
      </c>
      <c r="J1359" t="s">
        <v>30</v>
      </c>
      <c r="K1359">
        <v>9</v>
      </c>
      <c r="L1359">
        <v>19</v>
      </c>
      <c r="M1359">
        <v>93800</v>
      </c>
      <c r="N1359">
        <v>0</v>
      </c>
      <c r="O1359">
        <v>93800</v>
      </c>
      <c r="P1359">
        <v>57800</v>
      </c>
      <c r="Q1359">
        <v>36000</v>
      </c>
      <c r="R1359">
        <v>38.380000000000003</v>
      </c>
      <c r="S1359" t="s">
        <v>97</v>
      </c>
      <c r="T1359">
        <v>8100</v>
      </c>
      <c r="U1359">
        <v>5</v>
      </c>
      <c r="V1359" t="s">
        <v>82</v>
      </c>
    </row>
    <row r="1360" spans="1:22" x14ac:dyDescent="0.3">
      <c r="A1360" t="s">
        <v>4423</v>
      </c>
      <c r="B1360" t="s">
        <v>4424</v>
      </c>
      <c r="C1360" t="s">
        <v>4425</v>
      </c>
      <c r="D1360" s="2">
        <v>46329</v>
      </c>
      <c r="E1360" t="s">
        <v>244</v>
      </c>
      <c r="F1360" t="s">
        <v>244</v>
      </c>
      <c r="G1360" t="s">
        <v>580</v>
      </c>
      <c r="H1360" t="s">
        <v>214</v>
      </c>
      <c r="I1360" t="s">
        <v>29</v>
      </c>
      <c r="J1360" t="s">
        <v>30</v>
      </c>
      <c r="K1360">
        <v>4</v>
      </c>
      <c r="L1360">
        <v>25</v>
      </c>
      <c r="M1360">
        <v>95400</v>
      </c>
      <c r="N1360">
        <v>0</v>
      </c>
      <c r="O1360">
        <v>95400</v>
      </c>
      <c r="P1360">
        <v>51600</v>
      </c>
      <c r="Q1360">
        <v>43800</v>
      </c>
      <c r="R1360">
        <v>45.91</v>
      </c>
      <c r="S1360" t="s">
        <v>39</v>
      </c>
      <c r="T1360">
        <v>15200</v>
      </c>
      <c r="U1360">
        <v>3.7</v>
      </c>
      <c r="V1360" t="s">
        <v>42</v>
      </c>
    </row>
    <row r="1361" spans="1:22" x14ac:dyDescent="0.3">
      <c r="A1361" t="s">
        <v>4415</v>
      </c>
      <c r="B1361" t="s">
        <v>3949</v>
      </c>
      <c r="C1361" t="s">
        <v>3950</v>
      </c>
      <c r="D1361" s="2">
        <v>46329</v>
      </c>
      <c r="E1361" t="s">
        <v>228</v>
      </c>
      <c r="F1361" t="s">
        <v>228</v>
      </c>
      <c r="G1361" t="s">
        <v>27</v>
      </c>
      <c r="H1361" t="s">
        <v>214</v>
      </c>
      <c r="I1361" t="s">
        <v>69</v>
      </c>
      <c r="J1361" t="s">
        <v>30</v>
      </c>
      <c r="K1361">
        <v>6</v>
      </c>
      <c r="L1361">
        <v>76</v>
      </c>
      <c r="M1361">
        <v>54500</v>
      </c>
      <c r="N1361">
        <v>2700</v>
      </c>
      <c r="O1361">
        <v>51800</v>
      </c>
      <c r="P1361">
        <v>28000</v>
      </c>
      <c r="Q1361">
        <v>23800</v>
      </c>
      <c r="R1361">
        <v>45.95</v>
      </c>
      <c r="S1361" t="s">
        <v>79</v>
      </c>
      <c r="T1361">
        <v>2200</v>
      </c>
      <c r="U1361">
        <v>5</v>
      </c>
      <c r="V1361" t="s">
        <v>42</v>
      </c>
    </row>
    <row r="1362" spans="1:22" x14ac:dyDescent="0.3">
      <c r="A1362" t="s">
        <v>4910</v>
      </c>
      <c r="B1362" t="s">
        <v>425</v>
      </c>
      <c r="C1362" t="s">
        <v>426</v>
      </c>
      <c r="D1362" s="2">
        <v>46329</v>
      </c>
      <c r="E1362" t="s">
        <v>26</v>
      </c>
      <c r="F1362" t="s">
        <v>26</v>
      </c>
      <c r="G1362" t="s">
        <v>27</v>
      </c>
      <c r="H1362" t="s">
        <v>49</v>
      </c>
      <c r="I1362" t="s">
        <v>29</v>
      </c>
      <c r="J1362" t="s">
        <v>30</v>
      </c>
      <c r="K1362">
        <v>9</v>
      </c>
      <c r="L1362">
        <v>44</v>
      </c>
      <c r="M1362">
        <v>51600</v>
      </c>
      <c r="N1362">
        <v>2600</v>
      </c>
      <c r="O1362">
        <v>49000</v>
      </c>
      <c r="P1362">
        <v>39200</v>
      </c>
      <c r="Q1362">
        <v>9800</v>
      </c>
      <c r="R1362">
        <v>20</v>
      </c>
      <c r="S1362" t="s">
        <v>58</v>
      </c>
      <c r="T1362">
        <v>3800</v>
      </c>
      <c r="U1362">
        <v>3.8</v>
      </c>
      <c r="V1362" t="s">
        <v>58</v>
      </c>
    </row>
    <row r="1363" spans="1:22" x14ac:dyDescent="0.3">
      <c r="A1363" t="s">
        <v>1408</v>
      </c>
      <c r="B1363" t="s">
        <v>1409</v>
      </c>
      <c r="C1363" t="s">
        <v>1410</v>
      </c>
      <c r="D1363" s="2">
        <v>46330</v>
      </c>
      <c r="E1363" t="s">
        <v>188</v>
      </c>
      <c r="F1363" t="s">
        <v>188</v>
      </c>
      <c r="G1363" t="s">
        <v>213</v>
      </c>
      <c r="H1363" t="s">
        <v>88</v>
      </c>
      <c r="I1363" t="s">
        <v>29</v>
      </c>
      <c r="J1363" t="s">
        <v>70</v>
      </c>
      <c r="K1363">
        <v>3</v>
      </c>
      <c r="L1363">
        <v>67</v>
      </c>
      <c r="M1363">
        <v>57100</v>
      </c>
      <c r="N1363">
        <v>0</v>
      </c>
      <c r="O1363">
        <v>57100</v>
      </c>
      <c r="P1363">
        <v>25000</v>
      </c>
      <c r="Q1363">
        <v>32100</v>
      </c>
      <c r="R1363">
        <v>56.22</v>
      </c>
      <c r="S1363" t="s">
        <v>126</v>
      </c>
      <c r="T1363">
        <v>5400</v>
      </c>
      <c r="U1363">
        <v>3.9</v>
      </c>
      <c r="V1363" t="s">
        <v>58</v>
      </c>
    </row>
    <row r="1364" spans="1:22" x14ac:dyDescent="0.3">
      <c r="A1364" t="s">
        <v>4880</v>
      </c>
      <c r="B1364" t="s">
        <v>1056</v>
      </c>
      <c r="C1364" t="s">
        <v>1057</v>
      </c>
      <c r="D1364" s="2">
        <v>46330</v>
      </c>
      <c r="E1364" t="s">
        <v>282</v>
      </c>
      <c r="F1364" t="s">
        <v>282</v>
      </c>
      <c r="G1364" t="s">
        <v>67</v>
      </c>
      <c r="H1364" t="s">
        <v>214</v>
      </c>
      <c r="I1364" t="s">
        <v>69</v>
      </c>
      <c r="J1364" t="s">
        <v>162</v>
      </c>
      <c r="K1364">
        <v>4</v>
      </c>
      <c r="L1364">
        <v>28</v>
      </c>
      <c r="M1364">
        <v>37400</v>
      </c>
      <c r="N1364">
        <v>0</v>
      </c>
      <c r="O1364">
        <v>37400</v>
      </c>
      <c r="P1364">
        <v>30600</v>
      </c>
      <c r="Q1364">
        <v>6800</v>
      </c>
      <c r="R1364">
        <v>18.18</v>
      </c>
      <c r="S1364" t="s">
        <v>58</v>
      </c>
      <c r="T1364">
        <v>4900</v>
      </c>
      <c r="U1364">
        <v>3.6</v>
      </c>
      <c r="V1364" t="s">
        <v>79</v>
      </c>
    </row>
    <row r="1365" spans="1:22" x14ac:dyDescent="0.3">
      <c r="A1365" t="s">
        <v>4125</v>
      </c>
      <c r="B1365" t="s">
        <v>3926</v>
      </c>
      <c r="C1365" t="s">
        <v>3927</v>
      </c>
      <c r="D1365" s="2">
        <v>46331</v>
      </c>
      <c r="E1365" t="s">
        <v>134</v>
      </c>
      <c r="F1365" t="s">
        <v>134</v>
      </c>
      <c r="G1365" t="s">
        <v>147</v>
      </c>
      <c r="H1365" t="s">
        <v>5470</v>
      </c>
      <c r="I1365" t="s">
        <v>29</v>
      </c>
      <c r="J1365" t="s">
        <v>70</v>
      </c>
      <c r="K1365">
        <v>6</v>
      </c>
      <c r="L1365">
        <v>61</v>
      </c>
      <c r="M1365">
        <v>61800</v>
      </c>
      <c r="N1365">
        <v>12400</v>
      </c>
      <c r="O1365">
        <v>49400</v>
      </c>
      <c r="P1365">
        <v>31300</v>
      </c>
      <c r="Q1365">
        <v>18100</v>
      </c>
      <c r="R1365">
        <v>36.64</v>
      </c>
      <c r="S1365" t="s">
        <v>79</v>
      </c>
      <c r="T1365">
        <v>7500</v>
      </c>
      <c r="U1365">
        <v>3.7</v>
      </c>
      <c r="V1365" t="s">
        <v>79</v>
      </c>
    </row>
    <row r="1366" spans="1:22" x14ac:dyDescent="0.3">
      <c r="A1366" t="s">
        <v>5193</v>
      </c>
      <c r="B1366" t="s">
        <v>4145</v>
      </c>
      <c r="C1366" t="s">
        <v>4146</v>
      </c>
      <c r="D1366" s="2">
        <v>46331</v>
      </c>
      <c r="E1366" t="s">
        <v>188</v>
      </c>
      <c r="F1366" t="s">
        <v>188</v>
      </c>
      <c r="G1366" t="s">
        <v>48</v>
      </c>
      <c r="H1366" t="s">
        <v>268</v>
      </c>
      <c r="I1366" t="s">
        <v>29</v>
      </c>
      <c r="J1366" t="s">
        <v>30</v>
      </c>
      <c r="K1366">
        <v>5</v>
      </c>
      <c r="L1366">
        <v>22</v>
      </c>
      <c r="M1366">
        <v>23900</v>
      </c>
      <c r="N1366">
        <v>0</v>
      </c>
      <c r="O1366">
        <v>23900</v>
      </c>
      <c r="P1366">
        <v>12100</v>
      </c>
      <c r="Q1366">
        <v>11800</v>
      </c>
      <c r="R1366">
        <v>49.37</v>
      </c>
      <c r="S1366" t="s">
        <v>79</v>
      </c>
      <c r="T1366">
        <v>4100</v>
      </c>
      <c r="U1366">
        <v>3.1</v>
      </c>
      <c r="V1366" t="s">
        <v>114</v>
      </c>
    </row>
    <row r="1367" spans="1:22" x14ac:dyDescent="0.3">
      <c r="A1367" t="s">
        <v>1135</v>
      </c>
      <c r="B1367" t="s">
        <v>1136</v>
      </c>
      <c r="C1367" t="s">
        <v>1137</v>
      </c>
      <c r="D1367" s="2">
        <v>46332</v>
      </c>
      <c r="E1367" t="s">
        <v>244</v>
      </c>
      <c r="F1367" t="s">
        <v>244</v>
      </c>
      <c r="G1367" t="s">
        <v>147</v>
      </c>
      <c r="H1367" t="s">
        <v>214</v>
      </c>
      <c r="I1367" t="s">
        <v>69</v>
      </c>
      <c r="J1367" t="s">
        <v>30</v>
      </c>
      <c r="K1367">
        <v>10</v>
      </c>
      <c r="L1367">
        <v>29</v>
      </c>
      <c r="M1367">
        <v>35100</v>
      </c>
      <c r="N1367">
        <v>0</v>
      </c>
      <c r="O1367">
        <v>35100</v>
      </c>
      <c r="P1367">
        <v>24900</v>
      </c>
      <c r="Q1367">
        <v>10200</v>
      </c>
      <c r="R1367">
        <v>29.06</v>
      </c>
      <c r="S1367" t="s">
        <v>58</v>
      </c>
      <c r="T1367">
        <v>1500</v>
      </c>
      <c r="U1367">
        <v>3.7</v>
      </c>
      <c r="V1367" t="s">
        <v>79</v>
      </c>
    </row>
    <row r="1368" spans="1:22" x14ac:dyDescent="0.3">
      <c r="A1368" t="s">
        <v>4071</v>
      </c>
      <c r="B1368" t="s">
        <v>62</v>
      </c>
      <c r="C1368" t="s">
        <v>63</v>
      </c>
      <c r="D1368" s="2">
        <v>46332</v>
      </c>
      <c r="E1368" t="s">
        <v>282</v>
      </c>
      <c r="F1368" t="s">
        <v>282</v>
      </c>
      <c r="G1368" t="s">
        <v>48</v>
      </c>
      <c r="H1368" t="s">
        <v>28</v>
      </c>
      <c r="I1368" t="s">
        <v>69</v>
      </c>
      <c r="J1368" t="s">
        <v>30</v>
      </c>
      <c r="K1368">
        <v>7</v>
      </c>
      <c r="L1368">
        <v>5</v>
      </c>
      <c r="M1368">
        <v>59500</v>
      </c>
      <c r="N1368">
        <v>0</v>
      </c>
      <c r="O1368">
        <v>59500</v>
      </c>
      <c r="P1368">
        <v>28300</v>
      </c>
      <c r="Q1368">
        <v>31200</v>
      </c>
      <c r="R1368">
        <v>52.44</v>
      </c>
      <c r="S1368" t="s">
        <v>97</v>
      </c>
      <c r="T1368">
        <v>2500</v>
      </c>
      <c r="U1368">
        <v>4.3</v>
      </c>
      <c r="V1368" t="s">
        <v>58</v>
      </c>
    </row>
    <row r="1369" spans="1:22" x14ac:dyDescent="0.3">
      <c r="A1369" t="s">
        <v>1519</v>
      </c>
      <c r="B1369" t="s">
        <v>1520</v>
      </c>
      <c r="C1369" t="s">
        <v>1521</v>
      </c>
      <c r="D1369" s="2">
        <v>46332</v>
      </c>
      <c r="E1369" t="s">
        <v>228</v>
      </c>
      <c r="F1369" t="s">
        <v>228</v>
      </c>
      <c r="G1369" t="s">
        <v>147</v>
      </c>
      <c r="H1369" t="s">
        <v>5470</v>
      </c>
      <c r="I1369" t="s">
        <v>29</v>
      </c>
      <c r="J1369" t="s">
        <v>162</v>
      </c>
      <c r="K1369">
        <v>7</v>
      </c>
      <c r="L1369">
        <v>42</v>
      </c>
      <c r="M1369">
        <v>32500</v>
      </c>
      <c r="N1369">
        <v>1600</v>
      </c>
      <c r="O1369">
        <v>30900</v>
      </c>
      <c r="P1369">
        <v>22200</v>
      </c>
      <c r="Q1369">
        <v>8700</v>
      </c>
      <c r="R1369">
        <v>28.16</v>
      </c>
      <c r="S1369" t="s">
        <v>39</v>
      </c>
      <c r="T1369">
        <v>5000</v>
      </c>
      <c r="U1369">
        <v>4.4000000000000004</v>
      </c>
      <c r="V1369" t="s">
        <v>58</v>
      </c>
    </row>
    <row r="1370" spans="1:22" x14ac:dyDescent="0.3">
      <c r="A1370" t="s">
        <v>5229</v>
      </c>
      <c r="B1370" t="s">
        <v>2312</v>
      </c>
      <c r="C1370" t="s">
        <v>2313</v>
      </c>
      <c r="D1370" s="2">
        <v>46333</v>
      </c>
      <c r="E1370" t="s">
        <v>228</v>
      </c>
      <c r="F1370" t="s">
        <v>228</v>
      </c>
      <c r="G1370" t="s">
        <v>67</v>
      </c>
      <c r="H1370" t="s">
        <v>5470</v>
      </c>
      <c r="I1370" t="s">
        <v>29</v>
      </c>
      <c r="J1370" t="s">
        <v>70</v>
      </c>
      <c r="K1370">
        <v>3</v>
      </c>
      <c r="L1370">
        <v>31</v>
      </c>
      <c r="M1370">
        <v>39600</v>
      </c>
      <c r="N1370">
        <v>0</v>
      </c>
      <c r="O1370">
        <v>39600</v>
      </c>
      <c r="P1370">
        <v>23400</v>
      </c>
      <c r="Q1370">
        <v>16200</v>
      </c>
      <c r="R1370">
        <v>40.909999999999997</v>
      </c>
      <c r="S1370" t="s">
        <v>79</v>
      </c>
      <c r="T1370">
        <v>5400</v>
      </c>
      <c r="U1370">
        <v>5</v>
      </c>
      <c r="V1370" t="s">
        <v>114</v>
      </c>
    </row>
    <row r="1371" spans="1:22" x14ac:dyDescent="0.3">
      <c r="A1371" t="s">
        <v>4255</v>
      </c>
      <c r="B1371" t="s">
        <v>1899</v>
      </c>
      <c r="C1371" t="s">
        <v>1900</v>
      </c>
      <c r="D1371" s="2">
        <v>46333</v>
      </c>
      <c r="E1371" t="s">
        <v>161</v>
      </c>
      <c r="F1371" t="s">
        <v>161</v>
      </c>
      <c r="G1371" t="s">
        <v>48</v>
      </c>
      <c r="H1371" t="s">
        <v>229</v>
      </c>
      <c r="I1371" t="s">
        <v>29</v>
      </c>
      <c r="J1371" t="s">
        <v>257</v>
      </c>
      <c r="K1371">
        <v>4</v>
      </c>
      <c r="L1371">
        <v>17</v>
      </c>
      <c r="M1371">
        <v>54200</v>
      </c>
      <c r="N1371">
        <v>5400</v>
      </c>
      <c r="O1371">
        <v>48800</v>
      </c>
      <c r="P1371">
        <v>40100</v>
      </c>
      <c r="Q1371">
        <v>8700</v>
      </c>
      <c r="R1371">
        <v>17.829999999999998</v>
      </c>
      <c r="S1371" t="s">
        <v>58</v>
      </c>
      <c r="T1371">
        <v>2600</v>
      </c>
      <c r="U1371">
        <v>4.7</v>
      </c>
      <c r="V1371" t="s">
        <v>79</v>
      </c>
    </row>
    <row r="1372" spans="1:22" x14ac:dyDescent="0.3">
      <c r="A1372" t="s">
        <v>1041</v>
      </c>
      <c r="B1372" t="s">
        <v>510</v>
      </c>
      <c r="C1372" t="s">
        <v>511</v>
      </c>
      <c r="D1372" s="2">
        <v>46333</v>
      </c>
      <c r="E1372" t="s">
        <v>66</v>
      </c>
      <c r="F1372" t="s">
        <v>66</v>
      </c>
      <c r="G1372" t="s">
        <v>147</v>
      </c>
      <c r="H1372" t="s">
        <v>268</v>
      </c>
      <c r="I1372" t="s">
        <v>69</v>
      </c>
      <c r="J1372" t="s">
        <v>70</v>
      </c>
      <c r="K1372">
        <v>4</v>
      </c>
      <c r="L1372">
        <v>54</v>
      </c>
      <c r="M1372">
        <v>29200</v>
      </c>
      <c r="N1372">
        <v>5800</v>
      </c>
      <c r="O1372">
        <v>23400</v>
      </c>
      <c r="P1372">
        <v>14400</v>
      </c>
      <c r="Q1372">
        <v>9000</v>
      </c>
      <c r="R1372">
        <v>38.46</v>
      </c>
      <c r="S1372" t="s">
        <v>58</v>
      </c>
      <c r="T1372">
        <v>3300</v>
      </c>
      <c r="U1372">
        <v>4.5</v>
      </c>
      <c r="V1372" t="s">
        <v>42</v>
      </c>
    </row>
    <row r="1373" spans="1:22" x14ac:dyDescent="0.3">
      <c r="A1373" t="s">
        <v>5416</v>
      </c>
      <c r="B1373" t="s">
        <v>3078</v>
      </c>
      <c r="C1373" t="s">
        <v>3079</v>
      </c>
      <c r="D1373" s="2">
        <v>46333</v>
      </c>
      <c r="E1373" t="s">
        <v>134</v>
      </c>
      <c r="F1373" t="s">
        <v>134</v>
      </c>
      <c r="G1373" t="s">
        <v>118</v>
      </c>
      <c r="H1373" t="s">
        <v>268</v>
      </c>
      <c r="I1373" t="s">
        <v>69</v>
      </c>
      <c r="J1373" t="s">
        <v>162</v>
      </c>
      <c r="K1373">
        <v>7</v>
      </c>
      <c r="L1373">
        <v>33</v>
      </c>
      <c r="M1373">
        <v>15000</v>
      </c>
      <c r="N1373">
        <v>1500</v>
      </c>
      <c r="O1373">
        <v>13500</v>
      </c>
      <c r="P1373">
        <v>8200</v>
      </c>
      <c r="Q1373">
        <v>5300</v>
      </c>
      <c r="R1373">
        <v>39.26</v>
      </c>
      <c r="S1373" t="s">
        <v>79</v>
      </c>
      <c r="T1373">
        <v>2400</v>
      </c>
      <c r="U1373">
        <v>4.5</v>
      </c>
      <c r="V1373" t="s">
        <v>79</v>
      </c>
    </row>
    <row r="1374" spans="1:22" x14ac:dyDescent="0.3">
      <c r="A1374" t="s">
        <v>5231</v>
      </c>
      <c r="B1374" t="s">
        <v>1804</v>
      </c>
      <c r="C1374" t="s">
        <v>1805</v>
      </c>
      <c r="D1374" s="2">
        <v>46333</v>
      </c>
      <c r="E1374" t="s">
        <v>66</v>
      </c>
      <c r="F1374" t="s">
        <v>66</v>
      </c>
      <c r="G1374" t="s">
        <v>67</v>
      </c>
      <c r="H1374" t="s">
        <v>68</v>
      </c>
      <c r="I1374" t="s">
        <v>29</v>
      </c>
      <c r="J1374" t="s">
        <v>30</v>
      </c>
      <c r="K1374">
        <v>6</v>
      </c>
      <c r="L1374">
        <v>57</v>
      </c>
      <c r="M1374">
        <v>20700</v>
      </c>
      <c r="N1374">
        <v>0</v>
      </c>
      <c r="O1374">
        <v>20700</v>
      </c>
      <c r="P1374">
        <v>15000</v>
      </c>
      <c r="Q1374">
        <v>5700</v>
      </c>
      <c r="R1374">
        <v>27.54</v>
      </c>
      <c r="S1374" t="s">
        <v>126</v>
      </c>
      <c r="T1374">
        <v>2400</v>
      </c>
      <c r="U1374">
        <v>3.6</v>
      </c>
      <c r="V1374" t="s">
        <v>79</v>
      </c>
    </row>
    <row r="1375" spans="1:22" x14ac:dyDescent="0.3">
      <c r="A1375" t="s">
        <v>3570</v>
      </c>
      <c r="B1375" t="s">
        <v>1578</v>
      </c>
      <c r="C1375" t="s">
        <v>1579</v>
      </c>
      <c r="D1375" s="2">
        <v>46333</v>
      </c>
      <c r="E1375" t="s">
        <v>244</v>
      </c>
      <c r="F1375" t="s">
        <v>244</v>
      </c>
      <c r="G1375" t="s">
        <v>27</v>
      </c>
      <c r="H1375" t="s">
        <v>268</v>
      </c>
      <c r="I1375" t="s">
        <v>69</v>
      </c>
      <c r="J1375" t="s">
        <v>30</v>
      </c>
      <c r="K1375">
        <v>10</v>
      </c>
      <c r="L1375">
        <v>33</v>
      </c>
      <c r="M1375">
        <v>57900</v>
      </c>
      <c r="N1375">
        <v>2900</v>
      </c>
      <c r="O1375">
        <v>55000</v>
      </c>
      <c r="P1375">
        <v>31800</v>
      </c>
      <c r="Q1375">
        <v>23200</v>
      </c>
      <c r="R1375">
        <v>42.18</v>
      </c>
      <c r="S1375" t="s">
        <v>39</v>
      </c>
      <c r="T1375">
        <v>8700</v>
      </c>
      <c r="U1375">
        <v>4.4000000000000004</v>
      </c>
      <c r="V1375" t="s">
        <v>42</v>
      </c>
    </row>
    <row r="1376" spans="1:22" x14ac:dyDescent="0.3">
      <c r="A1376" t="s">
        <v>3055</v>
      </c>
      <c r="B1376" t="s">
        <v>3056</v>
      </c>
      <c r="C1376" t="s">
        <v>3057</v>
      </c>
      <c r="D1376" s="2">
        <v>46334</v>
      </c>
      <c r="E1376" t="s">
        <v>26</v>
      </c>
      <c r="F1376" t="s">
        <v>26</v>
      </c>
      <c r="G1376" t="s">
        <v>27</v>
      </c>
      <c r="H1376" t="s">
        <v>88</v>
      </c>
      <c r="I1376" t="s">
        <v>69</v>
      </c>
      <c r="J1376" t="s">
        <v>70</v>
      </c>
      <c r="K1376">
        <v>6</v>
      </c>
      <c r="M1376">
        <v>112400</v>
      </c>
      <c r="N1376">
        <v>16900</v>
      </c>
      <c r="O1376">
        <v>95500</v>
      </c>
      <c r="P1376">
        <v>70300</v>
      </c>
      <c r="Q1376">
        <v>25200</v>
      </c>
      <c r="R1376">
        <v>26.39</v>
      </c>
      <c r="S1376" t="s">
        <v>126</v>
      </c>
      <c r="T1376">
        <v>15700</v>
      </c>
      <c r="U1376">
        <v>4.0999999999999996</v>
      </c>
      <c r="V1376" t="s">
        <v>79</v>
      </c>
    </row>
    <row r="1377" spans="1:22" x14ac:dyDescent="0.3">
      <c r="A1377" t="s">
        <v>5212</v>
      </c>
      <c r="B1377" t="s">
        <v>3041</v>
      </c>
      <c r="C1377" t="s">
        <v>3042</v>
      </c>
      <c r="D1377" s="2">
        <v>46334</v>
      </c>
      <c r="E1377" t="s">
        <v>134</v>
      </c>
      <c r="F1377" t="s">
        <v>134</v>
      </c>
      <c r="G1377" t="s">
        <v>213</v>
      </c>
      <c r="H1377" t="s">
        <v>28</v>
      </c>
      <c r="I1377" t="s">
        <v>69</v>
      </c>
      <c r="J1377" t="s">
        <v>30</v>
      </c>
      <c r="K1377">
        <v>6</v>
      </c>
      <c r="L1377">
        <v>43</v>
      </c>
      <c r="M1377">
        <v>20900</v>
      </c>
      <c r="N1377">
        <v>4200</v>
      </c>
      <c r="O1377">
        <v>16700</v>
      </c>
      <c r="P1377">
        <v>10200</v>
      </c>
      <c r="Q1377">
        <v>6500</v>
      </c>
      <c r="R1377">
        <v>38.92</v>
      </c>
      <c r="S1377" t="s">
        <v>79</v>
      </c>
      <c r="T1377">
        <v>2100</v>
      </c>
      <c r="U1377">
        <v>3.8</v>
      </c>
      <c r="V1377" t="s">
        <v>114</v>
      </c>
    </row>
    <row r="1378" spans="1:22" x14ac:dyDescent="0.3">
      <c r="A1378" t="s">
        <v>5265</v>
      </c>
      <c r="B1378" t="s">
        <v>795</v>
      </c>
      <c r="C1378" t="s">
        <v>796</v>
      </c>
      <c r="D1378" s="2">
        <v>46334</v>
      </c>
      <c r="E1378" t="s">
        <v>282</v>
      </c>
      <c r="F1378" t="s">
        <v>282</v>
      </c>
      <c r="G1378" t="s">
        <v>580</v>
      </c>
      <c r="H1378" t="s">
        <v>68</v>
      </c>
      <c r="I1378" t="s">
        <v>29</v>
      </c>
      <c r="J1378" t="s">
        <v>30</v>
      </c>
      <c r="K1378">
        <v>9</v>
      </c>
      <c r="L1378">
        <v>63</v>
      </c>
      <c r="M1378">
        <v>53700</v>
      </c>
      <c r="N1378">
        <v>5400</v>
      </c>
      <c r="O1378">
        <v>48300</v>
      </c>
      <c r="P1378">
        <v>23400</v>
      </c>
      <c r="Q1378">
        <v>24900</v>
      </c>
      <c r="R1378">
        <v>51.55</v>
      </c>
      <c r="S1378" t="s">
        <v>39</v>
      </c>
      <c r="T1378">
        <v>2400</v>
      </c>
      <c r="U1378">
        <v>4.4000000000000004</v>
      </c>
      <c r="V1378" t="s">
        <v>82</v>
      </c>
    </row>
    <row r="1379" spans="1:22" x14ac:dyDescent="0.3">
      <c r="A1379" t="s">
        <v>2509</v>
      </c>
      <c r="B1379" t="s">
        <v>2510</v>
      </c>
      <c r="C1379" t="s">
        <v>2511</v>
      </c>
      <c r="D1379" s="2">
        <v>46335</v>
      </c>
      <c r="E1379" t="s">
        <v>26</v>
      </c>
      <c r="F1379" t="s">
        <v>26</v>
      </c>
      <c r="G1379" t="s">
        <v>213</v>
      </c>
      <c r="H1379" t="s">
        <v>88</v>
      </c>
      <c r="I1379" t="s">
        <v>69</v>
      </c>
      <c r="J1379" t="s">
        <v>30</v>
      </c>
      <c r="K1379">
        <v>5</v>
      </c>
      <c r="L1379">
        <v>49</v>
      </c>
      <c r="M1379">
        <v>23700</v>
      </c>
      <c r="N1379">
        <v>4700</v>
      </c>
      <c r="O1379">
        <v>19000</v>
      </c>
      <c r="P1379">
        <v>14400</v>
      </c>
      <c r="Q1379">
        <v>4600</v>
      </c>
      <c r="R1379">
        <v>24.21</v>
      </c>
      <c r="S1379" t="s">
        <v>39</v>
      </c>
      <c r="T1379">
        <v>1300</v>
      </c>
      <c r="U1379">
        <v>4.7</v>
      </c>
      <c r="V1379" t="s">
        <v>114</v>
      </c>
    </row>
    <row r="1380" spans="1:22" x14ac:dyDescent="0.3">
      <c r="A1380" t="s">
        <v>5327</v>
      </c>
      <c r="B1380" t="s">
        <v>2191</v>
      </c>
      <c r="C1380" t="s">
        <v>2192</v>
      </c>
      <c r="D1380" s="2">
        <v>46335</v>
      </c>
      <c r="E1380" t="s">
        <v>161</v>
      </c>
      <c r="F1380" t="s">
        <v>161</v>
      </c>
      <c r="G1380" t="s">
        <v>67</v>
      </c>
      <c r="H1380" t="s">
        <v>229</v>
      </c>
      <c r="I1380" t="s">
        <v>29</v>
      </c>
      <c r="J1380" t="s">
        <v>30</v>
      </c>
      <c r="K1380">
        <v>9</v>
      </c>
      <c r="L1380">
        <v>6</v>
      </c>
      <c r="M1380">
        <v>36700</v>
      </c>
      <c r="N1380">
        <v>3700</v>
      </c>
      <c r="O1380">
        <v>33000</v>
      </c>
      <c r="P1380">
        <v>25900</v>
      </c>
      <c r="Q1380">
        <v>7100</v>
      </c>
      <c r="R1380">
        <v>21.52</v>
      </c>
      <c r="S1380" t="s">
        <v>79</v>
      </c>
      <c r="T1380">
        <v>2300</v>
      </c>
      <c r="U1380">
        <v>4.9000000000000004</v>
      </c>
      <c r="V1380" t="s">
        <v>58</v>
      </c>
    </row>
    <row r="1381" spans="1:22" x14ac:dyDescent="0.3">
      <c r="A1381" t="s">
        <v>2301</v>
      </c>
      <c r="B1381" t="s">
        <v>2302</v>
      </c>
      <c r="C1381" t="s">
        <v>2303</v>
      </c>
      <c r="D1381" s="2">
        <v>46335</v>
      </c>
      <c r="E1381" t="s">
        <v>26</v>
      </c>
      <c r="F1381" t="s">
        <v>26</v>
      </c>
      <c r="G1381" t="s">
        <v>103</v>
      </c>
      <c r="H1381" t="s">
        <v>68</v>
      </c>
      <c r="I1381" t="s">
        <v>29</v>
      </c>
      <c r="J1381" t="s">
        <v>30</v>
      </c>
      <c r="K1381">
        <v>9</v>
      </c>
      <c r="L1381">
        <v>5</v>
      </c>
      <c r="M1381">
        <v>43900</v>
      </c>
      <c r="N1381">
        <v>2200</v>
      </c>
      <c r="O1381">
        <v>41700</v>
      </c>
      <c r="P1381">
        <v>30800</v>
      </c>
      <c r="Q1381">
        <v>10900</v>
      </c>
      <c r="R1381">
        <v>26.14</v>
      </c>
      <c r="S1381" t="s">
        <v>97</v>
      </c>
      <c r="T1381">
        <v>4300</v>
      </c>
      <c r="U1381">
        <v>4.8</v>
      </c>
      <c r="V1381" t="s">
        <v>82</v>
      </c>
    </row>
    <row r="1382" spans="1:22" x14ac:dyDescent="0.3">
      <c r="A1382" t="s">
        <v>2486</v>
      </c>
      <c r="B1382" t="s">
        <v>2487</v>
      </c>
      <c r="C1382" t="s">
        <v>2488</v>
      </c>
      <c r="D1382" s="2">
        <v>46337</v>
      </c>
      <c r="E1382" t="s">
        <v>244</v>
      </c>
      <c r="F1382" t="s">
        <v>244</v>
      </c>
      <c r="G1382" t="s">
        <v>67</v>
      </c>
      <c r="H1382" t="s">
        <v>5470</v>
      </c>
      <c r="I1382" t="s">
        <v>29</v>
      </c>
      <c r="J1382" t="s">
        <v>30</v>
      </c>
      <c r="K1382">
        <v>4</v>
      </c>
      <c r="L1382">
        <v>46</v>
      </c>
      <c r="M1382">
        <v>66600</v>
      </c>
      <c r="N1382">
        <v>0</v>
      </c>
      <c r="O1382">
        <v>66600</v>
      </c>
      <c r="P1382">
        <v>50500</v>
      </c>
      <c r="Q1382">
        <v>16100</v>
      </c>
      <c r="R1382">
        <v>24.17</v>
      </c>
      <c r="S1382" t="s">
        <v>126</v>
      </c>
      <c r="T1382">
        <v>4000</v>
      </c>
      <c r="U1382">
        <v>4.2</v>
      </c>
      <c r="V1382" t="s">
        <v>82</v>
      </c>
    </row>
    <row r="1383" spans="1:22" x14ac:dyDescent="0.3">
      <c r="A1383" t="s">
        <v>4247</v>
      </c>
      <c r="B1383" t="s">
        <v>2915</v>
      </c>
      <c r="C1383" t="s">
        <v>2916</v>
      </c>
      <c r="D1383" s="2">
        <v>46337</v>
      </c>
      <c r="E1383" t="s">
        <v>228</v>
      </c>
      <c r="F1383" t="s">
        <v>228</v>
      </c>
      <c r="G1383" t="s">
        <v>580</v>
      </c>
      <c r="H1383" t="s">
        <v>229</v>
      </c>
      <c r="I1383" t="s">
        <v>69</v>
      </c>
      <c r="J1383" t="s">
        <v>30</v>
      </c>
      <c r="K1383">
        <v>5</v>
      </c>
      <c r="L1383">
        <v>21</v>
      </c>
      <c r="M1383">
        <v>61800</v>
      </c>
      <c r="N1383">
        <v>6200</v>
      </c>
      <c r="O1383">
        <v>55600</v>
      </c>
      <c r="P1383">
        <v>35000</v>
      </c>
      <c r="Q1383">
        <v>20600</v>
      </c>
      <c r="R1383">
        <v>37.049999999999997</v>
      </c>
      <c r="S1383" t="s">
        <v>79</v>
      </c>
      <c r="T1383">
        <v>2600</v>
      </c>
      <c r="U1383">
        <v>4</v>
      </c>
      <c r="V1383" t="s">
        <v>82</v>
      </c>
    </row>
    <row r="1384" spans="1:22" x14ac:dyDescent="0.3">
      <c r="A1384" t="s">
        <v>2799</v>
      </c>
      <c r="B1384" t="s">
        <v>2426</v>
      </c>
      <c r="C1384" t="s">
        <v>2427</v>
      </c>
      <c r="D1384" s="2">
        <v>46337</v>
      </c>
      <c r="E1384" t="s">
        <v>26</v>
      </c>
      <c r="F1384" t="s">
        <v>26</v>
      </c>
      <c r="G1384" t="s">
        <v>580</v>
      </c>
      <c r="H1384" t="s">
        <v>229</v>
      </c>
      <c r="I1384" t="s">
        <v>69</v>
      </c>
      <c r="J1384" t="s">
        <v>30</v>
      </c>
      <c r="K1384">
        <v>9</v>
      </c>
      <c r="L1384">
        <v>38</v>
      </c>
      <c r="M1384">
        <v>15400</v>
      </c>
      <c r="N1384">
        <v>3100</v>
      </c>
      <c r="O1384">
        <v>12300</v>
      </c>
      <c r="P1384">
        <v>6800</v>
      </c>
      <c r="Q1384">
        <v>5500</v>
      </c>
      <c r="R1384">
        <v>44.72</v>
      </c>
      <c r="S1384" t="s">
        <v>182</v>
      </c>
      <c r="T1384">
        <v>1000</v>
      </c>
      <c r="U1384">
        <v>3.7</v>
      </c>
      <c r="V1384" t="s">
        <v>82</v>
      </c>
    </row>
    <row r="1385" spans="1:22" x14ac:dyDescent="0.3">
      <c r="A1385" t="s">
        <v>3754</v>
      </c>
      <c r="B1385" t="s">
        <v>2233</v>
      </c>
      <c r="C1385" t="s">
        <v>2234</v>
      </c>
      <c r="D1385" s="2">
        <v>46337</v>
      </c>
      <c r="E1385" t="s">
        <v>66</v>
      </c>
      <c r="F1385" t="s">
        <v>66</v>
      </c>
      <c r="G1385" t="s">
        <v>213</v>
      </c>
      <c r="H1385" t="s">
        <v>28</v>
      </c>
      <c r="I1385" t="s">
        <v>69</v>
      </c>
      <c r="J1385" t="s">
        <v>30</v>
      </c>
      <c r="K1385">
        <v>5</v>
      </c>
      <c r="L1385">
        <v>61</v>
      </c>
      <c r="M1385">
        <v>47700</v>
      </c>
      <c r="N1385">
        <v>2400</v>
      </c>
      <c r="O1385">
        <v>45300</v>
      </c>
      <c r="P1385">
        <v>22000</v>
      </c>
      <c r="Q1385">
        <v>23300</v>
      </c>
      <c r="R1385">
        <v>51.43</v>
      </c>
      <c r="S1385" t="s">
        <v>39</v>
      </c>
      <c r="T1385">
        <v>3700</v>
      </c>
      <c r="U1385">
        <v>5</v>
      </c>
      <c r="V1385" t="s">
        <v>114</v>
      </c>
    </row>
    <row r="1386" spans="1:22" x14ac:dyDescent="0.3">
      <c r="A1386" t="s">
        <v>3673</v>
      </c>
      <c r="B1386" t="s">
        <v>2885</v>
      </c>
      <c r="C1386" t="s">
        <v>2886</v>
      </c>
      <c r="D1386" s="2">
        <v>46338</v>
      </c>
      <c r="E1386" t="s">
        <v>26</v>
      </c>
      <c r="F1386" t="s">
        <v>26</v>
      </c>
      <c r="G1386" t="s">
        <v>103</v>
      </c>
      <c r="H1386" t="s">
        <v>5470</v>
      </c>
      <c r="I1386" t="s">
        <v>69</v>
      </c>
      <c r="J1386" t="s">
        <v>30</v>
      </c>
      <c r="K1386">
        <v>10</v>
      </c>
      <c r="L1386">
        <v>25</v>
      </c>
      <c r="M1386">
        <v>84500</v>
      </c>
      <c r="N1386">
        <v>12700</v>
      </c>
      <c r="O1386">
        <v>71800</v>
      </c>
      <c r="P1386">
        <v>56700</v>
      </c>
      <c r="Q1386">
        <v>15100</v>
      </c>
      <c r="R1386">
        <v>21.03</v>
      </c>
      <c r="S1386" t="s">
        <v>126</v>
      </c>
      <c r="T1386">
        <v>4300</v>
      </c>
      <c r="U1386">
        <v>4.3</v>
      </c>
      <c r="V1386" t="s">
        <v>82</v>
      </c>
    </row>
    <row r="1387" spans="1:22" x14ac:dyDescent="0.3">
      <c r="A1387" t="s">
        <v>4119</v>
      </c>
      <c r="B1387" t="s">
        <v>1546</v>
      </c>
      <c r="C1387" t="s">
        <v>1547</v>
      </c>
      <c r="D1387" s="2">
        <v>46338</v>
      </c>
      <c r="E1387" t="s">
        <v>134</v>
      </c>
      <c r="F1387" t="s">
        <v>134</v>
      </c>
      <c r="G1387" t="s">
        <v>48</v>
      </c>
      <c r="H1387" t="s">
        <v>5470</v>
      </c>
      <c r="I1387" t="s">
        <v>29</v>
      </c>
      <c r="J1387" t="s">
        <v>70</v>
      </c>
      <c r="K1387">
        <v>4</v>
      </c>
      <c r="L1387">
        <v>32</v>
      </c>
      <c r="M1387">
        <v>51500</v>
      </c>
      <c r="N1387">
        <v>10300</v>
      </c>
      <c r="O1387">
        <v>41200</v>
      </c>
      <c r="P1387">
        <v>24900</v>
      </c>
      <c r="Q1387">
        <v>16300</v>
      </c>
      <c r="R1387">
        <v>39.56</v>
      </c>
      <c r="S1387" t="s">
        <v>126</v>
      </c>
      <c r="T1387">
        <v>5900</v>
      </c>
      <c r="U1387">
        <v>4.5999999999999996</v>
      </c>
      <c r="V1387" t="s">
        <v>82</v>
      </c>
    </row>
    <row r="1388" spans="1:22" x14ac:dyDescent="0.3">
      <c r="A1388" t="s">
        <v>2029</v>
      </c>
      <c r="B1388" t="s">
        <v>1512</v>
      </c>
      <c r="C1388" t="s">
        <v>1513</v>
      </c>
      <c r="D1388" s="2">
        <v>46338</v>
      </c>
      <c r="E1388" t="s">
        <v>282</v>
      </c>
      <c r="F1388" t="s">
        <v>282</v>
      </c>
      <c r="G1388" t="s">
        <v>48</v>
      </c>
      <c r="H1388" t="s">
        <v>49</v>
      </c>
      <c r="I1388" t="s">
        <v>69</v>
      </c>
      <c r="J1388" t="s">
        <v>162</v>
      </c>
      <c r="K1388">
        <v>7</v>
      </c>
      <c r="L1388">
        <v>66</v>
      </c>
      <c r="M1388">
        <v>22300</v>
      </c>
      <c r="N1388">
        <v>4500</v>
      </c>
      <c r="O1388">
        <v>17800</v>
      </c>
      <c r="P1388">
        <v>16300</v>
      </c>
      <c r="Q1388">
        <v>1500</v>
      </c>
      <c r="R1388">
        <v>8.43</v>
      </c>
      <c r="S1388" t="s">
        <v>58</v>
      </c>
      <c r="T1388">
        <v>2200</v>
      </c>
      <c r="U1388">
        <v>3.2</v>
      </c>
      <c r="V1388" t="s">
        <v>114</v>
      </c>
    </row>
    <row r="1389" spans="1:22" x14ac:dyDescent="0.3">
      <c r="A1389" t="s">
        <v>5414</v>
      </c>
      <c r="B1389" t="s">
        <v>1904</v>
      </c>
      <c r="C1389" t="s">
        <v>1905</v>
      </c>
      <c r="D1389" s="2">
        <v>46339</v>
      </c>
      <c r="E1389" t="s">
        <v>188</v>
      </c>
      <c r="F1389" t="s">
        <v>188</v>
      </c>
      <c r="G1389" t="s">
        <v>103</v>
      </c>
      <c r="H1389" t="s">
        <v>49</v>
      </c>
      <c r="I1389" t="s">
        <v>29</v>
      </c>
      <c r="J1389" t="s">
        <v>30</v>
      </c>
      <c r="K1389">
        <v>8</v>
      </c>
      <c r="L1389">
        <v>30</v>
      </c>
      <c r="M1389">
        <v>28700</v>
      </c>
      <c r="N1389">
        <v>4300</v>
      </c>
      <c r="O1389">
        <v>24400</v>
      </c>
      <c r="P1389">
        <v>21500</v>
      </c>
      <c r="Q1389">
        <v>2900</v>
      </c>
      <c r="R1389">
        <v>11.89</v>
      </c>
      <c r="S1389" t="s">
        <v>97</v>
      </c>
      <c r="T1389">
        <v>1600</v>
      </c>
      <c r="U1389">
        <v>5</v>
      </c>
      <c r="V1389" t="s">
        <v>114</v>
      </c>
    </row>
    <row r="1390" spans="1:22" x14ac:dyDescent="0.3">
      <c r="A1390" t="s">
        <v>2914</v>
      </c>
      <c r="B1390" t="s">
        <v>2915</v>
      </c>
      <c r="C1390" t="s">
        <v>2916</v>
      </c>
      <c r="D1390" s="2">
        <v>46339</v>
      </c>
      <c r="E1390" t="s">
        <v>26</v>
      </c>
      <c r="F1390" t="s">
        <v>26</v>
      </c>
      <c r="G1390" t="s">
        <v>118</v>
      </c>
      <c r="H1390" t="s">
        <v>68</v>
      </c>
      <c r="I1390" t="s">
        <v>69</v>
      </c>
      <c r="J1390" t="s">
        <v>30</v>
      </c>
      <c r="K1390">
        <v>5</v>
      </c>
      <c r="L1390">
        <v>5</v>
      </c>
      <c r="M1390">
        <v>15000</v>
      </c>
      <c r="N1390">
        <v>0</v>
      </c>
      <c r="O1390">
        <v>15000</v>
      </c>
      <c r="P1390">
        <v>12100</v>
      </c>
      <c r="Q1390">
        <v>2900</v>
      </c>
      <c r="R1390">
        <v>19.329999999999998</v>
      </c>
      <c r="S1390" t="s">
        <v>97</v>
      </c>
      <c r="T1390">
        <v>1200</v>
      </c>
      <c r="U1390">
        <v>3.4</v>
      </c>
      <c r="V1390" t="s">
        <v>42</v>
      </c>
    </row>
    <row r="1391" spans="1:22" x14ac:dyDescent="0.3">
      <c r="A1391" t="s">
        <v>1014</v>
      </c>
      <c r="B1391" t="s">
        <v>531</v>
      </c>
      <c r="C1391" t="s">
        <v>532</v>
      </c>
      <c r="D1391" s="2">
        <v>46340</v>
      </c>
      <c r="E1391" t="s">
        <v>282</v>
      </c>
      <c r="F1391" t="s">
        <v>282</v>
      </c>
      <c r="G1391" t="s">
        <v>67</v>
      </c>
      <c r="H1391" t="s">
        <v>68</v>
      </c>
      <c r="I1391" t="s">
        <v>29</v>
      </c>
      <c r="J1391" t="s">
        <v>162</v>
      </c>
      <c r="K1391">
        <v>2</v>
      </c>
      <c r="L1391">
        <v>5</v>
      </c>
      <c r="M1391">
        <v>43800</v>
      </c>
      <c r="N1391">
        <v>6600</v>
      </c>
      <c r="O1391">
        <v>37200</v>
      </c>
      <c r="P1391">
        <v>34800</v>
      </c>
      <c r="Q1391">
        <v>2400</v>
      </c>
      <c r="R1391">
        <v>6.45</v>
      </c>
      <c r="S1391" t="s">
        <v>39</v>
      </c>
      <c r="T1391">
        <v>2000</v>
      </c>
      <c r="U1391">
        <v>3.8</v>
      </c>
      <c r="V1391" t="s">
        <v>79</v>
      </c>
    </row>
    <row r="1392" spans="1:22" x14ac:dyDescent="0.3">
      <c r="A1392" t="s">
        <v>4862</v>
      </c>
      <c r="B1392" t="s">
        <v>795</v>
      </c>
      <c r="C1392" t="s">
        <v>796</v>
      </c>
      <c r="D1392" s="2">
        <v>46340</v>
      </c>
      <c r="E1392" t="s">
        <v>26</v>
      </c>
      <c r="F1392" t="s">
        <v>26</v>
      </c>
      <c r="G1392" t="s">
        <v>213</v>
      </c>
      <c r="H1392" t="s">
        <v>88</v>
      </c>
      <c r="I1392" t="s">
        <v>29</v>
      </c>
      <c r="J1392" t="s">
        <v>30</v>
      </c>
      <c r="K1392">
        <v>6</v>
      </c>
      <c r="L1392">
        <v>13</v>
      </c>
      <c r="M1392">
        <v>16400</v>
      </c>
      <c r="N1392">
        <v>0</v>
      </c>
      <c r="O1392">
        <v>16400</v>
      </c>
      <c r="P1392">
        <v>11800</v>
      </c>
      <c r="Q1392">
        <v>4600</v>
      </c>
      <c r="R1392">
        <v>28.05</v>
      </c>
      <c r="S1392" t="s">
        <v>182</v>
      </c>
      <c r="T1392">
        <v>1900</v>
      </c>
      <c r="U1392">
        <v>3.8</v>
      </c>
      <c r="V1392" t="s">
        <v>42</v>
      </c>
    </row>
    <row r="1393" spans="1:22" x14ac:dyDescent="0.3">
      <c r="A1393" t="s">
        <v>5272</v>
      </c>
      <c r="B1393" t="s">
        <v>2163</v>
      </c>
      <c r="C1393" t="s">
        <v>2164</v>
      </c>
      <c r="D1393" s="2">
        <v>46340</v>
      </c>
      <c r="E1393" t="s">
        <v>188</v>
      </c>
      <c r="F1393" t="s">
        <v>188</v>
      </c>
      <c r="G1393" t="s">
        <v>147</v>
      </c>
      <c r="H1393" t="s">
        <v>5470</v>
      </c>
      <c r="I1393" t="s">
        <v>69</v>
      </c>
      <c r="J1393" t="s">
        <v>257</v>
      </c>
      <c r="K1393">
        <v>6</v>
      </c>
      <c r="L1393">
        <v>76</v>
      </c>
      <c r="M1393">
        <v>38000</v>
      </c>
      <c r="N1393">
        <v>1900</v>
      </c>
      <c r="O1393">
        <v>36100</v>
      </c>
      <c r="P1393">
        <v>25100</v>
      </c>
      <c r="Q1393">
        <v>11000</v>
      </c>
      <c r="R1393">
        <v>30.47</v>
      </c>
      <c r="S1393" t="s">
        <v>97</v>
      </c>
      <c r="T1393">
        <v>4700</v>
      </c>
      <c r="U1393">
        <v>2.8</v>
      </c>
      <c r="V1393" t="s">
        <v>79</v>
      </c>
    </row>
    <row r="1394" spans="1:22" x14ac:dyDescent="0.3">
      <c r="A1394" t="s">
        <v>5422</v>
      </c>
      <c r="B1394" t="s">
        <v>2938</v>
      </c>
      <c r="C1394" t="s">
        <v>2939</v>
      </c>
      <c r="D1394" s="2">
        <v>46341</v>
      </c>
      <c r="E1394" t="s">
        <v>161</v>
      </c>
      <c r="F1394" t="s">
        <v>161</v>
      </c>
      <c r="G1394" t="s">
        <v>213</v>
      </c>
      <c r="H1394" t="s">
        <v>28</v>
      </c>
      <c r="I1394" t="s">
        <v>69</v>
      </c>
      <c r="J1394" t="s">
        <v>30</v>
      </c>
      <c r="K1394">
        <v>4</v>
      </c>
      <c r="L1394">
        <v>25</v>
      </c>
      <c r="M1394">
        <v>48600</v>
      </c>
      <c r="N1394">
        <v>4900</v>
      </c>
      <c r="O1394">
        <v>43700</v>
      </c>
      <c r="P1394">
        <v>21800</v>
      </c>
      <c r="Q1394">
        <v>21900</v>
      </c>
      <c r="R1394">
        <v>50.11</v>
      </c>
      <c r="S1394" t="s">
        <v>182</v>
      </c>
      <c r="T1394">
        <v>3900</v>
      </c>
      <c r="U1394">
        <v>3.8</v>
      </c>
      <c r="V1394" t="s">
        <v>114</v>
      </c>
    </row>
    <row r="1395" spans="1:22" x14ac:dyDescent="0.3">
      <c r="A1395" t="s">
        <v>4707</v>
      </c>
      <c r="B1395" t="s">
        <v>2971</v>
      </c>
      <c r="C1395" t="s">
        <v>2972</v>
      </c>
      <c r="D1395" s="2">
        <v>46341</v>
      </c>
      <c r="E1395" t="s">
        <v>282</v>
      </c>
      <c r="F1395" t="s">
        <v>282</v>
      </c>
      <c r="G1395" t="s">
        <v>27</v>
      </c>
      <c r="H1395" t="s">
        <v>214</v>
      </c>
      <c r="I1395" t="s">
        <v>69</v>
      </c>
      <c r="J1395" t="s">
        <v>30</v>
      </c>
      <c r="K1395">
        <v>6</v>
      </c>
      <c r="L1395">
        <v>34</v>
      </c>
      <c r="M1395">
        <v>44800</v>
      </c>
      <c r="N1395">
        <v>4500</v>
      </c>
      <c r="O1395">
        <v>40300</v>
      </c>
      <c r="P1395">
        <v>20500</v>
      </c>
      <c r="Q1395">
        <v>19800</v>
      </c>
      <c r="R1395">
        <v>49.13</v>
      </c>
      <c r="S1395" t="s">
        <v>58</v>
      </c>
      <c r="T1395">
        <v>2400</v>
      </c>
      <c r="U1395">
        <v>4</v>
      </c>
      <c r="V1395" t="s">
        <v>79</v>
      </c>
    </row>
    <row r="1396" spans="1:22" x14ac:dyDescent="0.3">
      <c r="A1396" t="s">
        <v>4868</v>
      </c>
      <c r="B1396" t="s">
        <v>1046</v>
      </c>
      <c r="C1396" t="s">
        <v>1047</v>
      </c>
      <c r="D1396" s="2">
        <v>46342</v>
      </c>
      <c r="E1396" t="s">
        <v>66</v>
      </c>
      <c r="F1396" t="s">
        <v>66</v>
      </c>
      <c r="G1396" t="s">
        <v>103</v>
      </c>
      <c r="H1396" t="s">
        <v>5470</v>
      </c>
      <c r="I1396" t="s">
        <v>69</v>
      </c>
      <c r="J1396" t="s">
        <v>257</v>
      </c>
      <c r="K1396">
        <v>3</v>
      </c>
      <c r="L1396">
        <v>42</v>
      </c>
      <c r="M1396">
        <v>17100</v>
      </c>
      <c r="N1396">
        <v>900</v>
      </c>
      <c r="O1396">
        <v>16200</v>
      </c>
      <c r="P1396">
        <v>9400</v>
      </c>
      <c r="Q1396">
        <v>6800</v>
      </c>
      <c r="R1396">
        <v>41.98</v>
      </c>
      <c r="S1396" t="s">
        <v>126</v>
      </c>
      <c r="T1396">
        <v>1300</v>
      </c>
      <c r="U1396">
        <v>3.1</v>
      </c>
      <c r="V1396" t="s">
        <v>114</v>
      </c>
    </row>
    <row r="1397" spans="1:22" x14ac:dyDescent="0.3">
      <c r="A1397" t="s">
        <v>5227</v>
      </c>
      <c r="B1397" t="s">
        <v>1399</v>
      </c>
      <c r="C1397" t="s">
        <v>1400</v>
      </c>
      <c r="D1397" s="2">
        <v>46342</v>
      </c>
      <c r="E1397" t="s">
        <v>188</v>
      </c>
      <c r="F1397" t="s">
        <v>188</v>
      </c>
      <c r="G1397" t="s">
        <v>213</v>
      </c>
      <c r="H1397" t="s">
        <v>49</v>
      </c>
      <c r="I1397" t="s">
        <v>69</v>
      </c>
      <c r="J1397" t="s">
        <v>30</v>
      </c>
      <c r="K1397">
        <v>3</v>
      </c>
      <c r="L1397">
        <v>63</v>
      </c>
      <c r="M1397">
        <v>37500</v>
      </c>
      <c r="N1397">
        <v>3800</v>
      </c>
      <c r="O1397">
        <v>33700</v>
      </c>
      <c r="P1397">
        <v>24000</v>
      </c>
      <c r="Q1397">
        <v>9700</v>
      </c>
      <c r="R1397">
        <v>28.78</v>
      </c>
      <c r="S1397" t="s">
        <v>182</v>
      </c>
      <c r="T1397">
        <v>4200</v>
      </c>
      <c r="U1397">
        <v>3.3</v>
      </c>
      <c r="V1397" t="s">
        <v>114</v>
      </c>
    </row>
    <row r="1398" spans="1:22" x14ac:dyDescent="0.3">
      <c r="A1398" t="s">
        <v>5214</v>
      </c>
      <c r="B1398" t="s">
        <v>1945</v>
      </c>
      <c r="C1398" t="s">
        <v>1946</v>
      </c>
      <c r="D1398" s="2">
        <v>46342</v>
      </c>
      <c r="E1398" t="s">
        <v>228</v>
      </c>
      <c r="F1398" t="s">
        <v>228</v>
      </c>
      <c r="G1398" t="s">
        <v>213</v>
      </c>
      <c r="H1398" t="s">
        <v>88</v>
      </c>
      <c r="I1398" t="s">
        <v>69</v>
      </c>
      <c r="J1398" t="s">
        <v>30</v>
      </c>
      <c r="K1398">
        <v>4</v>
      </c>
      <c r="L1398">
        <v>25</v>
      </c>
      <c r="M1398">
        <v>50700</v>
      </c>
      <c r="N1398">
        <v>0</v>
      </c>
      <c r="O1398">
        <v>50700</v>
      </c>
      <c r="P1398">
        <v>39400</v>
      </c>
      <c r="Q1398">
        <v>11300</v>
      </c>
      <c r="R1398">
        <v>22.29</v>
      </c>
      <c r="S1398" t="s">
        <v>58</v>
      </c>
      <c r="T1398">
        <v>4300</v>
      </c>
      <c r="U1398">
        <v>2.6</v>
      </c>
      <c r="V1398" t="s">
        <v>114</v>
      </c>
    </row>
    <row r="1399" spans="1:22" x14ac:dyDescent="0.3">
      <c r="A1399" t="s">
        <v>2686</v>
      </c>
      <c r="B1399" t="s">
        <v>2687</v>
      </c>
      <c r="C1399" t="s">
        <v>2688</v>
      </c>
      <c r="D1399" s="2">
        <v>46342</v>
      </c>
      <c r="E1399" t="s">
        <v>134</v>
      </c>
      <c r="F1399" t="s">
        <v>134</v>
      </c>
      <c r="G1399" t="s">
        <v>48</v>
      </c>
      <c r="H1399" t="s">
        <v>214</v>
      </c>
      <c r="I1399" t="s">
        <v>29</v>
      </c>
      <c r="J1399" t="s">
        <v>30</v>
      </c>
      <c r="K1399">
        <v>5</v>
      </c>
      <c r="L1399">
        <v>30</v>
      </c>
      <c r="M1399">
        <v>74500</v>
      </c>
      <c r="N1399">
        <v>0</v>
      </c>
      <c r="O1399">
        <v>74500</v>
      </c>
      <c r="P1399">
        <v>32200</v>
      </c>
      <c r="Q1399">
        <v>42300</v>
      </c>
      <c r="R1399">
        <v>56.78</v>
      </c>
      <c r="S1399" t="s">
        <v>58</v>
      </c>
      <c r="T1399">
        <v>5000</v>
      </c>
      <c r="U1399">
        <v>3.3</v>
      </c>
      <c r="V1399" t="s">
        <v>42</v>
      </c>
    </row>
    <row r="1400" spans="1:22" x14ac:dyDescent="0.3">
      <c r="A1400" t="s">
        <v>1324</v>
      </c>
      <c r="B1400" t="s">
        <v>1325</v>
      </c>
      <c r="C1400" t="s">
        <v>1326</v>
      </c>
      <c r="D1400" s="2">
        <v>46344</v>
      </c>
      <c r="E1400" t="s">
        <v>26</v>
      </c>
      <c r="F1400" t="s">
        <v>26</v>
      </c>
      <c r="G1400" t="s">
        <v>118</v>
      </c>
      <c r="H1400" t="s">
        <v>268</v>
      </c>
      <c r="I1400" t="s">
        <v>69</v>
      </c>
      <c r="J1400" t="s">
        <v>30</v>
      </c>
      <c r="K1400">
        <v>8</v>
      </c>
      <c r="L1400">
        <v>7</v>
      </c>
      <c r="M1400">
        <v>76300</v>
      </c>
      <c r="N1400">
        <v>11400</v>
      </c>
      <c r="O1400">
        <v>64900</v>
      </c>
      <c r="P1400">
        <v>55600</v>
      </c>
      <c r="Q1400">
        <v>9300</v>
      </c>
      <c r="R1400">
        <v>14.33</v>
      </c>
      <c r="S1400" t="s">
        <v>79</v>
      </c>
      <c r="T1400">
        <v>5700</v>
      </c>
      <c r="U1400">
        <v>3.4</v>
      </c>
      <c r="V1400" t="s">
        <v>114</v>
      </c>
    </row>
    <row r="1401" spans="1:22" x14ac:dyDescent="0.3">
      <c r="A1401" t="s">
        <v>4109</v>
      </c>
      <c r="B1401" t="s">
        <v>4110</v>
      </c>
      <c r="C1401" t="s">
        <v>4111</v>
      </c>
      <c r="D1401" s="2">
        <v>46345</v>
      </c>
      <c r="E1401" t="s">
        <v>228</v>
      </c>
      <c r="F1401" t="s">
        <v>228</v>
      </c>
      <c r="G1401" t="s">
        <v>580</v>
      </c>
      <c r="H1401" t="s">
        <v>229</v>
      </c>
      <c r="I1401" t="s">
        <v>29</v>
      </c>
      <c r="J1401" t="s">
        <v>70</v>
      </c>
      <c r="K1401">
        <v>2</v>
      </c>
      <c r="L1401">
        <v>32</v>
      </c>
      <c r="M1401">
        <v>42400</v>
      </c>
      <c r="N1401">
        <v>0</v>
      </c>
      <c r="O1401">
        <v>42400</v>
      </c>
      <c r="P1401">
        <v>32300</v>
      </c>
      <c r="Q1401">
        <v>10100</v>
      </c>
      <c r="R1401">
        <v>23.82</v>
      </c>
      <c r="S1401" t="s">
        <v>79</v>
      </c>
      <c r="T1401">
        <v>5900</v>
      </c>
      <c r="U1401">
        <v>2.9</v>
      </c>
      <c r="V1401" t="s">
        <v>114</v>
      </c>
    </row>
    <row r="1402" spans="1:22" x14ac:dyDescent="0.3">
      <c r="A1402" t="s">
        <v>3505</v>
      </c>
      <c r="B1402" t="s">
        <v>2426</v>
      </c>
      <c r="C1402" t="s">
        <v>2427</v>
      </c>
      <c r="D1402" s="2">
        <v>46345</v>
      </c>
      <c r="E1402" t="s">
        <v>282</v>
      </c>
      <c r="F1402" t="s">
        <v>282</v>
      </c>
      <c r="G1402" t="s">
        <v>103</v>
      </c>
      <c r="H1402" t="s">
        <v>214</v>
      </c>
      <c r="I1402" t="s">
        <v>69</v>
      </c>
      <c r="J1402" t="s">
        <v>257</v>
      </c>
      <c r="K1402">
        <v>3</v>
      </c>
      <c r="M1402">
        <v>33300</v>
      </c>
      <c r="N1402">
        <v>1700</v>
      </c>
      <c r="O1402">
        <v>31600</v>
      </c>
      <c r="P1402">
        <v>18800</v>
      </c>
      <c r="Q1402">
        <v>12800</v>
      </c>
      <c r="R1402">
        <v>40.51</v>
      </c>
      <c r="S1402" t="s">
        <v>126</v>
      </c>
      <c r="T1402">
        <v>2800</v>
      </c>
      <c r="U1402">
        <v>4.5999999999999996</v>
      </c>
      <c r="V1402" t="s">
        <v>58</v>
      </c>
    </row>
    <row r="1403" spans="1:22" x14ac:dyDescent="0.3">
      <c r="A1403" t="s">
        <v>4202</v>
      </c>
      <c r="B1403" t="s">
        <v>660</v>
      </c>
      <c r="C1403" t="s">
        <v>661</v>
      </c>
      <c r="D1403" s="2">
        <v>46346</v>
      </c>
      <c r="E1403" t="s">
        <v>282</v>
      </c>
      <c r="F1403" t="s">
        <v>282</v>
      </c>
      <c r="G1403" t="s">
        <v>147</v>
      </c>
      <c r="H1403" t="s">
        <v>88</v>
      </c>
      <c r="I1403" t="s">
        <v>69</v>
      </c>
      <c r="J1403" t="s">
        <v>30</v>
      </c>
      <c r="K1403">
        <v>3</v>
      </c>
      <c r="L1403">
        <v>42</v>
      </c>
      <c r="M1403">
        <v>107000</v>
      </c>
      <c r="N1403">
        <v>0</v>
      </c>
      <c r="O1403">
        <v>107000</v>
      </c>
      <c r="P1403">
        <v>48300</v>
      </c>
      <c r="Q1403">
        <v>58700</v>
      </c>
      <c r="R1403">
        <v>54.86</v>
      </c>
      <c r="S1403" t="s">
        <v>39</v>
      </c>
      <c r="T1403">
        <v>13600</v>
      </c>
      <c r="U1403">
        <v>5</v>
      </c>
      <c r="V1403" t="s">
        <v>114</v>
      </c>
    </row>
    <row r="1404" spans="1:22" x14ac:dyDescent="0.3">
      <c r="A1404" t="s">
        <v>5153</v>
      </c>
      <c r="B1404" t="s">
        <v>1881</v>
      </c>
      <c r="C1404" t="s">
        <v>1882</v>
      </c>
      <c r="D1404" s="2">
        <v>46346</v>
      </c>
      <c r="E1404" t="s">
        <v>134</v>
      </c>
      <c r="F1404" t="s">
        <v>134</v>
      </c>
      <c r="G1404" t="s">
        <v>48</v>
      </c>
      <c r="H1404" t="s">
        <v>68</v>
      </c>
      <c r="I1404" t="s">
        <v>69</v>
      </c>
      <c r="J1404" t="s">
        <v>30</v>
      </c>
      <c r="K1404">
        <v>4</v>
      </c>
      <c r="L1404">
        <v>70</v>
      </c>
      <c r="M1404">
        <v>31300</v>
      </c>
      <c r="N1404">
        <v>0</v>
      </c>
      <c r="O1404">
        <v>31300</v>
      </c>
      <c r="P1404">
        <v>19600</v>
      </c>
      <c r="Q1404">
        <v>11700</v>
      </c>
      <c r="R1404">
        <v>37.380000000000003</v>
      </c>
      <c r="S1404" t="s">
        <v>79</v>
      </c>
      <c r="T1404">
        <v>1900</v>
      </c>
      <c r="U1404">
        <v>4</v>
      </c>
      <c r="V1404" t="s">
        <v>58</v>
      </c>
    </row>
    <row r="1405" spans="1:22" x14ac:dyDescent="0.3">
      <c r="A1405" t="s">
        <v>5276</v>
      </c>
      <c r="B1405" t="s">
        <v>2817</v>
      </c>
      <c r="C1405" t="s">
        <v>2818</v>
      </c>
      <c r="D1405" s="2">
        <v>46346</v>
      </c>
      <c r="E1405" t="s">
        <v>188</v>
      </c>
      <c r="F1405" t="s">
        <v>188</v>
      </c>
      <c r="G1405" t="s">
        <v>118</v>
      </c>
      <c r="H1405" t="s">
        <v>5471</v>
      </c>
      <c r="I1405" t="s">
        <v>69</v>
      </c>
      <c r="J1405" t="s">
        <v>70</v>
      </c>
      <c r="K1405">
        <v>8</v>
      </c>
      <c r="L1405">
        <v>72</v>
      </c>
      <c r="M1405">
        <v>53900</v>
      </c>
      <c r="N1405">
        <v>0</v>
      </c>
      <c r="O1405">
        <v>53900</v>
      </c>
      <c r="P1405">
        <v>37300</v>
      </c>
      <c r="Q1405">
        <v>16600</v>
      </c>
      <c r="R1405">
        <v>30.8</v>
      </c>
      <c r="S1405" t="s">
        <v>58</v>
      </c>
      <c r="T1405">
        <v>8000</v>
      </c>
      <c r="U1405">
        <v>5</v>
      </c>
      <c r="V1405" t="s">
        <v>58</v>
      </c>
    </row>
    <row r="1406" spans="1:22" x14ac:dyDescent="0.3">
      <c r="A1406" t="s">
        <v>3797</v>
      </c>
      <c r="B1406" t="s">
        <v>1245</v>
      </c>
      <c r="C1406" t="s">
        <v>1246</v>
      </c>
      <c r="D1406" s="2">
        <v>46347</v>
      </c>
      <c r="E1406" t="s">
        <v>188</v>
      </c>
      <c r="F1406" t="s">
        <v>188</v>
      </c>
      <c r="G1406" t="s">
        <v>213</v>
      </c>
      <c r="H1406" t="s">
        <v>68</v>
      </c>
      <c r="I1406" t="s">
        <v>69</v>
      </c>
      <c r="J1406" t="s">
        <v>70</v>
      </c>
      <c r="K1406">
        <v>8</v>
      </c>
      <c r="L1406">
        <v>42</v>
      </c>
      <c r="M1406">
        <v>50200</v>
      </c>
      <c r="N1406">
        <v>5000</v>
      </c>
      <c r="O1406">
        <v>45200</v>
      </c>
      <c r="P1406">
        <v>38400</v>
      </c>
      <c r="Q1406">
        <v>6800</v>
      </c>
      <c r="R1406">
        <v>15.04</v>
      </c>
      <c r="S1406" t="s">
        <v>39</v>
      </c>
      <c r="T1406">
        <v>2300</v>
      </c>
      <c r="U1406">
        <v>5</v>
      </c>
      <c r="V1406" t="s">
        <v>114</v>
      </c>
    </row>
    <row r="1407" spans="1:22" x14ac:dyDescent="0.3">
      <c r="A1407" t="s">
        <v>1727</v>
      </c>
      <c r="B1407" t="s">
        <v>1535</v>
      </c>
      <c r="C1407" t="s">
        <v>1536</v>
      </c>
      <c r="D1407" s="2">
        <v>46347</v>
      </c>
      <c r="E1407" t="s">
        <v>66</v>
      </c>
      <c r="F1407" t="s">
        <v>66</v>
      </c>
      <c r="G1407" t="s">
        <v>103</v>
      </c>
      <c r="H1407" t="s">
        <v>49</v>
      </c>
      <c r="I1407" t="s">
        <v>69</v>
      </c>
      <c r="J1407" t="s">
        <v>30</v>
      </c>
      <c r="K1407">
        <v>10</v>
      </c>
      <c r="L1407">
        <v>22</v>
      </c>
      <c r="M1407">
        <v>104200</v>
      </c>
      <c r="N1407">
        <v>0</v>
      </c>
      <c r="O1407">
        <v>104200</v>
      </c>
      <c r="P1407">
        <v>62500</v>
      </c>
      <c r="Q1407">
        <v>41700</v>
      </c>
      <c r="R1407">
        <v>40.020000000000003</v>
      </c>
      <c r="S1407" t="s">
        <v>58</v>
      </c>
      <c r="T1407">
        <v>12100</v>
      </c>
      <c r="U1407">
        <v>3.9</v>
      </c>
      <c r="V1407" t="s">
        <v>82</v>
      </c>
    </row>
    <row r="1408" spans="1:22" x14ac:dyDescent="0.3">
      <c r="A1408" t="s">
        <v>5073</v>
      </c>
      <c r="B1408" t="s">
        <v>2187</v>
      </c>
      <c r="C1408" t="s">
        <v>2188</v>
      </c>
      <c r="D1408" s="2">
        <v>46348</v>
      </c>
      <c r="E1408" t="s">
        <v>188</v>
      </c>
      <c r="F1408" t="s">
        <v>188</v>
      </c>
      <c r="G1408" t="s">
        <v>118</v>
      </c>
      <c r="H1408" t="s">
        <v>28</v>
      </c>
      <c r="I1408" t="s">
        <v>69</v>
      </c>
      <c r="J1408" t="s">
        <v>30</v>
      </c>
      <c r="K1408">
        <v>9</v>
      </c>
      <c r="L1408">
        <v>33</v>
      </c>
      <c r="M1408">
        <v>24200</v>
      </c>
      <c r="N1408">
        <v>1200</v>
      </c>
      <c r="O1408">
        <v>23000</v>
      </c>
      <c r="P1408">
        <v>14800</v>
      </c>
      <c r="Q1408">
        <v>8200</v>
      </c>
      <c r="R1408">
        <v>35.65</v>
      </c>
      <c r="S1408" t="s">
        <v>58</v>
      </c>
      <c r="T1408">
        <v>2400</v>
      </c>
      <c r="U1408">
        <v>4</v>
      </c>
      <c r="V1408" t="s">
        <v>42</v>
      </c>
    </row>
    <row r="1409" spans="1:22" x14ac:dyDescent="0.3">
      <c r="A1409" t="s">
        <v>2126</v>
      </c>
      <c r="B1409" t="s">
        <v>1697</v>
      </c>
      <c r="C1409" t="s">
        <v>1698</v>
      </c>
      <c r="D1409" s="2">
        <v>46348</v>
      </c>
      <c r="E1409" t="s">
        <v>26</v>
      </c>
      <c r="F1409" t="s">
        <v>26</v>
      </c>
      <c r="G1409" t="s">
        <v>147</v>
      </c>
      <c r="H1409" t="s">
        <v>88</v>
      </c>
      <c r="I1409" t="s">
        <v>69</v>
      </c>
      <c r="J1409" t="s">
        <v>30</v>
      </c>
      <c r="K1409">
        <v>3</v>
      </c>
      <c r="L1409">
        <v>23</v>
      </c>
      <c r="M1409">
        <v>22100</v>
      </c>
      <c r="N1409">
        <v>0</v>
      </c>
      <c r="O1409">
        <v>22100</v>
      </c>
      <c r="P1409">
        <v>17600</v>
      </c>
      <c r="Q1409">
        <v>4500</v>
      </c>
      <c r="R1409">
        <v>20.36</v>
      </c>
      <c r="S1409" t="s">
        <v>79</v>
      </c>
      <c r="T1409">
        <v>3000</v>
      </c>
      <c r="U1409">
        <v>4.0999999999999996</v>
      </c>
      <c r="V1409" t="s">
        <v>42</v>
      </c>
    </row>
    <row r="1410" spans="1:22" x14ac:dyDescent="0.3">
      <c r="A1410" t="s">
        <v>2704</v>
      </c>
      <c r="B1410" t="s">
        <v>2705</v>
      </c>
      <c r="C1410" t="s">
        <v>2706</v>
      </c>
      <c r="D1410" s="2">
        <v>46349</v>
      </c>
      <c r="E1410" t="s">
        <v>26</v>
      </c>
      <c r="F1410" t="s">
        <v>26</v>
      </c>
      <c r="G1410" t="s">
        <v>48</v>
      </c>
      <c r="H1410" t="s">
        <v>88</v>
      </c>
      <c r="I1410" t="s">
        <v>69</v>
      </c>
      <c r="J1410" t="s">
        <v>30</v>
      </c>
      <c r="K1410">
        <v>9</v>
      </c>
      <c r="L1410">
        <v>42</v>
      </c>
      <c r="M1410">
        <v>79200</v>
      </c>
      <c r="N1410">
        <v>15800</v>
      </c>
      <c r="O1410">
        <v>63400</v>
      </c>
      <c r="P1410">
        <v>43300</v>
      </c>
      <c r="Q1410">
        <v>20100</v>
      </c>
      <c r="R1410">
        <v>31.7</v>
      </c>
      <c r="S1410" t="s">
        <v>79</v>
      </c>
      <c r="T1410">
        <v>8500</v>
      </c>
      <c r="U1410">
        <v>5</v>
      </c>
      <c r="V1410" t="s">
        <v>42</v>
      </c>
    </row>
    <row r="1411" spans="1:22" x14ac:dyDescent="0.3">
      <c r="A1411" t="s">
        <v>3193</v>
      </c>
      <c r="B1411" t="s">
        <v>279</v>
      </c>
      <c r="C1411" t="s">
        <v>280</v>
      </c>
      <c r="D1411" s="2">
        <v>46350</v>
      </c>
      <c r="E1411" t="s">
        <v>26</v>
      </c>
      <c r="F1411" t="s">
        <v>26</v>
      </c>
      <c r="G1411" t="s">
        <v>580</v>
      </c>
      <c r="H1411" t="s">
        <v>28</v>
      </c>
      <c r="I1411" t="s">
        <v>69</v>
      </c>
      <c r="J1411" t="s">
        <v>30</v>
      </c>
      <c r="K1411">
        <v>4</v>
      </c>
      <c r="L1411">
        <v>26</v>
      </c>
      <c r="M1411">
        <v>56900</v>
      </c>
      <c r="N1411">
        <v>0</v>
      </c>
      <c r="O1411">
        <v>56900</v>
      </c>
      <c r="P1411">
        <v>46000</v>
      </c>
      <c r="Q1411">
        <v>10900</v>
      </c>
      <c r="R1411">
        <v>19.16</v>
      </c>
      <c r="S1411" t="s">
        <v>97</v>
      </c>
      <c r="T1411">
        <v>9700</v>
      </c>
      <c r="U1411">
        <v>3.5</v>
      </c>
      <c r="V1411" t="s">
        <v>58</v>
      </c>
    </row>
    <row r="1412" spans="1:22" x14ac:dyDescent="0.3">
      <c r="A1412" t="s">
        <v>3780</v>
      </c>
      <c r="B1412" t="s">
        <v>1535</v>
      </c>
      <c r="C1412" t="s">
        <v>1536</v>
      </c>
      <c r="D1412" s="2">
        <v>46350</v>
      </c>
      <c r="E1412" t="s">
        <v>188</v>
      </c>
      <c r="F1412" t="s">
        <v>188</v>
      </c>
      <c r="G1412" t="s">
        <v>580</v>
      </c>
      <c r="H1412" t="s">
        <v>5470</v>
      </c>
      <c r="I1412" t="s">
        <v>69</v>
      </c>
      <c r="J1412" t="s">
        <v>70</v>
      </c>
      <c r="K1412">
        <v>5</v>
      </c>
      <c r="L1412">
        <v>48</v>
      </c>
      <c r="M1412">
        <v>15000</v>
      </c>
      <c r="N1412">
        <v>0</v>
      </c>
      <c r="O1412">
        <v>15000</v>
      </c>
      <c r="P1412">
        <v>6700</v>
      </c>
      <c r="Q1412">
        <v>8300</v>
      </c>
      <c r="R1412">
        <v>55.33</v>
      </c>
      <c r="S1412" t="s">
        <v>126</v>
      </c>
      <c r="T1412">
        <v>1600</v>
      </c>
      <c r="U1412">
        <v>3.7</v>
      </c>
      <c r="V1412" t="s">
        <v>79</v>
      </c>
    </row>
    <row r="1413" spans="1:22" x14ac:dyDescent="0.3">
      <c r="A1413" t="s">
        <v>3725</v>
      </c>
      <c r="B1413" t="s">
        <v>2464</v>
      </c>
      <c r="C1413" t="s">
        <v>2465</v>
      </c>
      <c r="D1413" s="2">
        <v>46351</v>
      </c>
      <c r="E1413" t="s">
        <v>134</v>
      </c>
      <c r="F1413" t="s">
        <v>134</v>
      </c>
      <c r="G1413" t="s">
        <v>213</v>
      </c>
      <c r="H1413" t="s">
        <v>88</v>
      </c>
      <c r="I1413" t="s">
        <v>29</v>
      </c>
      <c r="J1413" t="s">
        <v>30</v>
      </c>
      <c r="K1413">
        <v>5</v>
      </c>
      <c r="L1413">
        <v>25</v>
      </c>
      <c r="M1413">
        <v>141000</v>
      </c>
      <c r="N1413">
        <v>0</v>
      </c>
      <c r="O1413">
        <v>141000</v>
      </c>
      <c r="P1413">
        <v>71600</v>
      </c>
      <c r="Q1413">
        <v>69400</v>
      </c>
      <c r="R1413">
        <v>49.22</v>
      </c>
      <c r="S1413" t="s">
        <v>126</v>
      </c>
      <c r="T1413">
        <v>9700</v>
      </c>
      <c r="U1413">
        <v>3.9</v>
      </c>
      <c r="V1413" t="s">
        <v>82</v>
      </c>
    </row>
    <row r="1414" spans="1:22" x14ac:dyDescent="0.3">
      <c r="A1414" t="s">
        <v>3986</v>
      </c>
      <c r="B1414" t="s">
        <v>818</v>
      </c>
      <c r="C1414" t="s">
        <v>819</v>
      </c>
      <c r="D1414" s="2">
        <v>46351</v>
      </c>
      <c r="E1414" t="s">
        <v>26</v>
      </c>
      <c r="F1414" t="s">
        <v>26</v>
      </c>
      <c r="G1414" t="s">
        <v>48</v>
      </c>
      <c r="H1414" t="s">
        <v>28</v>
      </c>
      <c r="I1414" t="s">
        <v>29</v>
      </c>
      <c r="J1414" t="s">
        <v>30</v>
      </c>
      <c r="K1414">
        <v>2</v>
      </c>
      <c r="L1414">
        <v>51</v>
      </c>
      <c r="M1414">
        <v>24700</v>
      </c>
      <c r="N1414">
        <v>3700</v>
      </c>
      <c r="O1414">
        <v>21000</v>
      </c>
      <c r="P1414">
        <v>10900</v>
      </c>
      <c r="Q1414">
        <v>10100</v>
      </c>
      <c r="R1414">
        <v>48.1</v>
      </c>
      <c r="S1414" t="s">
        <v>39</v>
      </c>
      <c r="T1414">
        <v>1200</v>
      </c>
      <c r="U1414">
        <v>4.8</v>
      </c>
      <c r="V1414" t="s">
        <v>58</v>
      </c>
    </row>
    <row r="1415" spans="1:22" x14ac:dyDescent="0.3">
      <c r="A1415" t="s">
        <v>4816</v>
      </c>
      <c r="B1415" t="s">
        <v>4817</v>
      </c>
      <c r="C1415" t="s">
        <v>4818</v>
      </c>
      <c r="D1415" s="2">
        <v>46352</v>
      </c>
      <c r="E1415" t="s">
        <v>66</v>
      </c>
      <c r="F1415" t="s">
        <v>66</v>
      </c>
      <c r="G1415" t="s">
        <v>103</v>
      </c>
      <c r="H1415" t="s">
        <v>229</v>
      </c>
      <c r="I1415" t="s">
        <v>29</v>
      </c>
      <c r="J1415" t="s">
        <v>30</v>
      </c>
      <c r="K1415">
        <v>7</v>
      </c>
      <c r="L1415">
        <v>21</v>
      </c>
      <c r="M1415">
        <v>79600</v>
      </c>
      <c r="N1415">
        <v>0</v>
      </c>
      <c r="O1415">
        <v>79600</v>
      </c>
      <c r="P1415">
        <v>48200</v>
      </c>
      <c r="Q1415">
        <v>31400</v>
      </c>
      <c r="R1415">
        <v>39.450000000000003</v>
      </c>
      <c r="S1415" t="s">
        <v>39</v>
      </c>
      <c r="T1415">
        <v>8100</v>
      </c>
      <c r="U1415">
        <v>5</v>
      </c>
      <c r="V1415" t="s">
        <v>42</v>
      </c>
    </row>
    <row r="1416" spans="1:22" x14ac:dyDescent="0.3">
      <c r="A1416" t="s">
        <v>2725</v>
      </c>
      <c r="B1416" t="s">
        <v>1306</v>
      </c>
      <c r="C1416" t="s">
        <v>1307</v>
      </c>
      <c r="D1416" s="2">
        <v>46352</v>
      </c>
      <c r="E1416" t="s">
        <v>244</v>
      </c>
      <c r="F1416" t="s">
        <v>244</v>
      </c>
      <c r="G1416" t="s">
        <v>147</v>
      </c>
      <c r="H1416" t="s">
        <v>28</v>
      </c>
      <c r="I1416" t="s">
        <v>69</v>
      </c>
      <c r="J1416" t="s">
        <v>30</v>
      </c>
      <c r="K1416">
        <v>8</v>
      </c>
      <c r="L1416">
        <v>20</v>
      </c>
      <c r="M1416">
        <v>26200</v>
      </c>
      <c r="N1416">
        <v>0</v>
      </c>
      <c r="O1416">
        <v>26200</v>
      </c>
      <c r="P1416">
        <v>15500</v>
      </c>
      <c r="Q1416">
        <v>10700</v>
      </c>
      <c r="R1416">
        <v>40.840000000000003</v>
      </c>
      <c r="S1416" t="s">
        <v>79</v>
      </c>
      <c r="T1416">
        <v>1100</v>
      </c>
      <c r="U1416">
        <v>4.4000000000000004</v>
      </c>
      <c r="V1416" t="s">
        <v>79</v>
      </c>
    </row>
    <row r="1417" spans="1:22" x14ac:dyDescent="0.3">
      <c r="A1417" t="s">
        <v>4346</v>
      </c>
      <c r="B1417" t="s">
        <v>1359</v>
      </c>
      <c r="C1417" t="s">
        <v>1360</v>
      </c>
      <c r="D1417" s="2">
        <v>46352</v>
      </c>
      <c r="E1417" t="s">
        <v>134</v>
      </c>
      <c r="F1417" t="s">
        <v>134</v>
      </c>
      <c r="G1417" t="s">
        <v>48</v>
      </c>
      <c r="H1417" t="s">
        <v>214</v>
      </c>
      <c r="I1417" t="s">
        <v>29</v>
      </c>
      <c r="J1417" t="s">
        <v>30</v>
      </c>
      <c r="K1417">
        <v>7</v>
      </c>
      <c r="L1417">
        <v>34</v>
      </c>
      <c r="M1417">
        <v>73400</v>
      </c>
      <c r="N1417">
        <v>0</v>
      </c>
      <c r="O1417">
        <v>73400</v>
      </c>
      <c r="P1417">
        <v>35100</v>
      </c>
      <c r="Q1417">
        <v>38300</v>
      </c>
      <c r="R1417">
        <v>52.18</v>
      </c>
      <c r="S1417" t="s">
        <v>126</v>
      </c>
      <c r="T1417">
        <v>11000</v>
      </c>
      <c r="U1417">
        <v>3.9</v>
      </c>
      <c r="V1417" t="s">
        <v>82</v>
      </c>
    </row>
    <row r="1418" spans="1:22" x14ac:dyDescent="0.3">
      <c r="A1418" t="s">
        <v>1753</v>
      </c>
      <c r="B1418" t="s">
        <v>1754</v>
      </c>
      <c r="C1418" t="s">
        <v>1755</v>
      </c>
      <c r="D1418" s="2">
        <v>46353</v>
      </c>
      <c r="E1418" t="s">
        <v>228</v>
      </c>
      <c r="F1418" t="s">
        <v>228</v>
      </c>
      <c r="G1418" t="s">
        <v>118</v>
      </c>
      <c r="H1418" t="s">
        <v>28</v>
      </c>
      <c r="I1418" t="s">
        <v>69</v>
      </c>
      <c r="J1418" t="s">
        <v>30</v>
      </c>
      <c r="K1418">
        <v>8</v>
      </c>
      <c r="L1418">
        <v>43</v>
      </c>
      <c r="M1418">
        <v>47000</v>
      </c>
      <c r="N1418">
        <v>7000</v>
      </c>
      <c r="O1418">
        <v>40000</v>
      </c>
      <c r="P1418">
        <v>20900</v>
      </c>
      <c r="Q1418">
        <v>19100</v>
      </c>
      <c r="R1418">
        <v>47.75</v>
      </c>
      <c r="S1418" t="s">
        <v>182</v>
      </c>
      <c r="T1418">
        <v>4300</v>
      </c>
      <c r="U1418">
        <v>4.0999999999999996</v>
      </c>
      <c r="V1418" t="s">
        <v>82</v>
      </c>
    </row>
    <row r="1419" spans="1:22" x14ac:dyDescent="0.3">
      <c r="A1419" t="s">
        <v>4733</v>
      </c>
      <c r="B1419" t="s">
        <v>4067</v>
      </c>
      <c r="C1419" t="s">
        <v>4068</v>
      </c>
      <c r="D1419" s="2">
        <v>46353</v>
      </c>
      <c r="E1419" t="s">
        <v>282</v>
      </c>
      <c r="F1419" t="s">
        <v>282</v>
      </c>
      <c r="G1419" t="s">
        <v>213</v>
      </c>
      <c r="H1419" t="s">
        <v>28</v>
      </c>
      <c r="I1419" t="s">
        <v>69</v>
      </c>
      <c r="J1419" t="s">
        <v>30</v>
      </c>
      <c r="K1419">
        <v>6</v>
      </c>
      <c r="L1419">
        <v>28</v>
      </c>
      <c r="M1419">
        <v>70500</v>
      </c>
      <c r="N1419">
        <v>3500</v>
      </c>
      <c r="O1419">
        <v>67000</v>
      </c>
      <c r="P1419">
        <v>54300</v>
      </c>
      <c r="Q1419">
        <v>12700</v>
      </c>
      <c r="R1419">
        <v>18.96</v>
      </c>
      <c r="S1419" t="s">
        <v>182</v>
      </c>
      <c r="T1419">
        <v>8200</v>
      </c>
      <c r="U1419">
        <v>4.5999999999999996</v>
      </c>
      <c r="V1419" t="s">
        <v>114</v>
      </c>
    </row>
    <row r="1420" spans="1:22" x14ac:dyDescent="0.3">
      <c r="A1420" t="s">
        <v>4249</v>
      </c>
      <c r="B1420" t="s">
        <v>2552</v>
      </c>
      <c r="C1420" t="s">
        <v>2553</v>
      </c>
      <c r="D1420" s="2">
        <v>46354</v>
      </c>
      <c r="E1420" t="s">
        <v>134</v>
      </c>
      <c r="F1420" t="s">
        <v>134</v>
      </c>
      <c r="G1420" t="s">
        <v>213</v>
      </c>
      <c r="H1420" t="s">
        <v>88</v>
      </c>
      <c r="I1420" t="s">
        <v>69</v>
      </c>
      <c r="J1420" t="s">
        <v>30</v>
      </c>
      <c r="K1420">
        <v>9</v>
      </c>
      <c r="L1420">
        <v>27</v>
      </c>
      <c r="M1420">
        <v>15000</v>
      </c>
      <c r="N1420">
        <v>1500</v>
      </c>
      <c r="O1420">
        <v>13500</v>
      </c>
      <c r="P1420">
        <v>6300</v>
      </c>
      <c r="Q1420">
        <v>7200</v>
      </c>
      <c r="R1420">
        <v>53.33</v>
      </c>
      <c r="S1420" t="s">
        <v>182</v>
      </c>
      <c r="T1420">
        <v>1000</v>
      </c>
      <c r="U1420">
        <v>5</v>
      </c>
      <c r="V1420" t="s">
        <v>82</v>
      </c>
    </row>
    <row r="1421" spans="1:22" x14ac:dyDescent="0.3">
      <c r="A1421" t="s">
        <v>4652</v>
      </c>
      <c r="B1421" t="s">
        <v>2938</v>
      </c>
      <c r="C1421" t="s">
        <v>2939</v>
      </c>
      <c r="D1421" s="2">
        <v>46354</v>
      </c>
      <c r="E1421" t="s">
        <v>244</v>
      </c>
      <c r="F1421" t="s">
        <v>244</v>
      </c>
      <c r="G1421" t="s">
        <v>213</v>
      </c>
      <c r="H1421" t="s">
        <v>5470</v>
      </c>
      <c r="I1421" t="s">
        <v>69</v>
      </c>
      <c r="J1421" t="s">
        <v>70</v>
      </c>
      <c r="K1421">
        <v>6</v>
      </c>
      <c r="L1421">
        <v>27</v>
      </c>
      <c r="M1421">
        <v>40000</v>
      </c>
      <c r="N1421">
        <v>8000</v>
      </c>
      <c r="O1421">
        <v>32000</v>
      </c>
      <c r="P1421">
        <v>32600</v>
      </c>
      <c r="Q1421">
        <v>-600</v>
      </c>
      <c r="R1421">
        <v>-1.88</v>
      </c>
      <c r="S1421" t="s">
        <v>39</v>
      </c>
      <c r="T1421">
        <v>4000</v>
      </c>
      <c r="U1421">
        <v>3.9</v>
      </c>
      <c r="V1421" t="s">
        <v>82</v>
      </c>
    </row>
    <row r="1422" spans="1:22" x14ac:dyDescent="0.3">
      <c r="A1422" t="s">
        <v>1643</v>
      </c>
      <c r="B1422" t="s">
        <v>1644</v>
      </c>
      <c r="C1422" t="s">
        <v>1645</v>
      </c>
      <c r="D1422" s="2">
        <v>46355</v>
      </c>
      <c r="E1422" t="s">
        <v>282</v>
      </c>
      <c r="F1422" t="s">
        <v>282</v>
      </c>
      <c r="G1422" t="s">
        <v>213</v>
      </c>
      <c r="H1422" t="s">
        <v>28</v>
      </c>
      <c r="I1422" t="s">
        <v>29</v>
      </c>
      <c r="J1422" t="s">
        <v>30</v>
      </c>
      <c r="K1422">
        <v>4</v>
      </c>
      <c r="L1422">
        <v>43</v>
      </c>
      <c r="M1422">
        <v>37800</v>
      </c>
      <c r="N1422">
        <v>7600</v>
      </c>
      <c r="O1422">
        <v>30200</v>
      </c>
      <c r="P1422">
        <v>23300</v>
      </c>
      <c r="Q1422">
        <v>6900</v>
      </c>
      <c r="R1422">
        <v>22.85</v>
      </c>
      <c r="S1422" t="s">
        <v>97</v>
      </c>
      <c r="T1422">
        <v>1600</v>
      </c>
      <c r="U1422">
        <v>5</v>
      </c>
      <c r="V1422" t="s">
        <v>79</v>
      </c>
    </row>
    <row r="1423" spans="1:22" x14ac:dyDescent="0.3">
      <c r="A1423" t="s">
        <v>5034</v>
      </c>
      <c r="B1423" t="s">
        <v>1468</v>
      </c>
      <c r="C1423" t="s">
        <v>1469</v>
      </c>
      <c r="D1423" s="2">
        <v>46356</v>
      </c>
      <c r="E1423" t="s">
        <v>228</v>
      </c>
      <c r="F1423" t="s">
        <v>228</v>
      </c>
      <c r="G1423" t="s">
        <v>27</v>
      </c>
      <c r="H1423" t="s">
        <v>229</v>
      </c>
      <c r="I1423" t="s">
        <v>69</v>
      </c>
      <c r="J1423" t="s">
        <v>70</v>
      </c>
      <c r="K1423">
        <v>10</v>
      </c>
      <c r="L1423">
        <v>28</v>
      </c>
      <c r="M1423">
        <v>31800</v>
      </c>
      <c r="N1423">
        <v>1600</v>
      </c>
      <c r="O1423">
        <v>30200</v>
      </c>
      <c r="P1423">
        <v>20700</v>
      </c>
      <c r="Q1423">
        <v>9500</v>
      </c>
      <c r="R1423">
        <v>31.46</v>
      </c>
      <c r="S1423" t="s">
        <v>97</v>
      </c>
      <c r="T1423">
        <v>3400</v>
      </c>
      <c r="U1423">
        <v>4.4000000000000004</v>
      </c>
      <c r="V1423" t="s">
        <v>42</v>
      </c>
    </row>
    <row r="1424" spans="1:22" x14ac:dyDescent="0.3">
      <c r="A1424" t="s">
        <v>3344</v>
      </c>
      <c r="B1424" t="s">
        <v>3345</v>
      </c>
      <c r="C1424" t="s">
        <v>3346</v>
      </c>
      <c r="D1424" s="2">
        <v>46356</v>
      </c>
      <c r="E1424" t="s">
        <v>188</v>
      </c>
      <c r="F1424" t="s">
        <v>188</v>
      </c>
      <c r="G1424" t="s">
        <v>118</v>
      </c>
      <c r="H1424" t="s">
        <v>229</v>
      </c>
      <c r="I1424" t="s">
        <v>69</v>
      </c>
      <c r="J1424" t="s">
        <v>30</v>
      </c>
      <c r="K1424">
        <v>6</v>
      </c>
      <c r="L1424">
        <v>87</v>
      </c>
      <c r="M1424">
        <v>46800</v>
      </c>
      <c r="N1424">
        <v>7000</v>
      </c>
      <c r="O1424">
        <v>39800</v>
      </c>
      <c r="P1424">
        <v>26800</v>
      </c>
      <c r="Q1424">
        <v>13000</v>
      </c>
      <c r="R1424">
        <v>32.659999999999997</v>
      </c>
      <c r="S1424" t="s">
        <v>39</v>
      </c>
      <c r="T1424">
        <v>7100</v>
      </c>
      <c r="U1424">
        <v>3.6</v>
      </c>
      <c r="V1424" t="s">
        <v>79</v>
      </c>
    </row>
    <row r="1425" spans="1:22" x14ac:dyDescent="0.3">
      <c r="A1425" t="s">
        <v>2611</v>
      </c>
      <c r="B1425" t="s">
        <v>1298</v>
      </c>
      <c r="C1425" t="s">
        <v>1299</v>
      </c>
      <c r="D1425" s="2">
        <v>46356</v>
      </c>
      <c r="E1425" t="s">
        <v>134</v>
      </c>
      <c r="F1425" t="s">
        <v>134</v>
      </c>
      <c r="G1425" t="s">
        <v>48</v>
      </c>
      <c r="H1425" t="s">
        <v>268</v>
      </c>
      <c r="I1425" t="s">
        <v>29</v>
      </c>
      <c r="J1425" t="s">
        <v>30</v>
      </c>
      <c r="K1425">
        <v>7</v>
      </c>
      <c r="L1425">
        <v>5</v>
      </c>
      <c r="M1425">
        <v>33900</v>
      </c>
      <c r="N1425">
        <v>1700</v>
      </c>
      <c r="O1425">
        <v>32200</v>
      </c>
      <c r="P1425">
        <v>21200</v>
      </c>
      <c r="Q1425">
        <v>11000</v>
      </c>
      <c r="R1425">
        <v>34.159999999999997</v>
      </c>
      <c r="S1425" t="s">
        <v>182</v>
      </c>
      <c r="T1425">
        <v>2400</v>
      </c>
      <c r="U1425">
        <v>4.4000000000000004</v>
      </c>
      <c r="V1425" t="s">
        <v>82</v>
      </c>
    </row>
    <row r="1426" spans="1:22" x14ac:dyDescent="0.3">
      <c r="A1426" t="s">
        <v>1006</v>
      </c>
      <c r="B1426" t="s">
        <v>1007</v>
      </c>
      <c r="C1426" t="s">
        <v>1008</v>
      </c>
      <c r="D1426" s="2">
        <v>46357</v>
      </c>
      <c r="E1426" t="s">
        <v>161</v>
      </c>
      <c r="F1426" t="s">
        <v>161</v>
      </c>
      <c r="G1426" t="s">
        <v>213</v>
      </c>
      <c r="H1426" t="s">
        <v>49</v>
      </c>
      <c r="I1426" t="s">
        <v>69</v>
      </c>
      <c r="J1426" t="s">
        <v>30</v>
      </c>
      <c r="K1426">
        <v>5</v>
      </c>
      <c r="L1426">
        <v>73</v>
      </c>
      <c r="M1426">
        <v>19200</v>
      </c>
      <c r="N1426">
        <v>0</v>
      </c>
      <c r="O1426">
        <v>19200</v>
      </c>
      <c r="P1426">
        <v>15000</v>
      </c>
      <c r="Q1426">
        <v>4200</v>
      </c>
      <c r="R1426">
        <v>21.88</v>
      </c>
      <c r="S1426" t="s">
        <v>58</v>
      </c>
      <c r="T1426">
        <v>1400</v>
      </c>
      <c r="U1426">
        <v>3.4</v>
      </c>
      <c r="V1426" t="s">
        <v>82</v>
      </c>
    </row>
    <row r="1427" spans="1:22" x14ac:dyDescent="0.3">
      <c r="A1427" t="s">
        <v>4056</v>
      </c>
      <c r="B1427" t="s">
        <v>809</v>
      </c>
      <c r="C1427" t="s">
        <v>810</v>
      </c>
      <c r="D1427" s="2">
        <v>46357</v>
      </c>
      <c r="E1427" t="s">
        <v>66</v>
      </c>
      <c r="F1427" t="s">
        <v>66</v>
      </c>
      <c r="G1427" t="s">
        <v>213</v>
      </c>
      <c r="H1427" t="s">
        <v>268</v>
      </c>
      <c r="I1427" t="s">
        <v>29</v>
      </c>
      <c r="J1427" t="s">
        <v>30</v>
      </c>
      <c r="K1427">
        <v>6</v>
      </c>
      <c r="L1427">
        <v>43</v>
      </c>
      <c r="M1427">
        <v>37500</v>
      </c>
      <c r="N1427">
        <v>7500</v>
      </c>
      <c r="O1427">
        <v>30000</v>
      </c>
      <c r="P1427">
        <v>19300</v>
      </c>
      <c r="Q1427">
        <v>10700</v>
      </c>
      <c r="R1427">
        <v>35.67</v>
      </c>
      <c r="S1427" t="s">
        <v>39</v>
      </c>
      <c r="T1427">
        <v>5300</v>
      </c>
      <c r="U1427">
        <v>4</v>
      </c>
      <c r="V1427" t="s">
        <v>82</v>
      </c>
    </row>
    <row r="1428" spans="1:22" x14ac:dyDescent="0.3">
      <c r="A1428" t="s">
        <v>3378</v>
      </c>
      <c r="B1428" t="s">
        <v>1226</v>
      </c>
      <c r="C1428" t="s">
        <v>1227</v>
      </c>
      <c r="D1428" s="2">
        <v>46358</v>
      </c>
      <c r="E1428" t="s">
        <v>188</v>
      </c>
      <c r="F1428" t="s">
        <v>188</v>
      </c>
      <c r="G1428" t="s">
        <v>147</v>
      </c>
      <c r="H1428" t="s">
        <v>68</v>
      </c>
      <c r="I1428" t="s">
        <v>29</v>
      </c>
      <c r="J1428" t="s">
        <v>30</v>
      </c>
      <c r="K1428">
        <v>10</v>
      </c>
      <c r="L1428">
        <v>22</v>
      </c>
      <c r="M1428">
        <v>24500</v>
      </c>
      <c r="N1428">
        <v>0</v>
      </c>
      <c r="O1428">
        <v>24500</v>
      </c>
      <c r="P1428">
        <v>16300</v>
      </c>
      <c r="Q1428">
        <v>8200</v>
      </c>
      <c r="R1428">
        <v>33.47</v>
      </c>
      <c r="S1428" t="s">
        <v>126</v>
      </c>
      <c r="T1428">
        <v>4300</v>
      </c>
      <c r="U1428">
        <v>3.4</v>
      </c>
      <c r="V1428" t="s">
        <v>42</v>
      </c>
    </row>
    <row r="1429" spans="1:22" x14ac:dyDescent="0.3">
      <c r="A1429" t="s">
        <v>4761</v>
      </c>
      <c r="B1429" t="s">
        <v>1912</v>
      </c>
      <c r="C1429" t="s">
        <v>1913</v>
      </c>
      <c r="D1429" s="2">
        <v>46358</v>
      </c>
      <c r="E1429" t="s">
        <v>161</v>
      </c>
      <c r="F1429" t="s">
        <v>161</v>
      </c>
      <c r="G1429" t="s">
        <v>48</v>
      </c>
      <c r="H1429" t="s">
        <v>28</v>
      </c>
      <c r="I1429" t="s">
        <v>69</v>
      </c>
      <c r="J1429" t="s">
        <v>30</v>
      </c>
      <c r="K1429">
        <v>2</v>
      </c>
      <c r="L1429">
        <v>43</v>
      </c>
      <c r="M1429">
        <v>55900</v>
      </c>
      <c r="N1429">
        <v>0</v>
      </c>
      <c r="O1429">
        <v>55900</v>
      </c>
      <c r="P1429">
        <v>30100</v>
      </c>
      <c r="Q1429">
        <v>25800</v>
      </c>
      <c r="R1429">
        <v>46.15</v>
      </c>
      <c r="S1429" t="s">
        <v>97</v>
      </c>
      <c r="T1429">
        <v>8800</v>
      </c>
      <c r="U1429">
        <v>4.9000000000000004</v>
      </c>
      <c r="V1429" t="s">
        <v>114</v>
      </c>
    </row>
    <row r="1430" spans="1:22" x14ac:dyDescent="0.3">
      <c r="A1430" t="s">
        <v>3450</v>
      </c>
      <c r="B1430" t="s">
        <v>3451</v>
      </c>
      <c r="C1430" t="s">
        <v>3452</v>
      </c>
      <c r="D1430" s="2">
        <v>46359</v>
      </c>
      <c r="E1430" t="s">
        <v>134</v>
      </c>
      <c r="F1430" t="s">
        <v>134</v>
      </c>
      <c r="G1430" t="s">
        <v>147</v>
      </c>
      <c r="H1430" t="s">
        <v>229</v>
      </c>
      <c r="I1430" t="s">
        <v>69</v>
      </c>
      <c r="J1430" t="s">
        <v>70</v>
      </c>
      <c r="K1430">
        <v>3</v>
      </c>
      <c r="L1430">
        <v>45</v>
      </c>
      <c r="M1430">
        <v>56100</v>
      </c>
      <c r="N1430">
        <v>8400</v>
      </c>
      <c r="O1430">
        <v>47700</v>
      </c>
      <c r="P1430">
        <v>41200</v>
      </c>
      <c r="Q1430">
        <v>6500</v>
      </c>
      <c r="R1430">
        <v>13.63</v>
      </c>
      <c r="S1430" t="s">
        <v>39</v>
      </c>
      <c r="T1430">
        <v>5400</v>
      </c>
      <c r="U1430">
        <v>4.5999999999999996</v>
      </c>
      <c r="V1430" t="s">
        <v>42</v>
      </c>
    </row>
    <row r="1431" spans="1:22" x14ac:dyDescent="0.3">
      <c r="A1431" t="s">
        <v>1529</v>
      </c>
      <c r="B1431" t="s">
        <v>1530</v>
      </c>
      <c r="C1431" t="s">
        <v>1531</v>
      </c>
      <c r="D1431" s="2">
        <v>46359</v>
      </c>
      <c r="E1431" t="s">
        <v>282</v>
      </c>
      <c r="F1431" t="s">
        <v>282</v>
      </c>
      <c r="G1431" t="s">
        <v>147</v>
      </c>
      <c r="H1431" t="s">
        <v>68</v>
      </c>
      <c r="I1431" t="s">
        <v>29</v>
      </c>
      <c r="J1431" t="s">
        <v>30</v>
      </c>
      <c r="K1431">
        <v>8</v>
      </c>
      <c r="L1431">
        <v>25</v>
      </c>
      <c r="M1431">
        <v>30700</v>
      </c>
      <c r="N1431">
        <v>0</v>
      </c>
      <c r="O1431">
        <v>30700</v>
      </c>
      <c r="P1431">
        <v>13300</v>
      </c>
      <c r="Q1431">
        <v>17400</v>
      </c>
      <c r="R1431">
        <v>56.68</v>
      </c>
      <c r="S1431" t="s">
        <v>58</v>
      </c>
      <c r="T1431">
        <v>4300</v>
      </c>
      <c r="U1431">
        <v>3.3</v>
      </c>
      <c r="V1431" t="s">
        <v>79</v>
      </c>
    </row>
    <row r="1432" spans="1:22" x14ac:dyDescent="0.3">
      <c r="A1432" t="s">
        <v>5015</v>
      </c>
      <c r="B1432" t="s">
        <v>1173</v>
      </c>
      <c r="C1432" t="s">
        <v>1174</v>
      </c>
      <c r="D1432" s="2">
        <v>46359</v>
      </c>
      <c r="E1432" t="s">
        <v>134</v>
      </c>
      <c r="F1432" t="s">
        <v>134</v>
      </c>
      <c r="G1432" t="s">
        <v>147</v>
      </c>
      <c r="H1432" t="s">
        <v>214</v>
      </c>
      <c r="I1432" t="s">
        <v>29</v>
      </c>
      <c r="J1432" t="s">
        <v>162</v>
      </c>
      <c r="K1432">
        <v>10</v>
      </c>
      <c r="L1432">
        <v>34</v>
      </c>
      <c r="M1432">
        <v>15000</v>
      </c>
      <c r="N1432">
        <v>800</v>
      </c>
      <c r="O1432">
        <v>14200</v>
      </c>
      <c r="P1432">
        <v>8000</v>
      </c>
      <c r="Q1432">
        <v>6200</v>
      </c>
      <c r="R1432">
        <v>43.66</v>
      </c>
      <c r="S1432" t="s">
        <v>79</v>
      </c>
      <c r="T1432">
        <v>1200</v>
      </c>
      <c r="U1432">
        <v>4.9000000000000004</v>
      </c>
      <c r="V1432" t="s">
        <v>82</v>
      </c>
    </row>
    <row r="1433" spans="1:22" x14ac:dyDescent="0.3">
      <c r="A1433" t="s">
        <v>2350</v>
      </c>
      <c r="B1433" t="s">
        <v>2351</v>
      </c>
      <c r="C1433" t="s">
        <v>2352</v>
      </c>
      <c r="D1433" s="2">
        <v>46359</v>
      </c>
      <c r="E1433" t="s">
        <v>282</v>
      </c>
      <c r="F1433" t="s">
        <v>282</v>
      </c>
      <c r="G1433" t="s">
        <v>213</v>
      </c>
      <c r="H1433" t="s">
        <v>268</v>
      </c>
      <c r="I1433" t="s">
        <v>69</v>
      </c>
      <c r="J1433" t="s">
        <v>257</v>
      </c>
      <c r="K1433">
        <v>3</v>
      </c>
      <c r="L1433">
        <v>8</v>
      </c>
      <c r="M1433">
        <v>78300</v>
      </c>
      <c r="N1433">
        <v>7800</v>
      </c>
      <c r="O1433">
        <v>70500</v>
      </c>
      <c r="P1433">
        <v>44600</v>
      </c>
      <c r="Q1433">
        <v>25900</v>
      </c>
      <c r="R1433">
        <v>36.74</v>
      </c>
      <c r="S1433" t="s">
        <v>97</v>
      </c>
      <c r="T1433">
        <v>7100</v>
      </c>
      <c r="U1433">
        <v>4.8</v>
      </c>
      <c r="V1433" t="s">
        <v>79</v>
      </c>
    </row>
    <row r="1434" spans="1:22" x14ac:dyDescent="0.3">
      <c r="A1434" t="s">
        <v>1984</v>
      </c>
      <c r="B1434" t="s">
        <v>890</v>
      </c>
      <c r="C1434" t="s">
        <v>891</v>
      </c>
      <c r="D1434" s="2">
        <v>46359</v>
      </c>
      <c r="E1434" t="s">
        <v>282</v>
      </c>
      <c r="F1434" t="s">
        <v>282</v>
      </c>
      <c r="G1434" t="s">
        <v>580</v>
      </c>
      <c r="H1434" t="s">
        <v>68</v>
      </c>
      <c r="I1434" t="s">
        <v>69</v>
      </c>
      <c r="J1434" t="s">
        <v>30</v>
      </c>
      <c r="K1434">
        <v>9</v>
      </c>
      <c r="L1434">
        <v>51</v>
      </c>
      <c r="M1434">
        <v>36400</v>
      </c>
      <c r="N1434">
        <v>0</v>
      </c>
      <c r="O1434">
        <v>36400</v>
      </c>
      <c r="P1434">
        <v>19100</v>
      </c>
      <c r="Q1434">
        <v>17300</v>
      </c>
      <c r="R1434">
        <v>47.53</v>
      </c>
      <c r="S1434" t="s">
        <v>39</v>
      </c>
      <c r="T1434">
        <v>4700</v>
      </c>
      <c r="U1434">
        <v>4.3</v>
      </c>
      <c r="V1434" t="s">
        <v>58</v>
      </c>
    </row>
    <row r="1435" spans="1:22" x14ac:dyDescent="0.3">
      <c r="A1435" t="s">
        <v>5404</v>
      </c>
      <c r="B1435" t="s">
        <v>2464</v>
      </c>
      <c r="C1435" t="s">
        <v>2465</v>
      </c>
      <c r="D1435" s="2">
        <v>46360</v>
      </c>
      <c r="E1435" t="s">
        <v>161</v>
      </c>
      <c r="F1435" t="s">
        <v>161</v>
      </c>
      <c r="G1435" t="s">
        <v>103</v>
      </c>
      <c r="H1435" t="s">
        <v>214</v>
      </c>
      <c r="I1435" t="s">
        <v>29</v>
      </c>
      <c r="J1435" t="s">
        <v>30</v>
      </c>
      <c r="K1435">
        <v>8</v>
      </c>
      <c r="L1435">
        <v>20</v>
      </c>
      <c r="M1435">
        <v>26500</v>
      </c>
      <c r="N1435">
        <v>1300</v>
      </c>
      <c r="O1435">
        <v>25200</v>
      </c>
      <c r="P1435">
        <v>11200</v>
      </c>
      <c r="Q1435">
        <v>14000</v>
      </c>
      <c r="R1435">
        <v>55.56</v>
      </c>
      <c r="S1435" t="s">
        <v>182</v>
      </c>
      <c r="T1435">
        <v>1400</v>
      </c>
      <c r="U1435">
        <v>4.4000000000000004</v>
      </c>
      <c r="V1435" t="s">
        <v>82</v>
      </c>
    </row>
    <row r="1436" spans="1:22" x14ac:dyDescent="0.3">
      <c r="A1436" t="s">
        <v>5459</v>
      </c>
      <c r="B1436" t="s">
        <v>2510</v>
      </c>
      <c r="C1436" t="s">
        <v>2511</v>
      </c>
      <c r="D1436" s="2">
        <v>46360</v>
      </c>
      <c r="E1436" t="s">
        <v>244</v>
      </c>
      <c r="F1436" t="s">
        <v>244</v>
      </c>
      <c r="G1436" t="s">
        <v>48</v>
      </c>
      <c r="H1436" t="s">
        <v>229</v>
      </c>
      <c r="I1436" t="s">
        <v>69</v>
      </c>
      <c r="J1436" t="s">
        <v>30</v>
      </c>
      <c r="K1436">
        <v>5</v>
      </c>
      <c r="L1436">
        <v>10</v>
      </c>
      <c r="M1436">
        <v>36700</v>
      </c>
      <c r="N1436">
        <v>0</v>
      </c>
      <c r="O1436">
        <v>36700</v>
      </c>
      <c r="P1436">
        <v>24200</v>
      </c>
      <c r="Q1436">
        <v>12500</v>
      </c>
      <c r="R1436">
        <v>34.06</v>
      </c>
      <c r="S1436" t="s">
        <v>97</v>
      </c>
      <c r="T1436">
        <v>5300</v>
      </c>
      <c r="U1436">
        <v>4.7</v>
      </c>
      <c r="V1436" t="s">
        <v>58</v>
      </c>
    </row>
    <row r="1437" spans="1:22" x14ac:dyDescent="0.3">
      <c r="A1437" t="s">
        <v>1092</v>
      </c>
      <c r="B1437" t="s">
        <v>1093</v>
      </c>
      <c r="C1437" t="s">
        <v>1094</v>
      </c>
      <c r="D1437" s="2">
        <v>46360</v>
      </c>
      <c r="E1437" t="s">
        <v>188</v>
      </c>
      <c r="F1437" t="s">
        <v>188</v>
      </c>
      <c r="G1437" t="s">
        <v>147</v>
      </c>
      <c r="H1437" t="s">
        <v>28</v>
      </c>
      <c r="I1437" t="s">
        <v>29</v>
      </c>
      <c r="J1437" t="s">
        <v>30</v>
      </c>
      <c r="K1437">
        <v>7</v>
      </c>
      <c r="L1437">
        <v>19</v>
      </c>
      <c r="M1437">
        <v>15900</v>
      </c>
      <c r="N1437">
        <v>0</v>
      </c>
      <c r="O1437">
        <v>15900</v>
      </c>
      <c r="P1437">
        <v>11400</v>
      </c>
      <c r="Q1437">
        <v>4500</v>
      </c>
      <c r="R1437">
        <v>28.3</v>
      </c>
      <c r="S1437" t="s">
        <v>126</v>
      </c>
      <c r="T1437">
        <v>1200</v>
      </c>
      <c r="U1437">
        <v>3.9</v>
      </c>
      <c r="V1437" t="s">
        <v>114</v>
      </c>
    </row>
    <row r="1438" spans="1:22" x14ac:dyDescent="0.3">
      <c r="A1438" t="s">
        <v>2633</v>
      </c>
      <c r="B1438" t="s">
        <v>2330</v>
      </c>
      <c r="C1438" t="s">
        <v>2331</v>
      </c>
      <c r="D1438" s="2">
        <v>46360</v>
      </c>
      <c r="E1438" t="s">
        <v>66</v>
      </c>
      <c r="F1438" t="s">
        <v>66</v>
      </c>
      <c r="G1438" t="s">
        <v>580</v>
      </c>
      <c r="H1438" t="s">
        <v>28</v>
      </c>
      <c r="I1438" t="s">
        <v>69</v>
      </c>
      <c r="J1438" t="s">
        <v>30</v>
      </c>
      <c r="K1438">
        <v>6</v>
      </c>
      <c r="L1438">
        <v>53</v>
      </c>
      <c r="M1438">
        <v>40800</v>
      </c>
      <c r="N1438">
        <v>6100</v>
      </c>
      <c r="O1438">
        <v>34700</v>
      </c>
      <c r="P1438">
        <v>30900</v>
      </c>
      <c r="Q1438">
        <v>3800</v>
      </c>
      <c r="R1438">
        <v>10.95</v>
      </c>
      <c r="S1438" t="s">
        <v>58</v>
      </c>
      <c r="T1438">
        <v>3400</v>
      </c>
      <c r="U1438">
        <v>4</v>
      </c>
      <c r="V1438" t="s">
        <v>42</v>
      </c>
    </row>
    <row r="1439" spans="1:22" x14ac:dyDescent="0.3">
      <c r="A1439" t="s">
        <v>2718</v>
      </c>
      <c r="B1439" t="s">
        <v>2277</v>
      </c>
      <c r="C1439" t="s">
        <v>2278</v>
      </c>
      <c r="D1439" s="2">
        <v>46360</v>
      </c>
      <c r="E1439" t="s">
        <v>66</v>
      </c>
      <c r="F1439" t="s">
        <v>66</v>
      </c>
      <c r="G1439" t="s">
        <v>27</v>
      </c>
      <c r="H1439" t="s">
        <v>49</v>
      </c>
      <c r="I1439" t="s">
        <v>29</v>
      </c>
      <c r="J1439" t="s">
        <v>162</v>
      </c>
      <c r="K1439">
        <v>7</v>
      </c>
      <c r="L1439">
        <v>55</v>
      </c>
      <c r="M1439">
        <v>29700</v>
      </c>
      <c r="N1439">
        <v>0</v>
      </c>
      <c r="O1439">
        <v>29700</v>
      </c>
      <c r="P1439">
        <v>13500</v>
      </c>
      <c r="Q1439">
        <v>16200</v>
      </c>
      <c r="R1439">
        <v>54.55</v>
      </c>
      <c r="S1439" t="s">
        <v>58</v>
      </c>
      <c r="T1439">
        <v>4000</v>
      </c>
      <c r="U1439">
        <v>3.3</v>
      </c>
      <c r="V1439" t="s">
        <v>79</v>
      </c>
    </row>
    <row r="1440" spans="1:22" x14ac:dyDescent="0.3">
      <c r="A1440" t="s">
        <v>434</v>
      </c>
      <c r="B1440" t="s">
        <v>435</v>
      </c>
      <c r="C1440" t="s">
        <v>436</v>
      </c>
      <c r="D1440" s="2">
        <v>46361</v>
      </c>
      <c r="E1440" t="s">
        <v>188</v>
      </c>
      <c r="F1440" t="s">
        <v>188</v>
      </c>
      <c r="G1440" t="s">
        <v>147</v>
      </c>
      <c r="H1440" t="s">
        <v>5470</v>
      </c>
      <c r="I1440" t="s">
        <v>29</v>
      </c>
      <c r="J1440" t="s">
        <v>30</v>
      </c>
      <c r="K1440">
        <v>6</v>
      </c>
      <c r="L1440">
        <v>35</v>
      </c>
      <c r="M1440">
        <v>15300</v>
      </c>
      <c r="N1440">
        <v>2300</v>
      </c>
      <c r="O1440">
        <v>13000</v>
      </c>
      <c r="P1440">
        <v>9200</v>
      </c>
      <c r="Q1440">
        <v>3800</v>
      </c>
      <c r="R1440">
        <v>29.23</v>
      </c>
      <c r="S1440" t="s">
        <v>97</v>
      </c>
      <c r="T1440">
        <v>1000</v>
      </c>
      <c r="U1440">
        <v>3.5</v>
      </c>
      <c r="V1440" t="s">
        <v>79</v>
      </c>
    </row>
    <row r="1441" spans="1:22" x14ac:dyDescent="0.3">
      <c r="A1441" t="s">
        <v>4990</v>
      </c>
      <c r="B1441" t="s">
        <v>2846</v>
      </c>
      <c r="C1441" t="s">
        <v>2847</v>
      </c>
      <c r="D1441" s="2">
        <v>46361</v>
      </c>
      <c r="E1441" t="s">
        <v>282</v>
      </c>
      <c r="F1441" t="s">
        <v>282</v>
      </c>
      <c r="G1441" t="s">
        <v>48</v>
      </c>
      <c r="H1441" t="s">
        <v>68</v>
      </c>
      <c r="I1441" t="s">
        <v>69</v>
      </c>
      <c r="J1441" t="s">
        <v>30</v>
      </c>
      <c r="K1441">
        <v>4</v>
      </c>
      <c r="L1441">
        <v>15</v>
      </c>
      <c r="M1441">
        <v>118500</v>
      </c>
      <c r="N1441">
        <v>0</v>
      </c>
      <c r="O1441">
        <v>118500</v>
      </c>
      <c r="P1441">
        <v>90500</v>
      </c>
      <c r="Q1441">
        <v>28000</v>
      </c>
      <c r="R1441">
        <v>23.63</v>
      </c>
      <c r="S1441" t="s">
        <v>182</v>
      </c>
      <c r="T1441">
        <v>21000</v>
      </c>
      <c r="U1441">
        <v>4.9000000000000004</v>
      </c>
      <c r="V1441" t="s">
        <v>58</v>
      </c>
    </row>
    <row r="1442" spans="1:22" x14ac:dyDescent="0.3">
      <c r="A1442" t="s">
        <v>1172</v>
      </c>
      <c r="B1442" t="s">
        <v>1173</v>
      </c>
      <c r="C1442" t="s">
        <v>1174</v>
      </c>
      <c r="D1442" s="2">
        <v>46361</v>
      </c>
      <c r="E1442" t="s">
        <v>188</v>
      </c>
      <c r="F1442" t="s">
        <v>188</v>
      </c>
      <c r="G1442" t="s">
        <v>27</v>
      </c>
      <c r="H1442" t="s">
        <v>28</v>
      </c>
      <c r="I1442" t="s">
        <v>29</v>
      </c>
      <c r="J1442" t="s">
        <v>30</v>
      </c>
      <c r="K1442">
        <v>9</v>
      </c>
      <c r="L1442">
        <v>26</v>
      </c>
      <c r="M1442">
        <v>33800</v>
      </c>
      <c r="N1442">
        <v>0</v>
      </c>
      <c r="O1442">
        <v>33800</v>
      </c>
      <c r="P1442">
        <v>16700</v>
      </c>
      <c r="Q1442">
        <v>17100</v>
      </c>
      <c r="R1442">
        <v>50.59</v>
      </c>
      <c r="S1442" t="s">
        <v>39</v>
      </c>
      <c r="T1442">
        <v>2900</v>
      </c>
      <c r="U1442">
        <v>3.4</v>
      </c>
      <c r="V1442" t="s">
        <v>82</v>
      </c>
    </row>
    <row r="1443" spans="1:22" x14ac:dyDescent="0.3">
      <c r="A1443" t="s">
        <v>143</v>
      </c>
      <c r="B1443" t="s">
        <v>144</v>
      </c>
      <c r="C1443" t="s">
        <v>145</v>
      </c>
      <c r="D1443" s="2">
        <v>46362</v>
      </c>
      <c r="E1443" t="s">
        <v>66</v>
      </c>
      <c r="F1443" t="s">
        <v>66</v>
      </c>
      <c r="G1443" t="s">
        <v>147</v>
      </c>
      <c r="H1443" t="s">
        <v>49</v>
      </c>
      <c r="I1443" t="s">
        <v>69</v>
      </c>
      <c r="J1443" t="s">
        <v>30</v>
      </c>
      <c r="K1443">
        <v>10</v>
      </c>
      <c r="L1443">
        <v>39</v>
      </c>
      <c r="M1443">
        <v>40300</v>
      </c>
      <c r="N1443">
        <v>4000</v>
      </c>
      <c r="O1443">
        <v>36300</v>
      </c>
      <c r="P1443">
        <v>23300</v>
      </c>
      <c r="Q1443">
        <v>13000</v>
      </c>
      <c r="R1443">
        <v>35.81</v>
      </c>
      <c r="S1443" t="s">
        <v>39</v>
      </c>
      <c r="T1443">
        <v>4500</v>
      </c>
      <c r="U1443">
        <v>4.9000000000000004</v>
      </c>
      <c r="V1443" t="s">
        <v>82</v>
      </c>
    </row>
    <row r="1444" spans="1:22" x14ac:dyDescent="0.3">
      <c r="A1444" t="s">
        <v>3355</v>
      </c>
      <c r="B1444" t="s">
        <v>1949</v>
      </c>
      <c r="C1444" t="s">
        <v>1950</v>
      </c>
      <c r="D1444" s="2">
        <v>46363</v>
      </c>
      <c r="E1444" t="s">
        <v>26</v>
      </c>
      <c r="F1444" t="s">
        <v>26</v>
      </c>
      <c r="G1444" t="s">
        <v>103</v>
      </c>
      <c r="H1444" t="s">
        <v>68</v>
      </c>
      <c r="I1444" t="s">
        <v>69</v>
      </c>
      <c r="J1444" t="s">
        <v>30</v>
      </c>
      <c r="K1444">
        <v>7</v>
      </c>
      <c r="L1444">
        <v>5</v>
      </c>
      <c r="M1444">
        <v>89500</v>
      </c>
      <c r="N1444">
        <v>0</v>
      </c>
      <c r="O1444">
        <v>89500</v>
      </c>
      <c r="P1444">
        <v>49300</v>
      </c>
      <c r="Q1444">
        <v>40200</v>
      </c>
      <c r="R1444">
        <v>44.92</v>
      </c>
      <c r="S1444" t="s">
        <v>39</v>
      </c>
      <c r="T1444">
        <v>8600</v>
      </c>
      <c r="U1444">
        <v>4.3</v>
      </c>
      <c r="V1444" t="s">
        <v>114</v>
      </c>
    </row>
    <row r="1445" spans="1:22" x14ac:dyDescent="0.3">
      <c r="A1445" t="s">
        <v>4252</v>
      </c>
      <c r="B1445" t="s">
        <v>375</v>
      </c>
      <c r="C1445" t="s">
        <v>376</v>
      </c>
      <c r="D1445" s="2">
        <v>46363</v>
      </c>
      <c r="E1445" t="s">
        <v>66</v>
      </c>
      <c r="F1445" t="s">
        <v>66</v>
      </c>
      <c r="G1445" t="s">
        <v>580</v>
      </c>
      <c r="H1445" t="s">
        <v>49</v>
      </c>
      <c r="I1445" t="s">
        <v>69</v>
      </c>
      <c r="J1445" t="s">
        <v>30</v>
      </c>
      <c r="K1445">
        <v>3</v>
      </c>
      <c r="L1445">
        <v>57</v>
      </c>
      <c r="M1445">
        <v>36100</v>
      </c>
      <c r="N1445">
        <v>1800</v>
      </c>
      <c r="O1445">
        <v>34300</v>
      </c>
      <c r="P1445">
        <v>24500</v>
      </c>
      <c r="Q1445">
        <v>9800</v>
      </c>
      <c r="R1445">
        <v>28.57</v>
      </c>
      <c r="S1445" t="s">
        <v>58</v>
      </c>
      <c r="T1445">
        <v>3400</v>
      </c>
      <c r="U1445">
        <v>5</v>
      </c>
      <c r="V1445" t="s">
        <v>82</v>
      </c>
    </row>
    <row r="1446" spans="1:22" x14ac:dyDescent="0.3">
      <c r="A1446" t="s">
        <v>5052</v>
      </c>
      <c r="B1446" t="s">
        <v>3103</v>
      </c>
      <c r="C1446" t="s">
        <v>3104</v>
      </c>
      <c r="D1446" s="2">
        <v>46363</v>
      </c>
      <c r="E1446" t="s">
        <v>188</v>
      </c>
      <c r="F1446" t="s">
        <v>188</v>
      </c>
      <c r="G1446" t="s">
        <v>147</v>
      </c>
      <c r="H1446" t="s">
        <v>5470</v>
      </c>
      <c r="I1446" t="s">
        <v>69</v>
      </c>
      <c r="J1446" t="s">
        <v>162</v>
      </c>
      <c r="K1446">
        <v>5</v>
      </c>
      <c r="L1446">
        <v>6</v>
      </c>
      <c r="M1446">
        <v>21700</v>
      </c>
      <c r="N1446">
        <v>1100</v>
      </c>
      <c r="O1446">
        <v>20600</v>
      </c>
      <c r="P1446">
        <v>12000</v>
      </c>
      <c r="Q1446">
        <v>8600</v>
      </c>
      <c r="R1446">
        <v>41.75</v>
      </c>
      <c r="S1446" t="s">
        <v>126</v>
      </c>
      <c r="T1446">
        <v>2800</v>
      </c>
      <c r="U1446">
        <v>3.9</v>
      </c>
      <c r="V1446" t="s">
        <v>82</v>
      </c>
    </row>
    <row r="1447" spans="1:22" x14ac:dyDescent="0.3">
      <c r="A1447" t="s">
        <v>2576</v>
      </c>
      <c r="B1447" t="s">
        <v>323</v>
      </c>
      <c r="C1447" t="s">
        <v>324</v>
      </c>
      <c r="D1447" s="2">
        <v>46365</v>
      </c>
      <c r="E1447" t="s">
        <v>228</v>
      </c>
      <c r="F1447" t="s">
        <v>228</v>
      </c>
      <c r="G1447" t="s">
        <v>118</v>
      </c>
      <c r="H1447" t="s">
        <v>214</v>
      </c>
      <c r="I1447" t="s">
        <v>29</v>
      </c>
      <c r="J1447" t="s">
        <v>30</v>
      </c>
      <c r="K1447">
        <v>6</v>
      </c>
      <c r="L1447">
        <v>18</v>
      </c>
      <c r="M1447">
        <v>40700</v>
      </c>
      <c r="N1447">
        <v>2000</v>
      </c>
      <c r="O1447">
        <v>38700</v>
      </c>
      <c r="P1447">
        <v>32700</v>
      </c>
      <c r="Q1447">
        <v>6000</v>
      </c>
      <c r="R1447">
        <v>15.5</v>
      </c>
      <c r="S1447" t="s">
        <v>39</v>
      </c>
      <c r="T1447">
        <v>5700</v>
      </c>
      <c r="U1447">
        <v>4.4000000000000004</v>
      </c>
      <c r="V1447" t="s">
        <v>58</v>
      </c>
    </row>
    <row r="1448" spans="1:22" x14ac:dyDescent="0.3">
      <c r="A1448" t="s">
        <v>3795</v>
      </c>
      <c r="B1448" t="s">
        <v>1824</v>
      </c>
      <c r="C1448" t="s">
        <v>1825</v>
      </c>
      <c r="D1448" s="2">
        <v>46366</v>
      </c>
      <c r="E1448" t="s">
        <v>282</v>
      </c>
      <c r="F1448" t="s">
        <v>282</v>
      </c>
      <c r="G1448" t="s">
        <v>580</v>
      </c>
      <c r="H1448" t="s">
        <v>268</v>
      </c>
      <c r="I1448" t="s">
        <v>69</v>
      </c>
      <c r="J1448" t="s">
        <v>162</v>
      </c>
      <c r="K1448">
        <v>8</v>
      </c>
      <c r="L1448">
        <v>34</v>
      </c>
      <c r="M1448">
        <v>34900</v>
      </c>
      <c r="N1448">
        <v>1700</v>
      </c>
      <c r="O1448">
        <v>33200</v>
      </c>
      <c r="P1448">
        <v>17700</v>
      </c>
      <c r="Q1448">
        <v>15500</v>
      </c>
      <c r="R1448">
        <v>46.69</v>
      </c>
      <c r="S1448" t="s">
        <v>182</v>
      </c>
      <c r="T1448">
        <v>1800</v>
      </c>
      <c r="U1448">
        <v>4.3</v>
      </c>
      <c r="V1448" t="s">
        <v>58</v>
      </c>
    </row>
    <row r="1449" spans="1:22" x14ac:dyDescent="0.3">
      <c r="A1449" t="s">
        <v>3422</v>
      </c>
      <c r="B1449" t="s">
        <v>3423</v>
      </c>
      <c r="C1449" t="s">
        <v>3424</v>
      </c>
      <c r="D1449" s="2">
        <v>46366</v>
      </c>
      <c r="E1449" t="s">
        <v>228</v>
      </c>
      <c r="F1449" t="s">
        <v>228</v>
      </c>
      <c r="G1449" t="s">
        <v>580</v>
      </c>
      <c r="H1449" t="s">
        <v>214</v>
      </c>
      <c r="I1449" t="s">
        <v>29</v>
      </c>
      <c r="J1449" t="s">
        <v>30</v>
      </c>
      <c r="K1449">
        <v>2</v>
      </c>
      <c r="L1449">
        <v>23</v>
      </c>
      <c r="M1449">
        <v>81000</v>
      </c>
      <c r="N1449">
        <v>12200</v>
      </c>
      <c r="O1449">
        <v>68800</v>
      </c>
      <c r="P1449">
        <v>59400</v>
      </c>
      <c r="Q1449">
        <v>9400</v>
      </c>
      <c r="R1449">
        <v>13.66</v>
      </c>
      <c r="S1449" t="s">
        <v>58</v>
      </c>
      <c r="T1449">
        <v>4600</v>
      </c>
      <c r="U1449">
        <v>4.4000000000000004</v>
      </c>
      <c r="V1449" t="s">
        <v>114</v>
      </c>
    </row>
    <row r="1450" spans="1:22" x14ac:dyDescent="0.3">
      <c r="A1450" t="s">
        <v>2269</v>
      </c>
      <c r="B1450" t="s">
        <v>2270</v>
      </c>
      <c r="C1450" t="s">
        <v>2271</v>
      </c>
      <c r="D1450" s="2">
        <v>46367</v>
      </c>
      <c r="E1450" t="s">
        <v>134</v>
      </c>
      <c r="F1450" t="s">
        <v>134</v>
      </c>
      <c r="G1450" t="s">
        <v>147</v>
      </c>
      <c r="H1450" t="s">
        <v>88</v>
      </c>
      <c r="I1450" t="s">
        <v>29</v>
      </c>
      <c r="J1450" t="s">
        <v>30</v>
      </c>
      <c r="K1450">
        <v>3</v>
      </c>
      <c r="L1450">
        <v>67</v>
      </c>
      <c r="M1450">
        <v>66700</v>
      </c>
      <c r="N1450">
        <v>6700</v>
      </c>
      <c r="O1450">
        <v>60000</v>
      </c>
      <c r="P1450">
        <v>34300</v>
      </c>
      <c r="Q1450">
        <v>25700</v>
      </c>
      <c r="R1450">
        <v>42.83</v>
      </c>
      <c r="S1450" t="s">
        <v>58</v>
      </c>
      <c r="T1450">
        <v>3300</v>
      </c>
      <c r="U1450">
        <v>3.9</v>
      </c>
      <c r="V1450" t="s">
        <v>79</v>
      </c>
    </row>
    <row r="1451" spans="1:22" x14ac:dyDescent="0.3">
      <c r="A1451" t="s">
        <v>4005</v>
      </c>
      <c r="B1451" t="s">
        <v>4006</v>
      </c>
      <c r="C1451" t="s">
        <v>4007</v>
      </c>
      <c r="D1451" s="2">
        <v>46367</v>
      </c>
      <c r="E1451" t="s">
        <v>282</v>
      </c>
      <c r="F1451" t="s">
        <v>282</v>
      </c>
      <c r="G1451" t="s">
        <v>118</v>
      </c>
      <c r="H1451" t="s">
        <v>268</v>
      </c>
      <c r="I1451" t="s">
        <v>69</v>
      </c>
      <c r="J1451" t="s">
        <v>162</v>
      </c>
      <c r="K1451">
        <v>7</v>
      </c>
      <c r="L1451">
        <v>8</v>
      </c>
      <c r="M1451">
        <v>35500</v>
      </c>
      <c r="N1451">
        <v>5300</v>
      </c>
      <c r="O1451">
        <v>30200</v>
      </c>
      <c r="P1451">
        <v>26800</v>
      </c>
      <c r="Q1451">
        <v>3400</v>
      </c>
      <c r="R1451">
        <v>11.26</v>
      </c>
      <c r="S1451" t="s">
        <v>58</v>
      </c>
      <c r="T1451">
        <v>4100</v>
      </c>
      <c r="U1451">
        <v>3.7</v>
      </c>
      <c r="V1451" t="s">
        <v>82</v>
      </c>
    </row>
    <row r="1452" spans="1:22" x14ac:dyDescent="0.3">
      <c r="A1452" t="s">
        <v>5381</v>
      </c>
      <c r="B1452" t="s">
        <v>1754</v>
      </c>
      <c r="C1452" t="s">
        <v>1755</v>
      </c>
      <c r="D1452" s="2">
        <v>46367</v>
      </c>
      <c r="E1452" t="s">
        <v>244</v>
      </c>
      <c r="F1452" t="s">
        <v>244</v>
      </c>
      <c r="G1452" t="s">
        <v>213</v>
      </c>
      <c r="H1452" t="s">
        <v>49</v>
      </c>
      <c r="I1452" t="s">
        <v>69</v>
      </c>
      <c r="J1452" t="s">
        <v>30</v>
      </c>
      <c r="K1452">
        <v>8</v>
      </c>
      <c r="L1452">
        <v>6</v>
      </c>
      <c r="M1452">
        <v>27600</v>
      </c>
      <c r="N1452">
        <v>5500</v>
      </c>
      <c r="O1452">
        <v>22100</v>
      </c>
      <c r="P1452">
        <v>16100</v>
      </c>
      <c r="Q1452">
        <v>6000</v>
      </c>
      <c r="R1452">
        <v>27.15</v>
      </c>
      <c r="S1452" t="s">
        <v>39</v>
      </c>
      <c r="T1452">
        <v>1800</v>
      </c>
      <c r="V1452" t="s">
        <v>42</v>
      </c>
    </row>
    <row r="1453" spans="1:22" x14ac:dyDescent="0.3">
      <c r="A1453" t="s">
        <v>3235</v>
      </c>
      <c r="B1453" t="s">
        <v>3236</v>
      </c>
      <c r="C1453" t="s">
        <v>3237</v>
      </c>
      <c r="D1453" s="2">
        <v>46368</v>
      </c>
      <c r="E1453" t="s">
        <v>188</v>
      </c>
      <c r="F1453" t="s">
        <v>188</v>
      </c>
      <c r="G1453" t="s">
        <v>118</v>
      </c>
      <c r="H1453" t="s">
        <v>49</v>
      </c>
      <c r="I1453" t="s">
        <v>29</v>
      </c>
      <c r="J1453" t="s">
        <v>70</v>
      </c>
      <c r="K1453">
        <v>8</v>
      </c>
      <c r="L1453">
        <v>18</v>
      </c>
      <c r="M1453">
        <v>40300</v>
      </c>
      <c r="N1453">
        <v>2000</v>
      </c>
      <c r="O1453">
        <v>38300</v>
      </c>
      <c r="P1453">
        <v>23100</v>
      </c>
      <c r="Q1453">
        <v>15200</v>
      </c>
      <c r="R1453">
        <v>39.69</v>
      </c>
      <c r="S1453" t="s">
        <v>79</v>
      </c>
      <c r="T1453">
        <v>4000</v>
      </c>
      <c r="U1453">
        <v>4</v>
      </c>
      <c r="V1453" t="s">
        <v>42</v>
      </c>
    </row>
    <row r="1454" spans="1:22" x14ac:dyDescent="0.3">
      <c r="A1454" t="s">
        <v>1971</v>
      </c>
      <c r="B1454" t="s">
        <v>1972</v>
      </c>
      <c r="C1454" t="s">
        <v>1973</v>
      </c>
      <c r="D1454" s="2">
        <v>46368</v>
      </c>
      <c r="E1454" t="s">
        <v>228</v>
      </c>
      <c r="F1454" t="s">
        <v>228</v>
      </c>
      <c r="G1454" t="s">
        <v>213</v>
      </c>
      <c r="H1454" t="s">
        <v>28</v>
      </c>
      <c r="I1454" t="s">
        <v>69</v>
      </c>
      <c r="J1454" t="s">
        <v>30</v>
      </c>
      <c r="K1454">
        <v>4</v>
      </c>
      <c r="L1454">
        <v>31</v>
      </c>
      <c r="M1454">
        <v>25400</v>
      </c>
      <c r="N1454">
        <v>2500</v>
      </c>
      <c r="O1454">
        <v>22900</v>
      </c>
      <c r="P1454">
        <v>15600</v>
      </c>
      <c r="Q1454">
        <v>7300</v>
      </c>
      <c r="R1454">
        <v>31.88</v>
      </c>
      <c r="S1454" t="s">
        <v>58</v>
      </c>
      <c r="T1454">
        <v>1400</v>
      </c>
      <c r="U1454">
        <v>4.0999999999999996</v>
      </c>
      <c r="V1454" t="s">
        <v>114</v>
      </c>
    </row>
    <row r="1455" spans="1:22" x14ac:dyDescent="0.3">
      <c r="A1455" t="s">
        <v>3564</v>
      </c>
      <c r="B1455" t="s">
        <v>1501</v>
      </c>
      <c r="C1455" t="s">
        <v>1502</v>
      </c>
      <c r="D1455" s="2">
        <v>46368</v>
      </c>
      <c r="E1455" t="s">
        <v>134</v>
      </c>
      <c r="F1455" t="s">
        <v>134</v>
      </c>
      <c r="G1455" t="s">
        <v>213</v>
      </c>
      <c r="H1455" t="s">
        <v>49</v>
      </c>
      <c r="I1455" t="s">
        <v>29</v>
      </c>
      <c r="J1455" t="s">
        <v>70</v>
      </c>
      <c r="K1455">
        <v>4</v>
      </c>
      <c r="L1455">
        <v>35</v>
      </c>
      <c r="M1455">
        <v>128000</v>
      </c>
      <c r="N1455">
        <v>6400</v>
      </c>
      <c r="O1455">
        <v>121600</v>
      </c>
      <c r="P1455">
        <v>90900</v>
      </c>
      <c r="Q1455">
        <v>30700</v>
      </c>
      <c r="R1455">
        <v>25.25</v>
      </c>
      <c r="S1455" t="s">
        <v>79</v>
      </c>
      <c r="T1455">
        <v>10200</v>
      </c>
      <c r="U1455">
        <v>3.4</v>
      </c>
      <c r="V1455" t="s">
        <v>42</v>
      </c>
    </row>
    <row r="1456" spans="1:22" x14ac:dyDescent="0.3">
      <c r="A1456" t="s">
        <v>2056</v>
      </c>
      <c r="B1456" t="s">
        <v>2057</v>
      </c>
      <c r="C1456" t="s">
        <v>2058</v>
      </c>
      <c r="D1456" s="2">
        <v>46368</v>
      </c>
      <c r="E1456" t="s">
        <v>26</v>
      </c>
      <c r="F1456" t="s">
        <v>26</v>
      </c>
      <c r="G1456" t="s">
        <v>48</v>
      </c>
      <c r="H1456" t="s">
        <v>5470</v>
      </c>
      <c r="I1456" t="s">
        <v>69</v>
      </c>
      <c r="J1456" t="s">
        <v>30</v>
      </c>
      <c r="K1456">
        <v>4</v>
      </c>
      <c r="L1456">
        <v>46</v>
      </c>
      <c r="M1456">
        <v>20900</v>
      </c>
      <c r="N1456">
        <v>1000</v>
      </c>
      <c r="O1456">
        <v>19900</v>
      </c>
      <c r="P1456">
        <v>14900</v>
      </c>
      <c r="Q1456">
        <v>5000</v>
      </c>
      <c r="R1456">
        <v>25.13</v>
      </c>
      <c r="S1456" t="s">
        <v>97</v>
      </c>
      <c r="T1456">
        <v>2800</v>
      </c>
      <c r="U1456">
        <v>3.5</v>
      </c>
      <c r="V1456" t="s">
        <v>42</v>
      </c>
    </row>
    <row r="1457" spans="1:22" x14ac:dyDescent="0.3">
      <c r="A1457" t="s">
        <v>4378</v>
      </c>
      <c r="B1457" t="s">
        <v>1578</v>
      </c>
      <c r="C1457" t="s">
        <v>1579</v>
      </c>
      <c r="D1457" s="2">
        <v>46368</v>
      </c>
      <c r="E1457" t="s">
        <v>244</v>
      </c>
      <c r="F1457" t="s">
        <v>244</v>
      </c>
      <c r="G1457" t="s">
        <v>580</v>
      </c>
      <c r="H1457" t="s">
        <v>5470</v>
      </c>
      <c r="I1457" t="s">
        <v>69</v>
      </c>
      <c r="J1457" t="s">
        <v>70</v>
      </c>
      <c r="K1457">
        <v>5</v>
      </c>
      <c r="L1457">
        <v>21</v>
      </c>
      <c r="M1457">
        <v>114900</v>
      </c>
      <c r="N1457">
        <v>0</v>
      </c>
      <c r="O1457">
        <v>114900</v>
      </c>
      <c r="P1457">
        <v>69900</v>
      </c>
      <c r="Q1457">
        <v>45000</v>
      </c>
      <c r="R1457">
        <v>39.159999999999997</v>
      </c>
      <c r="S1457" t="s">
        <v>79</v>
      </c>
      <c r="T1457">
        <v>9200</v>
      </c>
      <c r="U1457">
        <v>3.6</v>
      </c>
      <c r="V1457" t="s">
        <v>79</v>
      </c>
    </row>
    <row r="1458" spans="1:22" x14ac:dyDescent="0.3">
      <c r="A1458" t="s">
        <v>3700</v>
      </c>
      <c r="B1458" t="s">
        <v>1101</v>
      </c>
      <c r="C1458" t="s">
        <v>1102</v>
      </c>
      <c r="D1458" s="2">
        <v>46369</v>
      </c>
      <c r="E1458" t="s">
        <v>188</v>
      </c>
      <c r="F1458" t="s">
        <v>188</v>
      </c>
      <c r="G1458" t="s">
        <v>580</v>
      </c>
      <c r="H1458" t="s">
        <v>68</v>
      </c>
      <c r="I1458" t="s">
        <v>69</v>
      </c>
      <c r="J1458" t="s">
        <v>70</v>
      </c>
      <c r="K1458">
        <v>2</v>
      </c>
      <c r="L1458">
        <v>23</v>
      </c>
      <c r="M1458">
        <v>77000</v>
      </c>
      <c r="N1458">
        <v>11600</v>
      </c>
      <c r="O1458">
        <v>65400</v>
      </c>
      <c r="P1458">
        <v>49400</v>
      </c>
      <c r="Q1458">
        <v>16000</v>
      </c>
      <c r="R1458">
        <v>24.46</v>
      </c>
      <c r="S1458" t="s">
        <v>39</v>
      </c>
      <c r="T1458">
        <v>10600</v>
      </c>
      <c r="U1458">
        <v>4.2</v>
      </c>
      <c r="V1458" t="s">
        <v>79</v>
      </c>
    </row>
    <row r="1459" spans="1:22" x14ac:dyDescent="0.3">
      <c r="A1459" t="s">
        <v>4282</v>
      </c>
      <c r="B1459" t="s">
        <v>240</v>
      </c>
      <c r="C1459" t="s">
        <v>241</v>
      </c>
      <c r="D1459" s="2">
        <v>46369</v>
      </c>
      <c r="E1459" t="s">
        <v>228</v>
      </c>
      <c r="F1459" t="s">
        <v>228</v>
      </c>
      <c r="G1459" t="s">
        <v>118</v>
      </c>
      <c r="H1459" t="s">
        <v>5470</v>
      </c>
      <c r="I1459" t="s">
        <v>69</v>
      </c>
      <c r="J1459" t="s">
        <v>30</v>
      </c>
      <c r="K1459">
        <v>4</v>
      </c>
      <c r="L1459">
        <v>40</v>
      </c>
      <c r="M1459">
        <v>55000</v>
      </c>
      <c r="N1459">
        <v>8200</v>
      </c>
      <c r="O1459">
        <v>46800</v>
      </c>
      <c r="P1459">
        <v>37900</v>
      </c>
      <c r="Q1459">
        <v>8900</v>
      </c>
      <c r="R1459">
        <v>19.02</v>
      </c>
      <c r="S1459" t="s">
        <v>39</v>
      </c>
      <c r="T1459">
        <v>3700</v>
      </c>
      <c r="U1459">
        <v>2.7</v>
      </c>
      <c r="V1459" t="s">
        <v>114</v>
      </c>
    </row>
    <row r="1460" spans="1:22" x14ac:dyDescent="0.3">
      <c r="A1460" t="s">
        <v>5122</v>
      </c>
      <c r="B1460" t="s">
        <v>364</v>
      </c>
      <c r="C1460" t="s">
        <v>365</v>
      </c>
      <c r="D1460" s="2">
        <v>46369</v>
      </c>
      <c r="E1460" t="s">
        <v>66</v>
      </c>
      <c r="F1460" t="s">
        <v>66</v>
      </c>
      <c r="G1460" t="s">
        <v>48</v>
      </c>
      <c r="H1460" t="s">
        <v>268</v>
      </c>
      <c r="I1460" t="s">
        <v>29</v>
      </c>
      <c r="J1460" t="s">
        <v>30</v>
      </c>
      <c r="K1460">
        <v>4</v>
      </c>
      <c r="M1460">
        <v>15000</v>
      </c>
      <c r="N1460">
        <v>0</v>
      </c>
      <c r="O1460">
        <v>15000</v>
      </c>
      <c r="P1460">
        <v>9600</v>
      </c>
      <c r="Q1460">
        <v>5400</v>
      </c>
      <c r="R1460">
        <v>36</v>
      </c>
      <c r="S1460" t="s">
        <v>97</v>
      </c>
      <c r="T1460">
        <v>1500</v>
      </c>
      <c r="U1460">
        <v>3.5</v>
      </c>
      <c r="V1460" t="s">
        <v>114</v>
      </c>
    </row>
    <row r="1461" spans="1:22" x14ac:dyDescent="0.3">
      <c r="A1461" t="s">
        <v>2494</v>
      </c>
      <c r="B1461" t="s">
        <v>2495</v>
      </c>
      <c r="C1461" t="s">
        <v>2496</v>
      </c>
      <c r="D1461" s="2">
        <v>46370</v>
      </c>
      <c r="E1461" t="s">
        <v>26</v>
      </c>
      <c r="F1461" t="s">
        <v>26</v>
      </c>
      <c r="G1461" t="s">
        <v>27</v>
      </c>
      <c r="H1461" t="s">
        <v>28</v>
      </c>
      <c r="I1461" t="s">
        <v>29</v>
      </c>
      <c r="J1461" t="s">
        <v>257</v>
      </c>
      <c r="K1461">
        <v>2</v>
      </c>
      <c r="L1461">
        <v>40</v>
      </c>
      <c r="M1461">
        <v>40100</v>
      </c>
      <c r="N1461">
        <v>6000</v>
      </c>
      <c r="O1461">
        <v>34100</v>
      </c>
      <c r="P1461">
        <v>27000</v>
      </c>
      <c r="Q1461">
        <v>7100</v>
      </c>
      <c r="R1461">
        <v>20.82</v>
      </c>
      <c r="S1461" t="s">
        <v>182</v>
      </c>
      <c r="T1461">
        <v>1600</v>
      </c>
      <c r="U1461">
        <v>3</v>
      </c>
      <c r="V1461" t="s">
        <v>79</v>
      </c>
    </row>
    <row r="1462" spans="1:22" x14ac:dyDescent="0.3">
      <c r="A1462" t="s">
        <v>3325</v>
      </c>
      <c r="B1462" t="s">
        <v>1386</v>
      </c>
      <c r="C1462" t="s">
        <v>1387</v>
      </c>
      <c r="D1462" s="2">
        <v>46370</v>
      </c>
      <c r="E1462" t="s">
        <v>228</v>
      </c>
      <c r="F1462" t="s">
        <v>228</v>
      </c>
      <c r="G1462" t="s">
        <v>27</v>
      </c>
      <c r="H1462" t="s">
        <v>214</v>
      </c>
      <c r="I1462" t="s">
        <v>29</v>
      </c>
      <c r="J1462" t="s">
        <v>30</v>
      </c>
      <c r="K1462">
        <v>4</v>
      </c>
      <c r="L1462">
        <v>67</v>
      </c>
      <c r="M1462">
        <v>129700</v>
      </c>
      <c r="N1462">
        <v>0</v>
      </c>
      <c r="O1462">
        <v>129700</v>
      </c>
      <c r="P1462">
        <v>80400</v>
      </c>
      <c r="Q1462">
        <v>49300</v>
      </c>
      <c r="R1462">
        <v>38.01</v>
      </c>
      <c r="S1462" t="s">
        <v>126</v>
      </c>
      <c r="T1462">
        <v>15100</v>
      </c>
      <c r="U1462">
        <v>4.3</v>
      </c>
      <c r="V1462" t="s">
        <v>79</v>
      </c>
    </row>
    <row r="1463" spans="1:22" x14ac:dyDescent="0.3">
      <c r="A1463" t="s">
        <v>4261</v>
      </c>
      <c r="B1463" t="s">
        <v>1275</v>
      </c>
      <c r="C1463" t="s">
        <v>1276</v>
      </c>
      <c r="D1463" s="2">
        <v>46370</v>
      </c>
      <c r="E1463" t="s">
        <v>228</v>
      </c>
      <c r="F1463" t="s">
        <v>228</v>
      </c>
      <c r="G1463" t="s">
        <v>103</v>
      </c>
      <c r="H1463" t="s">
        <v>49</v>
      </c>
      <c r="I1463" t="s">
        <v>69</v>
      </c>
      <c r="J1463" t="s">
        <v>30</v>
      </c>
      <c r="K1463">
        <v>9</v>
      </c>
      <c r="L1463">
        <v>5</v>
      </c>
      <c r="M1463">
        <v>40500</v>
      </c>
      <c r="N1463">
        <v>4000</v>
      </c>
      <c r="O1463">
        <v>36500</v>
      </c>
      <c r="P1463">
        <v>31600</v>
      </c>
      <c r="Q1463">
        <v>4900</v>
      </c>
      <c r="R1463">
        <v>13.42</v>
      </c>
      <c r="S1463" t="s">
        <v>97</v>
      </c>
      <c r="T1463">
        <v>6500</v>
      </c>
      <c r="U1463">
        <v>3.2</v>
      </c>
      <c r="V1463" t="s">
        <v>114</v>
      </c>
    </row>
    <row r="1464" spans="1:22" x14ac:dyDescent="0.3">
      <c r="A1464" t="s">
        <v>594</v>
      </c>
      <c r="B1464" t="s">
        <v>595</v>
      </c>
      <c r="C1464" t="s">
        <v>596</v>
      </c>
      <c r="D1464" s="2">
        <v>46370</v>
      </c>
      <c r="E1464" t="s">
        <v>134</v>
      </c>
      <c r="F1464" t="s">
        <v>134</v>
      </c>
      <c r="G1464" t="s">
        <v>27</v>
      </c>
      <c r="H1464" t="s">
        <v>214</v>
      </c>
      <c r="I1464" t="s">
        <v>29</v>
      </c>
      <c r="J1464" t="s">
        <v>30</v>
      </c>
      <c r="K1464">
        <v>10</v>
      </c>
      <c r="L1464">
        <v>34</v>
      </c>
      <c r="M1464">
        <v>51500</v>
      </c>
      <c r="N1464">
        <v>7700</v>
      </c>
      <c r="O1464">
        <v>43800</v>
      </c>
      <c r="P1464">
        <v>35200</v>
      </c>
      <c r="Q1464">
        <v>8600</v>
      </c>
      <c r="R1464">
        <v>19.63</v>
      </c>
      <c r="S1464" t="s">
        <v>79</v>
      </c>
      <c r="T1464">
        <v>5500</v>
      </c>
      <c r="U1464">
        <v>5</v>
      </c>
      <c r="V1464" t="s">
        <v>79</v>
      </c>
    </row>
    <row r="1465" spans="1:22" x14ac:dyDescent="0.3">
      <c r="A1465" t="s">
        <v>4131</v>
      </c>
      <c r="B1465" t="s">
        <v>2846</v>
      </c>
      <c r="C1465" t="s">
        <v>2847</v>
      </c>
      <c r="D1465" s="2">
        <v>46371</v>
      </c>
      <c r="E1465" t="s">
        <v>188</v>
      </c>
      <c r="F1465" t="s">
        <v>188</v>
      </c>
      <c r="G1465" t="s">
        <v>118</v>
      </c>
      <c r="H1465" t="s">
        <v>68</v>
      </c>
      <c r="I1465" t="s">
        <v>69</v>
      </c>
      <c r="J1465" t="s">
        <v>70</v>
      </c>
      <c r="K1465">
        <v>8</v>
      </c>
      <c r="L1465">
        <v>36</v>
      </c>
      <c r="M1465">
        <v>30500</v>
      </c>
      <c r="N1465">
        <v>3000</v>
      </c>
      <c r="O1465">
        <v>27500</v>
      </c>
      <c r="P1465">
        <v>24800</v>
      </c>
      <c r="Q1465">
        <v>2700</v>
      </c>
      <c r="R1465">
        <v>9.82</v>
      </c>
      <c r="S1465" t="s">
        <v>97</v>
      </c>
      <c r="T1465">
        <v>1300</v>
      </c>
      <c r="U1465">
        <v>3.1</v>
      </c>
      <c r="V1465" t="s">
        <v>82</v>
      </c>
    </row>
    <row r="1466" spans="1:22" x14ac:dyDescent="0.3">
      <c r="A1466" t="s">
        <v>585</v>
      </c>
      <c r="B1466" t="s">
        <v>586</v>
      </c>
      <c r="C1466" t="s">
        <v>587</v>
      </c>
      <c r="D1466" s="2">
        <v>46371</v>
      </c>
      <c r="E1466" t="s">
        <v>134</v>
      </c>
      <c r="F1466" t="s">
        <v>134</v>
      </c>
      <c r="G1466" t="s">
        <v>213</v>
      </c>
      <c r="H1466" t="s">
        <v>88</v>
      </c>
      <c r="I1466" t="s">
        <v>69</v>
      </c>
      <c r="J1466" t="s">
        <v>30</v>
      </c>
      <c r="K1466">
        <v>8</v>
      </c>
      <c r="L1466">
        <v>24</v>
      </c>
      <c r="M1466">
        <v>110600</v>
      </c>
      <c r="N1466">
        <v>0</v>
      </c>
      <c r="O1466">
        <v>110600</v>
      </c>
      <c r="P1466">
        <v>54100</v>
      </c>
      <c r="Q1466">
        <v>56500</v>
      </c>
      <c r="R1466">
        <v>51.08</v>
      </c>
      <c r="S1466" t="s">
        <v>39</v>
      </c>
      <c r="T1466">
        <v>11300</v>
      </c>
      <c r="U1466">
        <v>3.9</v>
      </c>
      <c r="V1466" t="s">
        <v>79</v>
      </c>
    </row>
    <row r="1467" spans="1:22" x14ac:dyDescent="0.3">
      <c r="A1467" t="s">
        <v>4381</v>
      </c>
      <c r="B1467" t="s">
        <v>2173</v>
      </c>
      <c r="C1467" t="s">
        <v>2174</v>
      </c>
      <c r="D1467" s="2">
        <v>46371</v>
      </c>
      <c r="E1467" t="s">
        <v>134</v>
      </c>
      <c r="F1467" t="s">
        <v>134</v>
      </c>
      <c r="G1467" t="s">
        <v>67</v>
      </c>
      <c r="H1467" t="s">
        <v>268</v>
      </c>
      <c r="I1467" t="s">
        <v>69</v>
      </c>
      <c r="J1467" t="s">
        <v>162</v>
      </c>
      <c r="K1467">
        <v>2</v>
      </c>
      <c r="L1467">
        <v>27</v>
      </c>
      <c r="M1467">
        <v>36600</v>
      </c>
      <c r="N1467">
        <v>5500</v>
      </c>
      <c r="O1467">
        <v>31100</v>
      </c>
      <c r="P1467">
        <v>19100</v>
      </c>
      <c r="Q1467">
        <v>12000</v>
      </c>
      <c r="R1467">
        <v>38.590000000000003</v>
      </c>
      <c r="S1467" t="s">
        <v>79</v>
      </c>
      <c r="T1467">
        <v>5200</v>
      </c>
      <c r="U1467">
        <v>5</v>
      </c>
      <c r="V1467" t="s">
        <v>82</v>
      </c>
    </row>
    <row r="1468" spans="1:22" x14ac:dyDescent="0.3">
      <c r="A1468" t="s">
        <v>5010</v>
      </c>
      <c r="B1468" t="s">
        <v>197</v>
      </c>
      <c r="C1468" t="s">
        <v>198</v>
      </c>
      <c r="D1468" s="2">
        <v>46372</v>
      </c>
      <c r="E1468" t="s">
        <v>66</v>
      </c>
      <c r="F1468" t="s">
        <v>66</v>
      </c>
      <c r="G1468" t="s">
        <v>213</v>
      </c>
      <c r="H1468" t="s">
        <v>68</v>
      </c>
      <c r="I1468" t="s">
        <v>69</v>
      </c>
      <c r="J1468" t="s">
        <v>30</v>
      </c>
      <c r="K1468">
        <v>10</v>
      </c>
      <c r="L1468">
        <v>28</v>
      </c>
      <c r="M1468">
        <v>25300</v>
      </c>
      <c r="N1468">
        <v>1300</v>
      </c>
      <c r="O1468">
        <v>24000</v>
      </c>
      <c r="P1468">
        <v>14900</v>
      </c>
      <c r="Q1468">
        <v>9100</v>
      </c>
      <c r="R1468">
        <v>37.92</v>
      </c>
      <c r="S1468" t="s">
        <v>97</v>
      </c>
      <c r="T1468">
        <v>3000</v>
      </c>
      <c r="U1468">
        <v>4</v>
      </c>
      <c r="V1468" t="s">
        <v>82</v>
      </c>
    </row>
    <row r="1469" spans="1:22" x14ac:dyDescent="0.3">
      <c r="A1469" t="s">
        <v>3812</v>
      </c>
      <c r="B1469" t="s">
        <v>777</v>
      </c>
      <c r="C1469" t="s">
        <v>778</v>
      </c>
      <c r="D1469" s="2">
        <v>46372</v>
      </c>
      <c r="E1469" t="s">
        <v>188</v>
      </c>
      <c r="F1469" t="s">
        <v>188</v>
      </c>
      <c r="G1469" t="s">
        <v>103</v>
      </c>
      <c r="H1469" t="s">
        <v>214</v>
      </c>
      <c r="I1469" t="s">
        <v>69</v>
      </c>
      <c r="J1469" t="s">
        <v>30</v>
      </c>
      <c r="K1469">
        <v>8</v>
      </c>
      <c r="L1469">
        <v>5</v>
      </c>
      <c r="M1469">
        <v>47900</v>
      </c>
      <c r="N1469">
        <v>4800</v>
      </c>
      <c r="O1469">
        <v>43100</v>
      </c>
      <c r="P1469">
        <v>32300</v>
      </c>
      <c r="Q1469">
        <v>10800</v>
      </c>
      <c r="R1469">
        <v>25.06</v>
      </c>
      <c r="S1469" t="s">
        <v>126</v>
      </c>
      <c r="T1469">
        <v>6700</v>
      </c>
      <c r="U1469">
        <v>3.4</v>
      </c>
      <c r="V1469" t="s">
        <v>79</v>
      </c>
    </row>
    <row r="1470" spans="1:22" x14ac:dyDescent="0.3">
      <c r="A1470" t="s">
        <v>5070</v>
      </c>
      <c r="B1470" t="s">
        <v>3204</v>
      </c>
      <c r="C1470" t="s">
        <v>3205</v>
      </c>
      <c r="D1470" s="2">
        <v>46372</v>
      </c>
      <c r="E1470" t="s">
        <v>134</v>
      </c>
      <c r="F1470" t="s">
        <v>134</v>
      </c>
      <c r="G1470" t="s">
        <v>48</v>
      </c>
      <c r="H1470" t="s">
        <v>88</v>
      </c>
      <c r="I1470" t="s">
        <v>69</v>
      </c>
      <c r="J1470" t="s">
        <v>70</v>
      </c>
      <c r="K1470">
        <v>4</v>
      </c>
      <c r="L1470">
        <v>76</v>
      </c>
      <c r="M1470">
        <v>79500</v>
      </c>
      <c r="N1470">
        <v>15900</v>
      </c>
      <c r="O1470">
        <v>63600</v>
      </c>
      <c r="P1470">
        <v>62900</v>
      </c>
      <c r="Q1470">
        <v>700</v>
      </c>
      <c r="R1470">
        <v>1.1000000000000001</v>
      </c>
      <c r="S1470" t="s">
        <v>97</v>
      </c>
      <c r="T1470">
        <v>3900</v>
      </c>
      <c r="U1470">
        <v>4.5999999999999996</v>
      </c>
      <c r="V1470" t="s">
        <v>58</v>
      </c>
    </row>
    <row r="1471" spans="1:22" x14ac:dyDescent="0.3">
      <c r="A1471" t="s">
        <v>4099</v>
      </c>
      <c r="B1471" t="s">
        <v>669</v>
      </c>
      <c r="C1471" t="s">
        <v>670</v>
      </c>
      <c r="D1471" s="2">
        <v>46373</v>
      </c>
      <c r="E1471" t="s">
        <v>26</v>
      </c>
      <c r="F1471" t="s">
        <v>26</v>
      </c>
      <c r="G1471" t="s">
        <v>67</v>
      </c>
      <c r="H1471" t="s">
        <v>268</v>
      </c>
      <c r="I1471" t="s">
        <v>69</v>
      </c>
      <c r="J1471" t="s">
        <v>30</v>
      </c>
      <c r="K1471">
        <v>2</v>
      </c>
      <c r="L1471">
        <v>26</v>
      </c>
      <c r="M1471">
        <v>45900</v>
      </c>
      <c r="N1471">
        <v>6900</v>
      </c>
      <c r="O1471">
        <v>39000</v>
      </c>
      <c r="P1471">
        <v>32200</v>
      </c>
      <c r="Q1471">
        <v>6800</v>
      </c>
      <c r="R1471">
        <v>17.440000000000001</v>
      </c>
      <c r="S1471" t="s">
        <v>97</v>
      </c>
      <c r="T1471">
        <v>5000</v>
      </c>
      <c r="U1471">
        <v>2.8</v>
      </c>
      <c r="V1471" t="s">
        <v>42</v>
      </c>
    </row>
    <row r="1472" spans="1:22" x14ac:dyDescent="0.3">
      <c r="A1472" t="s">
        <v>2812</v>
      </c>
      <c r="B1472" t="s">
        <v>1226</v>
      </c>
      <c r="C1472" t="s">
        <v>1227</v>
      </c>
      <c r="D1472" s="2">
        <v>46373</v>
      </c>
      <c r="E1472" t="s">
        <v>282</v>
      </c>
      <c r="F1472" t="s">
        <v>282</v>
      </c>
      <c r="G1472" t="s">
        <v>147</v>
      </c>
      <c r="H1472" t="s">
        <v>88</v>
      </c>
      <c r="I1472" t="s">
        <v>29</v>
      </c>
      <c r="J1472" t="s">
        <v>30</v>
      </c>
      <c r="K1472">
        <v>10</v>
      </c>
      <c r="L1472">
        <v>33</v>
      </c>
      <c r="M1472">
        <v>124000</v>
      </c>
      <c r="N1472">
        <v>18600</v>
      </c>
      <c r="O1472">
        <v>105400</v>
      </c>
      <c r="P1472">
        <v>64700</v>
      </c>
      <c r="Q1472">
        <v>40700</v>
      </c>
      <c r="R1472">
        <v>38.61</v>
      </c>
      <c r="S1472" t="s">
        <v>97</v>
      </c>
      <c r="T1472">
        <v>9400</v>
      </c>
      <c r="U1472">
        <v>2.8</v>
      </c>
      <c r="V1472" t="s">
        <v>114</v>
      </c>
    </row>
    <row r="1473" spans="1:22" x14ac:dyDescent="0.3">
      <c r="A1473" t="s">
        <v>2103</v>
      </c>
      <c r="B1473" t="s">
        <v>2104</v>
      </c>
      <c r="C1473" t="s">
        <v>2105</v>
      </c>
      <c r="D1473" s="2">
        <v>46373</v>
      </c>
      <c r="E1473" t="s">
        <v>26</v>
      </c>
      <c r="F1473" t="s">
        <v>26</v>
      </c>
      <c r="G1473" t="s">
        <v>147</v>
      </c>
      <c r="H1473" t="s">
        <v>49</v>
      </c>
      <c r="I1473" t="s">
        <v>29</v>
      </c>
      <c r="J1473" t="s">
        <v>70</v>
      </c>
      <c r="K1473">
        <v>8</v>
      </c>
      <c r="L1473">
        <v>18</v>
      </c>
      <c r="M1473">
        <v>47900</v>
      </c>
      <c r="N1473">
        <v>7200</v>
      </c>
      <c r="O1473">
        <v>40700</v>
      </c>
      <c r="P1473">
        <v>37000</v>
      </c>
      <c r="Q1473">
        <v>3700</v>
      </c>
      <c r="R1473">
        <v>9.09</v>
      </c>
      <c r="S1473" t="s">
        <v>39</v>
      </c>
      <c r="T1473">
        <v>1900</v>
      </c>
      <c r="U1473">
        <v>3.1</v>
      </c>
      <c r="V1473" t="s">
        <v>79</v>
      </c>
    </row>
    <row r="1474" spans="1:22" x14ac:dyDescent="0.3">
      <c r="A1474" t="s">
        <v>3220</v>
      </c>
      <c r="B1474" t="s">
        <v>1417</v>
      </c>
      <c r="C1474" t="s">
        <v>1418</v>
      </c>
      <c r="D1474" s="2">
        <v>46373</v>
      </c>
      <c r="E1474" t="s">
        <v>26</v>
      </c>
      <c r="F1474" t="s">
        <v>26</v>
      </c>
      <c r="G1474" t="s">
        <v>580</v>
      </c>
      <c r="H1474" t="s">
        <v>214</v>
      </c>
      <c r="I1474" t="s">
        <v>69</v>
      </c>
      <c r="J1474" t="s">
        <v>30</v>
      </c>
      <c r="K1474">
        <v>9</v>
      </c>
      <c r="L1474">
        <v>36</v>
      </c>
      <c r="M1474">
        <v>33900</v>
      </c>
      <c r="N1474">
        <v>6800</v>
      </c>
      <c r="O1474">
        <v>27100</v>
      </c>
      <c r="P1474">
        <v>20300</v>
      </c>
      <c r="Q1474">
        <v>6800</v>
      </c>
      <c r="R1474">
        <v>25.09</v>
      </c>
      <c r="S1474" t="s">
        <v>79</v>
      </c>
      <c r="T1474">
        <v>1600</v>
      </c>
      <c r="U1474">
        <v>5</v>
      </c>
      <c r="V1474" t="s">
        <v>114</v>
      </c>
    </row>
    <row r="1475" spans="1:22" x14ac:dyDescent="0.3">
      <c r="A1475" t="s">
        <v>4706</v>
      </c>
      <c r="B1475" t="s">
        <v>570</v>
      </c>
      <c r="C1475" t="s">
        <v>571</v>
      </c>
      <c r="D1475" s="2">
        <v>46374</v>
      </c>
      <c r="E1475" t="s">
        <v>228</v>
      </c>
      <c r="F1475" t="s">
        <v>228</v>
      </c>
      <c r="G1475" t="s">
        <v>67</v>
      </c>
      <c r="H1475" t="s">
        <v>268</v>
      </c>
      <c r="I1475" t="s">
        <v>69</v>
      </c>
      <c r="J1475" t="s">
        <v>30</v>
      </c>
      <c r="K1475">
        <v>10</v>
      </c>
      <c r="L1475">
        <v>28</v>
      </c>
      <c r="M1475">
        <v>15000</v>
      </c>
      <c r="N1475">
        <v>0</v>
      </c>
      <c r="O1475">
        <v>15000</v>
      </c>
      <c r="P1475">
        <v>9300</v>
      </c>
      <c r="Q1475">
        <v>5700</v>
      </c>
      <c r="R1475">
        <v>38</v>
      </c>
      <c r="S1475" t="s">
        <v>97</v>
      </c>
      <c r="T1475">
        <v>1000</v>
      </c>
      <c r="V1475" t="s">
        <v>42</v>
      </c>
    </row>
    <row r="1476" spans="1:22" x14ac:dyDescent="0.3">
      <c r="A1476" t="s">
        <v>705</v>
      </c>
      <c r="B1476" t="s">
        <v>706</v>
      </c>
      <c r="C1476" t="s">
        <v>707</v>
      </c>
      <c r="D1476" s="2">
        <v>46374</v>
      </c>
      <c r="E1476" t="s">
        <v>134</v>
      </c>
      <c r="F1476" t="s">
        <v>134</v>
      </c>
      <c r="G1476" t="s">
        <v>27</v>
      </c>
      <c r="H1476" t="s">
        <v>68</v>
      </c>
      <c r="I1476" t="s">
        <v>69</v>
      </c>
      <c r="J1476" t="s">
        <v>70</v>
      </c>
      <c r="K1476">
        <v>6</v>
      </c>
      <c r="L1476">
        <v>38</v>
      </c>
      <c r="M1476">
        <v>64500</v>
      </c>
      <c r="N1476">
        <v>6400</v>
      </c>
      <c r="O1476">
        <v>58100</v>
      </c>
      <c r="P1476">
        <v>37100</v>
      </c>
      <c r="Q1476">
        <v>21000</v>
      </c>
      <c r="R1476">
        <v>36.14</v>
      </c>
      <c r="S1476" t="s">
        <v>126</v>
      </c>
      <c r="T1476">
        <v>10100</v>
      </c>
      <c r="U1476">
        <v>3.9</v>
      </c>
      <c r="V1476" t="s">
        <v>42</v>
      </c>
    </row>
    <row r="1477" spans="1:22" x14ac:dyDescent="0.3">
      <c r="A1477" t="s">
        <v>2746</v>
      </c>
      <c r="B1477" t="s">
        <v>2547</v>
      </c>
      <c r="C1477" t="s">
        <v>2548</v>
      </c>
      <c r="D1477" s="2">
        <v>46374</v>
      </c>
      <c r="E1477" t="s">
        <v>282</v>
      </c>
      <c r="F1477" t="s">
        <v>282</v>
      </c>
      <c r="G1477" t="s">
        <v>48</v>
      </c>
      <c r="H1477" t="s">
        <v>229</v>
      </c>
      <c r="I1477" t="s">
        <v>69</v>
      </c>
      <c r="J1477" t="s">
        <v>30</v>
      </c>
      <c r="K1477">
        <v>4</v>
      </c>
      <c r="L1477">
        <v>59</v>
      </c>
      <c r="M1477">
        <v>77500</v>
      </c>
      <c r="N1477">
        <v>0</v>
      </c>
      <c r="O1477">
        <v>77500</v>
      </c>
      <c r="P1477">
        <v>51500</v>
      </c>
      <c r="Q1477">
        <v>26000</v>
      </c>
      <c r="R1477">
        <v>33.549999999999997</v>
      </c>
      <c r="S1477" t="s">
        <v>182</v>
      </c>
      <c r="T1477">
        <v>8800</v>
      </c>
      <c r="U1477">
        <v>5</v>
      </c>
      <c r="V1477" t="s">
        <v>58</v>
      </c>
    </row>
    <row r="1478" spans="1:22" x14ac:dyDescent="0.3">
      <c r="A1478" t="s">
        <v>4280</v>
      </c>
      <c r="B1478" t="s">
        <v>1830</v>
      </c>
      <c r="C1478" t="s">
        <v>1831</v>
      </c>
      <c r="D1478" s="2">
        <v>46375</v>
      </c>
      <c r="E1478" t="s">
        <v>228</v>
      </c>
      <c r="F1478" t="s">
        <v>228</v>
      </c>
      <c r="G1478" t="s">
        <v>27</v>
      </c>
      <c r="H1478" t="s">
        <v>5470</v>
      </c>
      <c r="I1478" t="s">
        <v>69</v>
      </c>
      <c r="J1478" t="s">
        <v>30</v>
      </c>
      <c r="K1478">
        <v>2</v>
      </c>
      <c r="L1478">
        <v>42</v>
      </c>
      <c r="M1478">
        <v>22800</v>
      </c>
      <c r="N1478">
        <v>2300</v>
      </c>
      <c r="O1478">
        <v>20500</v>
      </c>
      <c r="P1478">
        <v>14200</v>
      </c>
      <c r="Q1478">
        <v>6300</v>
      </c>
      <c r="R1478">
        <v>30.73</v>
      </c>
      <c r="S1478" t="s">
        <v>79</v>
      </c>
      <c r="T1478">
        <v>1900</v>
      </c>
      <c r="U1478">
        <v>5</v>
      </c>
      <c r="V1478" t="s">
        <v>42</v>
      </c>
    </row>
    <row r="1479" spans="1:22" x14ac:dyDescent="0.3">
      <c r="A1479" t="s">
        <v>2329</v>
      </c>
      <c r="B1479" t="s">
        <v>2330</v>
      </c>
      <c r="C1479" t="s">
        <v>2331</v>
      </c>
      <c r="D1479" s="2">
        <v>46375</v>
      </c>
      <c r="E1479" t="s">
        <v>244</v>
      </c>
      <c r="F1479" t="s">
        <v>244</v>
      </c>
      <c r="G1479" t="s">
        <v>48</v>
      </c>
      <c r="H1479" t="s">
        <v>68</v>
      </c>
      <c r="I1479" t="s">
        <v>69</v>
      </c>
      <c r="J1479" t="s">
        <v>70</v>
      </c>
      <c r="K1479">
        <v>10</v>
      </c>
      <c r="L1479">
        <v>36</v>
      </c>
      <c r="M1479">
        <v>68800</v>
      </c>
      <c r="N1479">
        <v>0</v>
      </c>
      <c r="O1479">
        <v>68800</v>
      </c>
      <c r="P1479">
        <v>51100</v>
      </c>
      <c r="Q1479">
        <v>17700</v>
      </c>
      <c r="R1479">
        <v>25.73</v>
      </c>
      <c r="S1479" t="s">
        <v>79</v>
      </c>
      <c r="T1479">
        <v>9800</v>
      </c>
      <c r="U1479">
        <v>4</v>
      </c>
      <c r="V1479" t="s">
        <v>58</v>
      </c>
    </row>
    <row r="1480" spans="1:22" x14ac:dyDescent="0.3">
      <c r="A1480" t="s">
        <v>1160</v>
      </c>
      <c r="B1480" t="s">
        <v>1093</v>
      </c>
      <c r="C1480" t="s">
        <v>1094</v>
      </c>
      <c r="D1480" s="2">
        <v>46376</v>
      </c>
      <c r="E1480" t="s">
        <v>161</v>
      </c>
      <c r="F1480" t="s">
        <v>161</v>
      </c>
      <c r="G1480" t="s">
        <v>103</v>
      </c>
      <c r="H1480" t="s">
        <v>28</v>
      </c>
      <c r="I1480" t="s">
        <v>29</v>
      </c>
      <c r="J1480" t="s">
        <v>162</v>
      </c>
      <c r="K1480">
        <v>3</v>
      </c>
      <c r="L1480">
        <v>33</v>
      </c>
      <c r="M1480">
        <v>34800</v>
      </c>
      <c r="N1480">
        <v>1700</v>
      </c>
      <c r="O1480">
        <v>33100</v>
      </c>
      <c r="P1480">
        <v>24700</v>
      </c>
      <c r="Q1480">
        <v>8400</v>
      </c>
      <c r="R1480">
        <v>25.38</v>
      </c>
      <c r="S1480" t="s">
        <v>58</v>
      </c>
      <c r="T1480">
        <v>5600</v>
      </c>
      <c r="U1480">
        <v>5</v>
      </c>
      <c r="V1480" t="s">
        <v>114</v>
      </c>
    </row>
    <row r="1481" spans="1:22" x14ac:dyDescent="0.3">
      <c r="A1481" t="s">
        <v>3009</v>
      </c>
      <c r="B1481" t="s">
        <v>1245</v>
      </c>
      <c r="C1481" t="s">
        <v>1246</v>
      </c>
      <c r="D1481" s="2">
        <v>46377</v>
      </c>
      <c r="E1481" t="s">
        <v>282</v>
      </c>
      <c r="F1481" t="s">
        <v>282</v>
      </c>
      <c r="G1481" t="s">
        <v>147</v>
      </c>
      <c r="H1481" t="s">
        <v>28</v>
      </c>
      <c r="I1481" t="s">
        <v>69</v>
      </c>
      <c r="J1481" t="s">
        <v>30</v>
      </c>
      <c r="K1481">
        <v>3</v>
      </c>
      <c r="L1481">
        <v>66</v>
      </c>
      <c r="M1481">
        <v>61100</v>
      </c>
      <c r="N1481">
        <v>12200</v>
      </c>
      <c r="O1481">
        <v>48900</v>
      </c>
      <c r="P1481">
        <v>44600</v>
      </c>
      <c r="Q1481">
        <v>4300</v>
      </c>
      <c r="R1481">
        <v>8.7899999999999991</v>
      </c>
      <c r="S1481" t="s">
        <v>39</v>
      </c>
      <c r="T1481">
        <v>4300</v>
      </c>
      <c r="U1481">
        <v>4.2</v>
      </c>
      <c r="V1481" t="s">
        <v>42</v>
      </c>
    </row>
    <row r="1482" spans="1:22" x14ac:dyDescent="0.3">
      <c r="A1482" t="s">
        <v>5433</v>
      </c>
      <c r="B1482" t="s">
        <v>1166</v>
      </c>
      <c r="C1482" t="s">
        <v>1167</v>
      </c>
      <c r="D1482" s="2">
        <v>46378</v>
      </c>
      <c r="E1482" t="s">
        <v>282</v>
      </c>
      <c r="F1482" t="s">
        <v>282</v>
      </c>
      <c r="G1482" t="s">
        <v>5471</v>
      </c>
      <c r="H1482" t="s">
        <v>68</v>
      </c>
      <c r="I1482" t="s">
        <v>69</v>
      </c>
      <c r="J1482" t="s">
        <v>30</v>
      </c>
      <c r="K1482">
        <v>4</v>
      </c>
      <c r="L1482">
        <v>10</v>
      </c>
      <c r="M1482">
        <v>23500</v>
      </c>
      <c r="N1482">
        <v>0</v>
      </c>
      <c r="O1482">
        <v>23500</v>
      </c>
      <c r="P1482">
        <v>15700</v>
      </c>
      <c r="Q1482">
        <v>7800</v>
      </c>
      <c r="R1482">
        <v>33.19</v>
      </c>
      <c r="S1482" t="s">
        <v>79</v>
      </c>
      <c r="T1482">
        <v>3700</v>
      </c>
      <c r="U1482">
        <v>2.8</v>
      </c>
      <c r="V1482" t="s">
        <v>79</v>
      </c>
    </row>
    <row r="1483" spans="1:22" x14ac:dyDescent="0.3">
      <c r="A1483" t="s">
        <v>4746</v>
      </c>
      <c r="B1483" t="s">
        <v>640</v>
      </c>
      <c r="C1483" t="s">
        <v>641</v>
      </c>
      <c r="D1483" s="2">
        <v>46378</v>
      </c>
      <c r="E1483" t="s">
        <v>66</v>
      </c>
      <c r="F1483" t="s">
        <v>66</v>
      </c>
      <c r="G1483" t="s">
        <v>67</v>
      </c>
      <c r="H1483" t="s">
        <v>5470</v>
      </c>
      <c r="I1483" t="s">
        <v>69</v>
      </c>
      <c r="J1483" t="s">
        <v>30</v>
      </c>
      <c r="K1483">
        <v>7</v>
      </c>
      <c r="L1483">
        <v>31</v>
      </c>
      <c r="M1483">
        <v>23400</v>
      </c>
      <c r="N1483">
        <v>4700</v>
      </c>
      <c r="O1483">
        <v>18700</v>
      </c>
      <c r="P1483">
        <v>16800</v>
      </c>
      <c r="Q1483">
        <v>1900</v>
      </c>
      <c r="R1483">
        <v>10.16</v>
      </c>
      <c r="S1483" t="s">
        <v>182</v>
      </c>
      <c r="T1483">
        <v>1300</v>
      </c>
      <c r="U1483">
        <v>4.2</v>
      </c>
      <c r="V1483" t="s">
        <v>58</v>
      </c>
    </row>
    <row r="1484" spans="1:22" x14ac:dyDescent="0.3">
      <c r="A1484" t="s">
        <v>2766</v>
      </c>
      <c r="B1484" t="s">
        <v>2767</v>
      </c>
      <c r="C1484" t="s">
        <v>2768</v>
      </c>
      <c r="D1484" s="2">
        <v>46378</v>
      </c>
      <c r="E1484" t="s">
        <v>244</v>
      </c>
      <c r="F1484" t="s">
        <v>244</v>
      </c>
      <c r="G1484" t="s">
        <v>118</v>
      </c>
      <c r="H1484" t="s">
        <v>229</v>
      </c>
      <c r="I1484" t="s">
        <v>69</v>
      </c>
      <c r="J1484" t="s">
        <v>162</v>
      </c>
      <c r="K1484">
        <v>3</v>
      </c>
      <c r="L1484">
        <v>48</v>
      </c>
      <c r="M1484">
        <v>23800</v>
      </c>
      <c r="N1484">
        <v>2400</v>
      </c>
      <c r="O1484">
        <v>21400</v>
      </c>
      <c r="P1484">
        <v>17800</v>
      </c>
      <c r="Q1484">
        <v>3600</v>
      </c>
      <c r="R1484">
        <v>16.82</v>
      </c>
      <c r="S1484" t="s">
        <v>126</v>
      </c>
      <c r="T1484">
        <v>1000</v>
      </c>
      <c r="U1484">
        <v>3.6</v>
      </c>
      <c r="V1484" t="s">
        <v>114</v>
      </c>
    </row>
    <row r="1485" spans="1:22" x14ac:dyDescent="0.3">
      <c r="A1485" t="s">
        <v>4542</v>
      </c>
      <c r="B1485" t="s">
        <v>1325</v>
      </c>
      <c r="C1485" t="s">
        <v>1326</v>
      </c>
      <c r="D1485" s="2">
        <v>46378</v>
      </c>
      <c r="E1485" t="s">
        <v>161</v>
      </c>
      <c r="F1485" t="s">
        <v>161</v>
      </c>
      <c r="G1485" t="s">
        <v>103</v>
      </c>
      <c r="H1485" t="s">
        <v>268</v>
      </c>
      <c r="I1485" t="s">
        <v>69</v>
      </c>
      <c r="J1485" t="s">
        <v>30</v>
      </c>
      <c r="K1485">
        <v>8</v>
      </c>
      <c r="L1485">
        <v>52</v>
      </c>
      <c r="M1485">
        <v>104000</v>
      </c>
      <c r="N1485">
        <v>0</v>
      </c>
      <c r="O1485">
        <v>104000</v>
      </c>
      <c r="P1485">
        <v>44600</v>
      </c>
      <c r="Q1485">
        <v>59400</v>
      </c>
      <c r="R1485">
        <v>57.12</v>
      </c>
      <c r="S1485" t="s">
        <v>126</v>
      </c>
      <c r="T1485">
        <v>17300</v>
      </c>
      <c r="U1485">
        <v>4.5999999999999996</v>
      </c>
      <c r="V1485" t="s">
        <v>82</v>
      </c>
    </row>
    <row r="1486" spans="1:22" x14ac:dyDescent="0.3">
      <c r="A1486" t="s">
        <v>3389</v>
      </c>
      <c r="B1486" t="s">
        <v>2523</v>
      </c>
      <c r="C1486" t="s">
        <v>2524</v>
      </c>
      <c r="D1486" s="2">
        <v>46381</v>
      </c>
      <c r="E1486" t="s">
        <v>228</v>
      </c>
      <c r="F1486" t="s">
        <v>228</v>
      </c>
      <c r="G1486" t="s">
        <v>213</v>
      </c>
      <c r="H1486" t="s">
        <v>49</v>
      </c>
      <c r="I1486" t="s">
        <v>29</v>
      </c>
      <c r="J1486" t="s">
        <v>30</v>
      </c>
      <c r="K1486">
        <v>6</v>
      </c>
      <c r="L1486">
        <v>57</v>
      </c>
      <c r="M1486">
        <v>69600</v>
      </c>
      <c r="N1486">
        <v>0</v>
      </c>
      <c r="O1486">
        <v>69600</v>
      </c>
      <c r="P1486">
        <v>51200</v>
      </c>
      <c r="Q1486">
        <v>18400</v>
      </c>
      <c r="R1486">
        <v>26.44</v>
      </c>
      <c r="S1486" t="s">
        <v>79</v>
      </c>
      <c r="T1486">
        <v>8500</v>
      </c>
      <c r="U1486">
        <v>2.7</v>
      </c>
      <c r="V1486" t="s">
        <v>82</v>
      </c>
    </row>
    <row r="1487" spans="1:22" x14ac:dyDescent="0.3">
      <c r="A1487" t="s">
        <v>4181</v>
      </c>
      <c r="B1487" t="s">
        <v>1468</v>
      </c>
      <c r="C1487" t="s">
        <v>1469</v>
      </c>
      <c r="D1487" s="2">
        <v>46381</v>
      </c>
      <c r="E1487" t="s">
        <v>161</v>
      </c>
      <c r="F1487" t="s">
        <v>161</v>
      </c>
      <c r="G1487" t="s">
        <v>48</v>
      </c>
      <c r="H1487" t="s">
        <v>68</v>
      </c>
      <c r="I1487" t="s">
        <v>69</v>
      </c>
      <c r="J1487" t="s">
        <v>30</v>
      </c>
      <c r="K1487">
        <v>3</v>
      </c>
      <c r="L1487">
        <v>49</v>
      </c>
      <c r="M1487">
        <v>97200</v>
      </c>
      <c r="N1487">
        <v>0</v>
      </c>
      <c r="O1487">
        <v>97200</v>
      </c>
      <c r="P1487">
        <v>54000</v>
      </c>
      <c r="Q1487">
        <v>43200</v>
      </c>
      <c r="R1487">
        <v>44.44</v>
      </c>
      <c r="S1487" t="s">
        <v>58</v>
      </c>
      <c r="T1487">
        <v>16800</v>
      </c>
      <c r="U1487">
        <v>3.8</v>
      </c>
      <c r="V1487" t="s">
        <v>82</v>
      </c>
    </row>
    <row r="1488" spans="1:22" x14ac:dyDescent="0.3">
      <c r="A1488" t="s">
        <v>2251</v>
      </c>
      <c r="B1488" t="s">
        <v>2252</v>
      </c>
      <c r="C1488" t="s">
        <v>2253</v>
      </c>
      <c r="D1488" s="2">
        <v>46382</v>
      </c>
      <c r="E1488" t="s">
        <v>188</v>
      </c>
      <c r="F1488" t="s">
        <v>188</v>
      </c>
      <c r="G1488" t="s">
        <v>103</v>
      </c>
      <c r="H1488" t="s">
        <v>68</v>
      </c>
      <c r="I1488" t="s">
        <v>29</v>
      </c>
      <c r="J1488" t="s">
        <v>70</v>
      </c>
      <c r="K1488">
        <v>10</v>
      </c>
      <c r="L1488">
        <v>54</v>
      </c>
      <c r="M1488">
        <v>49900</v>
      </c>
      <c r="N1488">
        <v>7500</v>
      </c>
      <c r="O1488">
        <v>42400</v>
      </c>
      <c r="P1488">
        <v>24700</v>
      </c>
      <c r="Q1488">
        <v>17700</v>
      </c>
      <c r="R1488">
        <v>41.75</v>
      </c>
      <c r="S1488" t="s">
        <v>58</v>
      </c>
      <c r="T1488">
        <v>6700</v>
      </c>
      <c r="U1488">
        <v>3.7</v>
      </c>
      <c r="V1488" t="s">
        <v>82</v>
      </c>
    </row>
    <row r="1489" spans="1:22" x14ac:dyDescent="0.3">
      <c r="A1489" t="s">
        <v>1808</v>
      </c>
      <c r="B1489" t="s">
        <v>1809</v>
      </c>
      <c r="C1489" t="s">
        <v>1810</v>
      </c>
      <c r="D1489" s="2">
        <v>46382</v>
      </c>
      <c r="E1489" t="s">
        <v>134</v>
      </c>
      <c r="F1489" t="s">
        <v>134</v>
      </c>
      <c r="G1489" t="s">
        <v>118</v>
      </c>
      <c r="H1489" t="s">
        <v>88</v>
      </c>
      <c r="I1489" t="s">
        <v>29</v>
      </c>
      <c r="J1489" t="s">
        <v>30</v>
      </c>
      <c r="K1489">
        <v>4</v>
      </c>
      <c r="L1489">
        <v>57</v>
      </c>
      <c r="M1489">
        <v>52400</v>
      </c>
      <c r="N1489">
        <v>7900</v>
      </c>
      <c r="O1489">
        <v>44500</v>
      </c>
      <c r="P1489">
        <v>34100</v>
      </c>
      <c r="Q1489">
        <v>10400</v>
      </c>
      <c r="R1489">
        <v>23.37</v>
      </c>
      <c r="S1489" t="s">
        <v>182</v>
      </c>
      <c r="T1489">
        <v>2300</v>
      </c>
      <c r="U1489">
        <v>3.8</v>
      </c>
      <c r="V1489" t="s">
        <v>58</v>
      </c>
    </row>
    <row r="1490" spans="1:22" x14ac:dyDescent="0.3">
      <c r="A1490" t="s">
        <v>5336</v>
      </c>
      <c r="B1490" t="s">
        <v>595</v>
      </c>
      <c r="C1490" t="s">
        <v>596</v>
      </c>
      <c r="D1490" s="2">
        <v>46382</v>
      </c>
      <c r="E1490" t="s">
        <v>188</v>
      </c>
      <c r="F1490" t="s">
        <v>188</v>
      </c>
      <c r="G1490" t="s">
        <v>27</v>
      </c>
      <c r="H1490" t="s">
        <v>68</v>
      </c>
      <c r="I1490" t="s">
        <v>29</v>
      </c>
      <c r="J1490" t="s">
        <v>162</v>
      </c>
      <c r="K1490">
        <v>8</v>
      </c>
      <c r="L1490">
        <v>45</v>
      </c>
      <c r="M1490">
        <v>56800</v>
      </c>
      <c r="N1490">
        <v>0</v>
      </c>
      <c r="O1490">
        <v>56800</v>
      </c>
      <c r="P1490">
        <v>45100</v>
      </c>
      <c r="Q1490">
        <v>11700</v>
      </c>
      <c r="R1490">
        <v>20.6</v>
      </c>
      <c r="S1490" t="s">
        <v>126</v>
      </c>
      <c r="T1490">
        <v>8100</v>
      </c>
      <c r="U1490">
        <v>4.9000000000000004</v>
      </c>
      <c r="V1490" t="s">
        <v>79</v>
      </c>
    </row>
    <row r="1491" spans="1:22" x14ac:dyDescent="0.3">
      <c r="A1491" t="s">
        <v>5451</v>
      </c>
      <c r="B1491" t="s">
        <v>3670</v>
      </c>
      <c r="C1491" t="s">
        <v>3671</v>
      </c>
      <c r="D1491" s="2">
        <v>46382</v>
      </c>
      <c r="E1491" t="s">
        <v>161</v>
      </c>
      <c r="F1491" t="s">
        <v>161</v>
      </c>
      <c r="G1491" t="s">
        <v>67</v>
      </c>
      <c r="H1491" t="s">
        <v>49</v>
      </c>
      <c r="I1491" t="s">
        <v>69</v>
      </c>
      <c r="J1491" t="s">
        <v>30</v>
      </c>
      <c r="K1491">
        <v>7</v>
      </c>
      <c r="L1491">
        <v>46</v>
      </c>
      <c r="M1491">
        <v>71400</v>
      </c>
      <c r="N1491">
        <v>10700</v>
      </c>
      <c r="O1491">
        <v>60700</v>
      </c>
      <c r="P1491">
        <v>38400</v>
      </c>
      <c r="Q1491">
        <v>22300</v>
      </c>
      <c r="R1491">
        <v>36.74</v>
      </c>
      <c r="S1491" t="s">
        <v>58</v>
      </c>
      <c r="T1491">
        <v>4900</v>
      </c>
      <c r="U1491">
        <v>4.0999999999999996</v>
      </c>
      <c r="V1491" t="s">
        <v>82</v>
      </c>
    </row>
    <row r="1492" spans="1:22" x14ac:dyDescent="0.3">
      <c r="A1492" t="s">
        <v>2602</v>
      </c>
      <c r="B1492" t="s">
        <v>1921</v>
      </c>
      <c r="C1492" t="s">
        <v>1922</v>
      </c>
      <c r="D1492" s="2">
        <v>46382</v>
      </c>
      <c r="E1492" t="s">
        <v>188</v>
      </c>
      <c r="F1492" t="s">
        <v>188</v>
      </c>
      <c r="G1492" t="s">
        <v>27</v>
      </c>
      <c r="H1492" t="s">
        <v>68</v>
      </c>
      <c r="I1492" t="s">
        <v>29</v>
      </c>
      <c r="J1492" t="s">
        <v>30</v>
      </c>
      <c r="K1492">
        <v>7</v>
      </c>
      <c r="L1492">
        <v>45</v>
      </c>
      <c r="M1492">
        <v>44800</v>
      </c>
      <c r="N1492">
        <v>6700</v>
      </c>
      <c r="O1492">
        <v>38100</v>
      </c>
      <c r="P1492">
        <v>32400</v>
      </c>
      <c r="Q1492">
        <v>5700</v>
      </c>
      <c r="R1492">
        <v>14.96</v>
      </c>
      <c r="S1492" t="s">
        <v>58</v>
      </c>
      <c r="T1492">
        <v>6100</v>
      </c>
      <c r="U1492">
        <v>3.6</v>
      </c>
      <c r="V1492" t="s">
        <v>58</v>
      </c>
    </row>
    <row r="1493" spans="1:22" x14ac:dyDescent="0.3">
      <c r="A1493" t="s">
        <v>1317</v>
      </c>
      <c r="B1493" t="s">
        <v>1318</v>
      </c>
      <c r="C1493" t="s">
        <v>1319</v>
      </c>
      <c r="D1493" s="2">
        <v>46383</v>
      </c>
      <c r="E1493" t="s">
        <v>228</v>
      </c>
      <c r="F1493" t="s">
        <v>228</v>
      </c>
      <c r="G1493" t="s">
        <v>118</v>
      </c>
      <c r="H1493" t="s">
        <v>68</v>
      </c>
      <c r="I1493" t="s">
        <v>69</v>
      </c>
      <c r="J1493" t="s">
        <v>30</v>
      </c>
      <c r="K1493">
        <v>3</v>
      </c>
      <c r="L1493">
        <v>35</v>
      </c>
      <c r="M1493">
        <v>22500</v>
      </c>
      <c r="N1493">
        <v>0</v>
      </c>
      <c r="O1493">
        <v>22500</v>
      </c>
      <c r="P1493">
        <v>17000</v>
      </c>
      <c r="Q1493">
        <v>5500</v>
      </c>
      <c r="R1493">
        <v>24.44</v>
      </c>
      <c r="S1493" t="s">
        <v>97</v>
      </c>
      <c r="T1493">
        <v>2500</v>
      </c>
      <c r="U1493">
        <v>4.2</v>
      </c>
      <c r="V1493" t="s">
        <v>58</v>
      </c>
    </row>
    <row r="1494" spans="1:22" x14ac:dyDescent="0.3">
      <c r="A1494" t="s">
        <v>2970</v>
      </c>
      <c r="B1494" t="s">
        <v>2971</v>
      </c>
      <c r="C1494" t="s">
        <v>2972</v>
      </c>
      <c r="D1494" s="2">
        <v>46383</v>
      </c>
      <c r="E1494" t="s">
        <v>161</v>
      </c>
      <c r="F1494" t="s">
        <v>161</v>
      </c>
      <c r="G1494" t="s">
        <v>147</v>
      </c>
      <c r="H1494" t="s">
        <v>5470</v>
      </c>
      <c r="I1494" t="s">
        <v>69</v>
      </c>
      <c r="J1494" t="s">
        <v>70</v>
      </c>
      <c r="K1494">
        <v>2</v>
      </c>
      <c r="L1494">
        <v>49</v>
      </c>
      <c r="M1494">
        <v>72200</v>
      </c>
      <c r="N1494">
        <v>3600</v>
      </c>
      <c r="O1494">
        <v>68600</v>
      </c>
      <c r="P1494">
        <v>47500</v>
      </c>
      <c r="Q1494">
        <v>21100</v>
      </c>
      <c r="R1494">
        <v>30.76</v>
      </c>
      <c r="S1494" t="s">
        <v>126</v>
      </c>
      <c r="T1494">
        <v>11900</v>
      </c>
      <c r="U1494">
        <v>3.8</v>
      </c>
      <c r="V1494" t="s">
        <v>42</v>
      </c>
    </row>
    <row r="1495" spans="1:22" x14ac:dyDescent="0.3">
      <c r="A1495" t="s">
        <v>4087</v>
      </c>
      <c r="B1495" t="s">
        <v>2510</v>
      </c>
      <c r="C1495" t="s">
        <v>2511</v>
      </c>
      <c r="D1495" s="2">
        <v>46384</v>
      </c>
      <c r="E1495" t="s">
        <v>66</v>
      </c>
      <c r="F1495" t="s">
        <v>66</v>
      </c>
      <c r="G1495" t="s">
        <v>67</v>
      </c>
      <c r="H1495" t="s">
        <v>49</v>
      </c>
      <c r="I1495" t="s">
        <v>69</v>
      </c>
      <c r="J1495" t="s">
        <v>30</v>
      </c>
      <c r="K1495">
        <v>9</v>
      </c>
      <c r="L1495">
        <v>33</v>
      </c>
      <c r="M1495">
        <v>78400</v>
      </c>
      <c r="N1495">
        <v>3900</v>
      </c>
      <c r="O1495">
        <v>74500</v>
      </c>
      <c r="P1495">
        <v>56800</v>
      </c>
      <c r="Q1495">
        <v>17700</v>
      </c>
      <c r="R1495">
        <v>23.76</v>
      </c>
      <c r="S1495" t="s">
        <v>182</v>
      </c>
      <c r="T1495">
        <v>3100</v>
      </c>
      <c r="U1495">
        <v>4.0999999999999996</v>
      </c>
      <c r="V1495" t="s">
        <v>79</v>
      </c>
    </row>
    <row r="1496" spans="1:22" x14ac:dyDescent="0.3">
      <c r="A1496" t="s">
        <v>3880</v>
      </c>
      <c r="B1496" t="s">
        <v>660</v>
      </c>
      <c r="C1496" t="s">
        <v>661</v>
      </c>
      <c r="D1496" s="2">
        <v>46386</v>
      </c>
      <c r="E1496" t="s">
        <v>228</v>
      </c>
      <c r="F1496" t="s">
        <v>228</v>
      </c>
      <c r="G1496" t="s">
        <v>103</v>
      </c>
      <c r="H1496" t="s">
        <v>214</v>
      </c>
      <c r="I1496" t="s">
        <v>69</v>
      </c>
      <c r="J1496" t="s">
        <v>30</v>
      </c>
      <c r="K1496">
        <v>9</v>
      </c>
      <c r="L1496">
        <v>29</v>
      </c>
      <c r="M1496">
        <v>53000</v>
      </c>
      <c r="N1496">
        <v>5300</v>
      </c>
      <c r="O1496">
        <v>47700</v>
      </c>
      <c r="P1496">
        <v>33600</v>
      </c>
      <c r="Q1496">
        <v>14100</v>
      </c>
      <c r="R1496">
        <v>29.56</v>
      </c>
      <c r="S1496" t="s">
        <v>58</v>
      </c>
      <c r="T1496">
        <v>2600</v>
      </c>
      <c r="U1496">
        <v>2.9</v>
      </c>
      <c r="V1496" t="s">
        <v>42</v>
      </c>
    </row>
    <row r="1497" spans="1:22" x14ac:dyDescent="0.3">
      <c r="A1497" t="s">
        <v>3870</v>
      </c>
      <c r="B1497" t="s">
        <v>3871</v>
      </c>
      <c r="C1497" t="s">
        <v>3872</v>
      </c>
      <c r="D1497" s="2">
        <v>46386</v>
      </c>
      <c r="E1497" t="s">
        <v>26</v>
      </c>
      <c r="F1497" t="s">
        <v>26</v>
      </c>
      <c r="G1497" t="s">
        <v>27</v>
      </c>
      <c r="H1497" t="s">
        <v>88</v>
      </c>
      <c r="I1497" t="s">
        <v>29</v>
      </c>
      <c r="J1497" t="s">
        <v>70</v>
      </c>
      <c r="K1497">
        <v>8</v>
      </c>
      <c r="L1497">
        <v>27</v>
      </c>
      <c r="M1497">
        <v>40100</v>
      </c>
      <c r="N1497">
        <v>4000</v>
      </c>
      <c r="O1497">
        <v>36100</v>
      </c>
      <c r="P1497">
        <v>18000</v>
      </c>
      <c r="Q1497">
        <v>18100</v>
      </c>
      <c r="R1497">
        <v>50.14</v>
      </c>
      <c r="S1497" t="s">
        <v>58</v>
      </c>
      <c r="T1497">
        <v>1900</v>
      </c>
      <c r="U1497">
        <v>4</v>
      </c>
      <c r="V1497" t="s">
        <v>114</v>
      </c>
    </row>
    <row r="1498" spans="1:22" x14ac:dyDescent="0.3">
      <c r="A1498" t="s">
        <v>5442</v>
      </c>
      <c r="B1498" t="s">
        <v>5281</v>
      </c>
      <c r="C1498" t="s">
        <v>5282</v>
      </c>
      <c r="D1498" s="2">
        <v>46386</v>
      </c>
      <c r="E1498" t="s">
        <v>188</v>
      </c>
      <c r="F1498" t="s">
        <v>188</v>
      </c>
      <c r="G1498" t="s">
        <v>147</v>
      </c>
      <c r="H1498" t="s">
        <v>28</v>
      </c>
      <c r="I1498" t="s">
        <v>29</v>
      </c>
      <c r="J1498" t="s">
        <v>30</v>
      </c>
      <c r="K1498">
        <v>3</v>
      </c>
      <c r="L1498">
        <v>54</v>
      </c>
      <c r="M1498">
        <v>30800</v>
      </c>
      <c r="N1498">
        <v>0</v>
      </c>
      <c r="O1498">
        <v>30800</v>
      </c>
      <c r="P1498">
        <v>19000</v>
      </c>
      <c r="Q1498">
        <v>11800</v>
      </c>
      <c r="R1498">
        <v>38.31</v>
      </c>
      <c r="S1498" t="s">
        <v>5471</v>
      </c>
      <c r="T1498">
        <v>4600</v>
      </c>
      <c r="U1498">
        <v>4.5999999999999996</v>
      </c>
      <c r="V1498" t="s">
        <v>82</v>
      </c>
    </row>
    <row r="1499" spans="1:22" x14ac:dyDescent="0.3">
      <c r="A1499" t="s">
        <v>5066</v>
      </c>
      <c r="B1499" t="s">
        <v>1136</v>
      </c>
      <c r="C1499" t="s">
        <v>1137</v>
      </c>
      <c r="D1499" s="2">
        <v>46387</v>
      </c>
      <c r="E1499" t="s">
        <v>66</v>
      </c>
      <c r="F1499" t="s">
        <v>66</v>
      </c>
      <c r="G1499" t="s">
        <v>118</v>
      </c>
      <c r="H1499" t="s">
        <v>28</v>
      </c>
      <c r="I1499" t="s">
        <v>69</v>
      </c>
      <c r="J1499" t="s">
        <v>30</v>
      </c>
      <c r="K1499">
        <v>9</v>
      </c>
      <c r="L1499">
        <v>40</v>
      </c>
      <c r="M1499">
        <v>42300</v>
      </c>
      <c r="N1499">
        <v>6300</v>
      </c>
      <c r="O1499">
        <v>36000</v>
      </c>
      <c r="P1499">
        <v>33500</v>
      </c>
      <c r="Q1499">
        <v>2500</v>
      </c>
      <c r="R1499">
        <v>6.94</v>
      </c>
      <c r="S1499" t="s">
        <v>58</v>
      </c>
      <c r="T1499">
        <v>1600</v>
      </c>
      <c r="U1499">
        <v>4.4000000000000004</v>
      </c>
      <c r="V1499" t="s">
        <v>58</v>
      </c>
    </row>
    <row r="1500" spans="1:22" x14ac:dyDescent="0.3">
      <c r="A1500" t="s">
        <v>3067</v>
      </c>
      <c r="B1500" t="s">
        <v>454</v>
      </c>
      <c r="C1500" t="s">
        <v>455</v>
      </c>
      <c r="D1500" s="2">
        <v>46387</v>
      </c>
      <c r="E1500" t="s">
        <v>282</v>
      </c>
      <c r="F1500" t="s">
        <v>282</v>
      </c>
      <c r="G1500" t="s">
        <v>67</v>
      </c>
      <c r="H1500" t="s">
        <v>229</v>
      </c>
      <c r="I1500" t="s">
        <v>69</v>
      </c>
      <c r="J1500" t="s">
        <v>30</v>
      </c>
      <c r="K1500">
        <v>2</v>
      </c>
      <c r="L1500">
        <v>5</v>
      </c>
      <c r="M1500">
        <v>71300</v>
      </c>
      <c r="N1500">
        <v>14300</v>
      </c>
      <c r="O1500">
        <v>57000</v>
      </c>
      <c r="P1500">
        <v>48800</v>
      </c>
      <c r="Q1500">
        <v>8200</v>
      </c>
      <c r="R1500">
        <v>14.39</v>
      </c>
      <c r="S1500" t="s">
        <v>58</v>
      </c>
      <c r="T1500">
        <v>3300</v>
      </c>
      <c r="U1500">
        <v>4</v>
      </c>
      <c r="V1500" t="s">
        <v>79</v>
      </c>
    </row>
    <row r="1501" spans="1:22" x14ac:dyDescent="0.3">
      <c r="A1501" t="s">
        <v>3117</v>
      </c>
      <c r="B1501" t="s">
        <v>3118</v>
      </c>
      <c r="C1501" t="s">
        <v>3119</v>
      </c>
      <c r="D1501" s="2">
        <v>46387</v>
      </c>
      <c r="E1501" t="s">
        <v>282</v>
      </c>
      <c r="F1501" t="s">
        <v>282</v>
      </c>
      <c r="G1501" t="s">
        <v>67</v>
      </c>
      <c r="H1501" t="s">
        <v>229</v>
      </c>
      <c r="I1501" t="s">
        <v>69</v>
      </c>
      <c r="J1501" t="s">
        <v>162</v>
      </c>
      <c r="K1501">
        <v>5</v>
      </c>
      <c r="L1501">
        <v>18</v>
      </c>
      <c r="M1501">
        <v>59900</v>
      </c>
      <c r="N1501">
        <v>12000</v>
      </c>
      <c r="O1501">
        <v>47900</v>
      </c>
      <c r="P1501">
        <v>32200</v>
      </c>
      <c r="Q1501">
        <v>15700</v>
      </c>
      <c r="R1501">
        <v>32.78</v>
      </c>
      <c r="S1501" t="s">
        <v>97</v>
      </c>
      <c r="T1501">
        <v>8300</v>
      </c>
      <c r="U1501">
        <v>4.3</v>
      </c>
      <c r="V1501" t="s">
        <v>114</v>
      </c>
    </row>
    <row r="1502" spans="1:22" x14ac:dyDescent="0.3">
      <c r="A1502" t="s">
        <v>1143</v>
      </c>
      <c r="B1502" t="s">
        <v>1144</v>
      </c>
      <c r="C1502" t="s">
        <v>1145</v>
      </c>
      <c r="D1502" s="2">
        <v>46387</v>
      </c>
      <c r="E1502" t="s">
        <v>26</v>
      </c>
      <c r="F1502" t="s">
        <v>26</v>
      </c>
      <c r="G1502" t="s">
        <v>118</v>
      </c>
      <c r="H1502" t="s">
        <v>68</v>
      </c>
      <c r="I1502" t="s">
        <v>69</v>
      </c>
      <c r="J1502" t="s">
        <v>30</v>
      </c>
      <c r="K1502">
        <v>9</v>
      </c>
      <c r="L1502">
        <v>61</v>
      </c>
      <c r="M1502">
        <v>133200</v>
      </c>
      <c r="N1502">
        <v>6700</v>
      </c>
      <c r="O1502">
        <v>126500</v>
      </c>
      <c r="P1502">
        <v>94100</v>
      </c>
      <c r="Q1502">
        <v>32400</v>
      </c>
      <c r="R1502">
        <v>25.61</v>
      </c>
      <c r="S1502" t="s">
        <v>39</v>
      </c>
      <c r="T1502">
        <v>11200</v>
      </c>
      <c r="U1502">
        <v>2.9</v>
      </c>
      <c r="V1502" t="s">
        <v>114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>
      <selection activeCell="C18" sqref="C18"/>
    </sheetView>
  </sheetViews>
  <sheetFormatPr defaultRowHeight="14.4" x14ac:dyDescent="0.3"/>
  <cols>
    <col min="1" max="1" width="20" bestFit="1" customWidth="1"/>
    <col min="2" max="2" width="33.6640625" bestFit="1" customWidth="1"/>
    <col min="3" max="3" width="15.21875" bestFit="1" customWidth="1"/>
    <col min="4" max="4" width="50.5546875" bestFit="1" customWidth="1"/>
  </cols>
  <sheetData>
    <row r="1" spans="1:4" x14ac:dyDescent="0.3">
      <c r="A1" s="1" t="s">
        <v>5472</v>
      </c>
      <c r="B1" s="1" t="s">
        <v>5473</v>
      </c>
      <c r="C1" s="1" t="s">
        <v>5474</v>
      </c>
      <c r="D1" s="1" t="s">
        <v>5475</v>
      </c>
    </row>
    <row r="2" spans="1:4" x14ac:dyDescent="0.3">
      <c r="A2" t="s">
        <v>5476</v>
      </c>
      <c r="B2" t="s">
        <v>5477</v>
      </c>
      <c r="C2">
        <v>11</v>
      </c>
      <c r="D2" t="s">
        <v>5478</v>
      </c>
    </row>
    <row r="3" spans="1:4" x14ac:dyDescent="0.3">
      <c r="A3" t="s">
        <v>7</v>
      </c>
      <c r="B3" t="s">
        <v>5479</v>
      </c>
      <c r="C3">
        <v>18</v>
      </c>
      <c r="D3" t="s">
        <v>5480</v>
      </c>
    </row>
    <row r="4" spans="1:4" x14ac:dyDescent="0.3">
      <c r="A4" t="s">
        <v>6</v>
      </c>
      <c r="B4" t="s">
        <v>5479</v>
      </c>
      <c r="C4">
        <v>8</v>
      </c>
      <c r="D4" t="s">
        <v>5480</v>
      </c>
    </row>
    <row r="5" spans="1:4" x14ac:dyDescent="0.3">
      <c r="A5" t="s">
        <v>18</v>
      </c>
      <c r="B5" t="s">
        <v>5479</v>
      </c>
      <c r="C5">
        <v>12</v>
      </c>
      <c r="D5" t="s">
        <v>5480</v>
      </c>
    </row>
    <row r="6" spans="1:4" x14ac:dyDescent="0.3">
      <c r="A6" t="s">
        <v>20</v>
      </c>
      <c r="B6" t="s">
        <v>5479</v>
      </c>
      <c r="C6">
        <v>15</v>
      </c>
      <c r="D6" t="s">
        <v>5481</v>
      </c>
    </row>
    <row r="7" spans="1:4" x14ac:dyDescent="0.3">
      <c r="A7" t="s">
        <v>11</v>
      </c>
      <c r="B7" t="s">
        <v>5479</v>
      </c>
      <c r="C7">
        <v>10</v>
      </c>
      <c r="D7" t="s">
        <v>5481</v>
      </c>
    </row>
    <row r="8" spans="1:4" x14ac:dyDescent="0.3">
      <c r="A8" t="s">
        <v>13</v>
      </c>
      <c r="B8" t="s">
        <v>5479</v>
      </c>
      <c r="C8">
        <v>10</v>
      </c>
      <c r="D8" t="s">
        <v>5482</v>
      </c>
    </row>
    <row r="9" spans="1:4" x14ac:dyDescent="0.3">
      <c r="A9" t="s">
        <v>4</v>
      </c>
      <c r="B9" t="s">
        <v>5483</v>
      </c>
      <c r="C9">
        <v>1091</v>
      </c>
      <c r="D9" t="s">
        <v>5484</v>
      </c>
    </row>
    <row r="10" spans="1:4" x14ac:dyDescent="0.3">
      <c r="A10" t="s">
        <v>7</v>
      </c>
      <c r="B10" t="s">
        <v>5483</v>
      </c>
      <c r="C10">
        <v>208</v>
      </c>
      <c r="D10" t="s">
        <v>5484</v>
      </c>
    </row>
    <row r="11" spans="1:4" x14ac:dyDescent="0.3">
      <c r="A11" t="s">
        <v>8</v>
      </c>
      <c r="B11" t="s">
        <v>5483</v>
      </c>
      <c r="C11">
        <v>15</v>
      </c>
      <c r="D11" t="s">
        <v>5484</v>
      </c>
    </row>
    <row r="12" spans="1:4" x14ac:dyDescent="0.3">
      <c r="A12" t="s">
        <v>9</v>
      </c>
      <c r="B12" t="s">
        <v>5483</v>
      </c>
      <c r="C12">
        <v>12</v>
      </c>
      <c r="D12" t="s">
        <v>5484</v>
      </c>
    </row>
    <row r="13" spans="1:4" x14ac:dyDescent="0.3">
      <c r="A13" t="s">
        <v>3</v>
      </c>
      <c r="B13" t="s">
        <v>5485</v>
      </c>
      <c r="C13">
        <v>1501</v>
      </c>
      <c r="D13" t="s">
        <v>5486</v>
      </c>
    </row>
    <row r="14" spans="1:4" x14ac:dyDescent="0.3">
      <c r="A14" t="s">
        <v>10</v>
      </c>
      <c r="B14" t="s">
        <v>5487</v>
      </c>
      <c r="C14">
        <v>1501</v>
      </c>
      <c r="D14" t="s">
        <v>5488</v>
      </c>
    </row>
    <row r="15" spans="1:4" x14ac:dyDescent="0.3">
      <c r="A15" t="s">
        <v>11</v>
      </c>
      <c r="B15" t="s">
        <v>5487</v>
      </c>
      <c r="C15">
        <v>1491</v>
      </c>
      <c r="D15" t="s">
        <v>5488</v>
      </c>
    </row>
    <row r="16" spans="1:4" x14ac:dyDescent="0.3">
      <c r="A16" t="s">
        <v>12</v>
      </c>
      <c r="B16" t="s">
        <v>5487</v>
      </c>
      <c r="C16">
        <v>1501</v>
      </c>
      <c r="D16" t="s">
        <v>5488</v>
      </c>
    </row>
    <row r="17" spans="1:4" x14ac:dyDescent="0.3">
      <c r="A17" t="s">
        <v>13</v>
      </c>
      <c r="B17" t="s">
        <v>5487</v>
      </c>
      <c r="C17">
        <v>1501</v>
      </c>
      <c r="D17" t="s">
        <v>5488</v>
      </c>
    </row>
    <row r="18" spans="1:4" x14ac:dyDescent="0.3">
      <c r="A18" t="s">
        <v>14</v>
      </c>
      <c r="B18" t="s">
        <v>5487</v>
      </c>
      <c r="C18">
        <v>1501</v>
      </c>
      <c r="D18" t="s">
        <v>5488</v>
      </c>
    </row>
    <row r="19" spans="1:4" x14ac:dyDescent="0.3">
      <c r="A19" t="s">
        <v>15</v>
      </c>
      <c r="B19" t="s">
        <v>5487</v>
      </c>
      <c r="C19">
        <v>1501</v>
      </c>
      <c r="D19" t="s">
        <v>5488</v>
      </c>
    </row>
    <row r="20" spans="1:4" x14ac:dyDescent="0.3">
      <c r="A20" t="s">
        <v>16</v>
      </c>
      <c r="B20" t="s">
        <v>5487</v>
      </c>
      <c r="C20">
        <v>1501</v>
      </c>
      <c r="D20" t="s">
        <v>5488</v>
      </c>
    </row>
    <row r="21" spans="1:4" x14ac:dyDescent="0.3">
      <c r="A21" t="s">
        <v>17</v>
      </c>
      <c r="B21" t="s">
        <v>5487</v>
      </c>
      <c r="C21">
        <v>1501</v>
      </c>
      <c r="D21" t="s">
        <v>5488</v>
      </c>
    </row>
    <row r="22" spans="1:4" x14ac:dyDescent="0.3">
      <c r="A22" t="s">
        <v>19</v>
      </c>
      <c r="B22" t="s">
        <v>5487</v>
      </c>
      <c r="C22">
        <v>1501</v>
      </c>
      <c r="D22" t="s">
        <v>5488</v>
      </c>
    </row>
    <row r="23" spans="1:4" x14ac:dyDescent="0.3">
      <c r="A23" t="s">
        <v>20</v>
      </c>
      <c r="B23" t="s">
        <v>5487</v>
      </c>
      <c r="C23">
        <v>1486</v>
      </c>
      <c r="D23" t="s">
        <v>5488</v>
      </c>
    </row>
    <row r="24" spans="1:4" x14ac:dyDescent="0.3">
      <c r="A24" t="s">
        <v>11</v>
      </c>
      <c r="B24" t="s">
        <v>5489</v>
      </c>
      <c r="C24">
        <v>8</v>
      </c>
      <c r="D24" t="s">
        <v>5490</v>
      </c>
    </row>
    <row r="25" spans="1:4" x14ac:dyDescent="0.3">
      <c r="A25" t="s">
        <v>20</v>
      </c>
      <c r="B25" t="s">
        <v>5491</v>
      </c>
      <c r="C25">
        <v>6</v>
      </c>
      <c r="D25" t="s">
        <v>5490</v>
      </c>
    </row>
    <row r="26" spans="1:4" x14ac:dyDescent="0.3">
      <c r="A26" t="s">
        <v>13</v>
      </c>
      <c r="B26" t="s">
        <v>5492</v>
      </c>
      <c r="C26">
        <v>5</v>
      </c>
      <c r="D26" t="s">
        <v>5493</v>
      </c>
    </row>
    <row r="27" spans="1:4" x14ac:dyDescent="0.3">
      <c r="A27" t="s">
        <v>14</v>
      </c>
      <c r="B27" t="s">
        <v>5494</v>
      </c>
      <c r="C27">
        <v>11</v>
      </c>
      <c r="D27" t="s">
        <v>5495</v>
      </c>
    </row>
    <row r="28" spans="1:4" x14ac:dyDescent="0.3">
      <c r="A28" t="s">
        <v>16</v>
      </c>
      <c r="B28" t="s">
        <v>5494</v>
      </c>
      <c r="C28">
        <v>11</v>
      </c>
      <c r="D28" t="s">
        <v>5496</v>
      </c>
    </row>
    <row r="29" spans="1:4" x14ac:dyDescent="0.3">
      <c r="A29" t="s">
        <v>17</v>
      </c>
      <c r="B29" t="s">
        <v>5494</v>
      </c>
      <c r="C29">
        <v>11</v>
      </c>
      <c r="D29" t="s">
        <v>5497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workbookViewId="0">
      <pane ySplit="2" topLeftCell="A3" activePane="bottomLeft" state="frozen"/>
      <selection pane="bottomLeft" activeCell="L12" sqref="L12"/>
    </sheetView>
  </sheetViews>
  <sheetFormatPr defaultRowHeight="14.4" x14ac:dyDescent="0.3"/>
  <cols>
    <col min="1" max="1" width="23" customWidth="1"/>
    <col min="2" max="2" width="28" customWidth="1"/>
  </cols>
  <sheetData>
    <row r="1" spans="1:2" x14ac:dyDescent="0.3">
      <c r="A1" s="3" t="s">
        <v>5498</v>
      </c>
      <c r="B1" s="3" t="s">
        <v>5499</v>
      </c>
    </row>
    <row r="2" spans="1:2" x14ac:dyDescent="0.3">
      <c r="A2" s="4" t="s">
        <v>0</v>
      </c>
      <c r="B2" s="4" t="s">
        <v>5500</v>
      </c>
    </row>
    <row r="3" spans="1:2" x14ac:dyDescent="0.3">
      <c r="A3" s="4" t="s">
        <v>1</v>
      </c>
      <c r="B3" s="4" t="s">
        <v>5501</v>
      </c>
    </row>
    <row r="4" spans="1:2" x14ac:dyDescent="0.3">
      <c r="A4" s="4" t="s">
        <v>2</v>
      </c>
      <c r="B4" s="4" t="s">
        <v>5502</v>
      </c>
    </row>
    <row r="5" spans="1:2" x14ac:dyDescent="0.3">
      <c r="A5" s="4" t="s">
        <v>3</v>
      </c>
      <c r="B5" s="4" t="s">
        <v>5503</v>
      </c>
    </row>
    <row r="6" spans="1:2" x14ac:dyDescent="0.3">
      <c r="A6" s="4" t="s">
        <v>4</v>
      </c>
      <c r="B6" s="4" t="s">
        <v>5504</v>
      </c>
    </row>
    <row r="7" spans="1:2" x14ac:dyDescent="0.3">
      <c r="A7" s="4" t="s">
        <v>5</v>
      </c>
      <c r="B7" s="4" t="s">
        <v>5505</v>
      </c>
    </row>
    <row r="8" spans="1:2" x14ac:dyDescent="0.3">
      <c r="A8" s="4" t="s">
        <v>6</v>
      </c>
      <c r="B8" s="4" t="s">
        <v>5506</v>
      </c>
    </row>
    <row r="9" spans="1:2" x14ac:dyDescent="0.3">
      <c r="A9" s="4" t="s">
        <v>7</v>
      </c>
      <c r="B9" s="4" t="s">
        <v>5507</v>
      </c>
    </row>
    <row r="10" spans="1:2" x14ac:dyDescent="0.3">
      <c r="A10" s="4" t="s">
        <v>8</v>
      </c>
      <c r="B10" s="4" t="s">
        <v>5508</v>
      </c>
    </row>
    <row r="11" spans="1:2" x14ac:dyDescent="0.3">
      <c r="A11" s="4" t="s">
        <v>9</v>
      </c>
      <c r="B11" s="4" t="s">
        <v>5509</v>
      </c>
    </row>
    <row r="12" spans="1:2" x14ac:dyDescent="0.3">
      <c r="A12" s="4" t="s">
        <v>10</v>
      </c>
      <c r="B12" s="4" t="s">
        <v>5510</v>
      </c>
    </row>
    <row r="13" spans="1:2" x14ac:dyDescent="0.3">
      <c r="A13" s="4" t="s">
        <v>11</v>
      </c>
      <c r="B13" s="4" t="s">
        <v>5511</v>
      </c>
    </row>
    <row r="14" spans="1:2" x14ac:dyDescent="0.3">
      <c r="A14" s="4" t="s">
        <v>12</v>
      </c>
      <c r="B14" s="4" t="s">
        <v>5512</v>
      </c>
    </row>
    <row r="15" spans="1:2" x14ac:dyDescent="0.3">
      <c r="A15" s="4" t="s">
        <v>13</v>
      </c>
      <c r="B15" s="4" t="s">
        <v>5513</v>
      </c>
    </row>
    <row r="16" spans="1:2" x14ac:dyDescent="0.3">
      <c r="A16" s="4" t="s">
        <v>14</v>
      </c>
      <c r="B16" s="4" t="s">
        <v>5514</v>
      </c>
    </row>
    <row r="17" spans="1:2" x14ac:dyDescent="0.3">
      <c r="A17" s="4" t="s">
        <v>15</v>
      </c>
      <c r="B17" s="4" t="s">
        <v>5515</v>
      </c>
    </row>
    <row r="18" spans="1:2" x14ac:dyDescent="0.3">
      <c r="A18" s="4" t="s">
        <v>16</v>
      </c>
      <c r="B18" s="4" t="s">
        <v>16</v>
      </c>
    </row>
    <row r="19" spans="1:2" x14ac:dyDescent="0.3">
      <c r="A19" s="4" t="s">
        <v>17</v>
      </c>
      <c r="B19" s="4" t="s">
        <v>5516</v>
      </c>
    </row>
    <row r="20" spans="1:2" x14ac:dyDescent="0.3">
      <c r="A20" s="4" t="s">
        <v>18</v>
      </c>
      <c r="B20" s="4" t="s">
        <v>5517</v>
      </c>
    </row>
    <row r="21" spans="1:2" x14ac:dyDescent="0.3">
      <c r="A21" s="4" t="s">
        <v>19</v>
      </c>
      <c r="B21" s="4" t="s">
        <v>5518</v>
      </c>
    </row>
    <row r="22" spans="1:2" x14ac:dyDescent="0.3">
      <c r="A22" s="4" t="s">
        <v>20</v>
      </c>
      <c r="B22" s="4" t="s">
        <v>5519</v>
      </c>
    </row>
    <row r="23" spans="1:2" x14ac:dyDescent="0.3">
      <c r="A23" s="4" t="s">
        <v>21</v>
      </c>
      <c r="B23" s="4" t="s">
        <v>5520</v>
      </c>
    </row>
    <row r="24" spans="1:2" x14ac:dyDescent="0.3">
      <c r="A24" s="4" t="s">
        <v>5521</v>
      </c>
      <c r="B24" s="4" t="s">
        <v>5522</v>
      </c>
    </row>
    <row r="25" spans="1:2" x14ac:dyDescent="0.3">
      <c r="A25" s="4" t="s">
        <v>5523</v>
      </c>
      <c r="B25" s="4" t="s">
        <v>5524</v>
      </c>
    </row>
    <row r="26" spans="1:2" x14ac:dyDescent="0.3">
      <c r="A26" s="4" t="s">
        <v>5525</v>
      </c>
      <c r="B26" s="4" t="s">
        <v>5526</v>
      </c>
    </row>
    <row r="27" spans="1:2" x14ac:dyDescent="0.3">
      <c r="A27" s="4" t="s">
        <v>5527</v>
      </c>
      <c r="B27" s="4" t="s">
        <v>5528</v>
      </c>
    </row>
    <row r="28" spans="1:2" x14ac:dyDescent="0.3">
      <c r="A28" s="4" t="s">
        <v>5529</v>
      </c>
      <c r="B28" s="4" t="s">
        <v>5530</v>
      </c>
    </row>
    <row r="29" spans="1:2" x14ac:dyDescent="0.3">
      <c r="A29" s="4" t="s">
        <v>5531</v>
      </c>
      <c r="B29" s="4" t="s">
        <v>5532</v>
      </c>
    </row>
    <row r="30" spans="1:2" x14ac:dyDescent="0.3">
      <c r="A30" s="4" t="s">
        <v>5533</v>
      </c>
      <c r="B30" s="4" t="s">
        <v>5534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8"/>
  <sheetViews>
    <sheetView workbookViewId="0">
      <pane ySplit="3" topLeftCell="A4" activePane="bottomLeft" state="frozen"/>
      <selection pane="bottomLeft" activeCell="C8" sqref="C8"/>
    </sheetView>
  </sheetViews>
  <sheetFormatPr defaultRowHeight="14.4" x14ac:dyDescent="0.3"/>
  <cols>
    <col min="1" max="1" width="59.77734375" customWidth="1"/>
    <col min="2" max="7" width="32" customWidth="1"/>
  </cols>
  <sheetData>
    <row r="1" spans="1:5" ht="21" x14ac:dyDescent="0.4">
      <c r="A1" s="5" t="s">
        <v>5598</v>
      </c>
    </row>
    <row r="3" spans="1:5" x14ac:dyDescent="0.3">
      <c r="A3" s="8" t="s">
        <v>5535</v>
      </c>
      <c r="B3" s="8" t="s">
        <v>5536</v>
      </c>
    </row>
    <row r="4" spans="1:5" x14ac:dyDescent="0.3">
      <c r="A4" s="6" t="s">
        <v>5537</v>
      </c>
      <c r="B4" s="9">
        <f>SUM(SalesData[Revenue])</f>
        <v>69877300</v>
      </c>
    </row>
    <row r="5" spans="1:5" x14ac:dyDescent="0.3">
      <c r="A5" s="6" t="s">
        <v>5538</v>
      </c>
      <c r="B5" s="9">
        <f>SUM(SalesData[Profit])</f>
        <v>22734300</v>
      </c>
    </row>
    <row r="6" spans="1:5" x14ac:dyDescent="0.3">
      <c r="A6" s="6" t="s">
        <v>5539</v>
      </c>
      <c r="B6" s="10">
        <f>COUNTA(SalesData[Project_ID])</f>
        <v>1501</v>
      </c>
    </row>
    <row r="7" spans="1:5" x14ac:dyDescent="0.3">
      <c r="A7" s="6" t="s">
        <v>5540</v>
      </c>
      <c r="B7" s="10">
        <f>SUMPRODUCT(1/COUNTIF(SalesData[Client_ID],SalesData[Client_ID]))</f>
        <v>404.99999999999829</v>
      </c>
    </row>
    <row r="8" spans="1:5" x14ac:dyDescent="0.3">
      <c r="A8" s="6" t="s">
        <v>5541</v>
      </c>
      <c r="B8" s="9">
        <f>AVERAGE(SalesData[Quoted_Value])</f>
        <v>50758.094603597601</v>
      </c>
    </row>
    <row r="9" spans="1:5" x14ac:dyDescent="0.3">
      <c r="A9" s="6" t="s">
        <v>5542</v>
      </c>
      <c r="B9" s="11">
        <f>AVERAGE(SalesData[Profit_Margin_Pct])</f>
        <v>31.842978014656893</v>
      </c>
    </row>
    <row r="10" spans="1:5" x14ac:dyDescent="0.3">
      <c r="A10" s="6" t="s">
        <v>5543</v>
      </c>
      <c r="B10" s="11">
        <f>AVERAGE(SalesData[Customer_Rating])</f>
        <v>4.0634459459459435</v>
      </c>
    </row>
    <row r="13" spans="1:5" ht="17.399999999999999" x14ac:dyDescent="0.35">
      <c r="A13" s="12" t="s">
        <v>5544</v>
      </c>
    </row>
    <row r="14" spans="1:5" x14ac:dyDescent="0.3">
      <c r="A14" s="8" t="s">
        <v>5523</v>
      </c>
      <c r="B14" s="8" t="s">
        <v>14</v>
      </c>
      <c r="C14" s="8" t="s">
        <v>16</v>
      </c>
      <c r="D14" s="8" t="s">
        <v>5545</v>
      </c>
      <c r="E14" s="8" t="s">
        <v>5546</v>
      </c>
    </row>
    <row r="15" spans="1:5" x14ac:dyDescent="0.3">
      <c r="A15" s="21">
        <v>45658</v>
      </c>
      <c r="B15" s="9">
        <f>SUMIFS(SalesData[Revenue],SalesData[Project_Date],"&gt;="&amp;A15,SalesData[Project_Date],"&lt;"&amp;EDATE(A15,1))</f>
        <v>2823200</v>
      </c>
      <c r="C15" s="9">
        <f>SUMIFS(SalesData[Profit],SalesData[Project_Date],"&gt;="&amp;A15,SalesData[Project_Date],"&lt;"&amp;EDATE(A15,1))</f>
        <v>901400</v>
      </c>
      <c r="D15">
        <f>COUNTIFS(SalesData[Project_Date],"&gt;="&amp;A15,SalesData[Project_Date],"&lt;"&amp;EDATE(A15,1))</f>
        <v>59</v>
      </c>
      <c r="E15" s="11">
        <f>IFERROR(AVERAGEIFS(SalesData[Profit_Margin_Pct],SalesData[Project_Date],"&gt;="&amp;A15,SalesData[Project_Date],"&lt;"&amp;EDATE(A15,1)),0)</f>
        <v>30.623898305084747</v>
      </c>
    </row>
    <row r="16" spans="1:5" x14ac:dyDescent="0.3">
      <c r="A16" s="21">
        <v>45689</v>
      </c>
      <c r="B16" s="9">
        <f>SUMIFS(SalesData[Revenue],SalesData[Project_Date],"&gt;="&amp;A16,SalesData[Project_Date],"&lt;"&amp;EDATE(A16,1))</f>
        <v>2622300</v>
      </c>
      <c r="C16" s="9">
        <f>SUMIFS(SalesData[Profit],SalesData[Project_Date],"&gt;="&amp;A16,SalesData[Project_Date],"&lt;"&amp;EDATE(A16,1))</f>
        <v>847800</v>
      </c>
      <c r="D16">
        <f>COUNTIFS(SalesData[Project_Date],"&gt;="&amp;A16,SalesData[Project_Date],"&lt;"&amp;EDATE(A16,1))</f>
        <v>56</v>
      </c>
      <c r="E16" s="11">
        <f>IFERROR(AVERAGEIFS(SalesData[Profit_Margin_Pct],SalesData[Project_Date],"&gt;="&amp;A16,SalesData[Project_Date],"&lt;"&amp;EDATE(A16,1)),0)</f>
        <v>31.151250000000001</v>
      </c>
    </row>
    <row r="17" spans="1:5" x14ac:dyDescent="0.3">
      <c r="A17" s="21">
        <v>45717</v>
      </c>
      <c r="B17" s="9">
        <f>SUMIFS(SalesData[Revenue],SalesData[Project_Date],"&gt;="&amp;A17,SalesData[Project_Date],"&lt;"&amp;EDATE(A17,1))</f>
        <v>2921200</v>
      </c>
      <c r="C17" s="9">
        <f>SUMIFS(SalesData[Profit],SalesData[Project_Date],"&gt;="&amp;A17,SalesData[Project_Date],"&lt;"&amp;EDATE(A17,1))</f>
        <v>957800</v>
      </c>
      <c r="D17">
        <f>COUNTIFS(SalesData[Project_Date],"&gt;="&amp;A17,SalesData[Project_Date],"&lt;"&amp;EDATE(A17,1))</f>
        <v>60</v>
      </c>
      <c r="E17" s="11">
        <f>IFERROR(AVERAGEIFS(SalesData[Profit_Margin_Pct],SalesData[Project_Date],"&gt;="&amp;A17,SalesData[Project_Date],"&lt;"&amp;EDATE(A17,1)),0)</f>
        <v>32.729666666666667</v>
      </c>
    </row>
    <row r="18" spans="1:5" x14ac:dyDescent="0.3">
      <c r="A18" s="21">
        <v>45748</v>
      </c>
      <c r="B18" s="9">
        <f>SUMIFS(SalesData[Revenue],SalesData[Project_Date],"&gt;="&amp;A18,SalesData[Project_Date],"&lt;"&amp;EDATE(A18,1))</f>
        <v>3502500</v>
      </c>
      <c r="C18" s="9">
        <f>SUMIFS(SalesData[Profit],SalesData[Project_Date],"&gt;="&amp;A18,SalesData[Project_Date],"&lt;"&amp;EDATE(A18,1))</f>
        <v>1139800</v>
      </c>
      <c r="D18">
        <f>COUNTIFS(SalesData[Project_Date],"&gt;="&amp;A18,SalesData[Project_Date],"&lt;"&amp;EDATE(A18,1))</f>
        <v>67</v>
      </c>
      <c r="E18" s="11">
        <f>IFERROR(AVERAGEIFS(SalesData[Profit_Margin_Pct],SalesData[Project_Date],"&gt;="&amp;A18,SalesData[Project_Date],"&lt;"&amp;EDATE(A18,1)),0)</f>
        <v>32.155223880597006</v>
      </c>
    </row>
    <row r="19" spans="1:5" x14ac:dyDescent="0.3">
      <c r="A19" s="21">
        <v>45778</v>
      </c>
      <c r="B19" s="9">
        <f>SUMIFS(SalesData[Revenue],SalesData[Project_Date],"&gt;="&amp;A19,SalesData[Project_Date],"&lt;"&amp;EDATE(A19,1))</f>
        <v>3582200</v>
      </c>
      <c r="C19" s="9">
        <f>SUMIFS(SalesData[Profit],SalesData[Project_Date],"&gt;="&amp;A19,SalesData[Project_Date],"&lt;"&amp;EDATE(A19,1))</f>
        <v>1056200</v>
      </c>
      <c r="D19">
        <f>COUNTIFS(SalesData[Project_Date],"&gt;="&amp;A19,SalesData[Project_Date],"&lt;"&amp;EDATE(A19,1))</f>
        <v>78</v>
      </c>
      <c r="E19" s="11">
        <f>IFERROR(AVERAGEIFS(SalesData[Profit_Margin_Pct],SalesData[Project_Date],"&gt;="&amp;A19,SalesData[Project_Date],"&lt;"&amp;EDATE(A19,1)),0)</f>
        <v>29.956666666666653</v>
      </c>
    </row>
    <row r="20" spans="1:5" x14ac:dyDescent="0.3">
      <c r="A20" s="21">
        <v>45809</v>
      </c>
      <c r="B20" s="9">
        <f>SUMIFS(SalesData[Revenue],SalesData[Project_Date],"&gt;="&amp;A20,SalesData[Project_Date],"&lt;"&amp;EDATE(A20,1))</f>
        <v>2628000</v>
      </c>
      <c r="C20" s="9">
        <f>SUMIFS(SalesData[Profit],SalesData[Project_Date],"&gt;="&amp;A20,SalesData[Project_Date],"&lt;"&amp;EDATE(A20,1))</f>
        <v>851300</v>
      </c>
      <c r="D20">
        <f>COUNTIFS(SalesData[Project_Date],"&gt;="&amp;A20,SalesData[Project_Date],"&lt;"&amp;EDATE(A20,1))</f>
        <v>60</v>
      </c>
      <c r="E20" s="11">
        <f>IFERROR(AVERAGEIFS(SalesData[Profit_Margin_Pct],SalesData[Project_Date],"&gt;="&amp;A20,SalesData[Project_Date],"&lt;"&amp;EDATE(A20,1)),0)</f>
        <v>30.614999999999995</v>
      </c>
    </row>
    <row r="21" spans="1:5" x14ac:dyDescent="0.3">
      <c r="A21" s="21">
        <v>45839</v>
      </c>
      <c r="B21" s="9">
        <f>SUMIFS(SalesData[Revenue],SalesData[Project_Date],"&gt;="&amp;A21,SalesData[Project_Date],"&lt;"&amp;EDATE(A21,1))</f>
        <v>2943200</v>
      </c>
      <c r="C21" s="9">
        <f>SUMIFS(SalesData[Profit],SalesData[Project_Date],"&gt;="&amp;A21,SalesData[Project_Date],"&lt;"&amp;EDATE(A21,1))</f>
        <v>944600</v>
      </c>
      <c r="D21">
        <f>COUNTIFS(SalesData[Project_Date],"&gt;="&amp;A21,SalesData[Project_Date],"&lt;"&amp;EDATE(A21,1))</f>
        <v>64</v>
      </c>
      <c r="E21" s="11">
        <f>IFERROR(AVERAGEIFS(SalesData[Profit_Margin_Pct],SalesData[Project_Date],"&gt;="&amp;A21,SalesData[Project_Date],"&lt;"&amp;EDATE(A21,1)),0)</f>
        <v>32.019531250000007</v>
      </c>
    </row>
    <row r="22" spans="1:5" x14ac:dyDescent="0.3">
      <c r="A22" s="21">
        <v>45870</v>
      </c>
      <c r="B22" s="9">
        <f>SUMIFS(SalesData[Revenue],SalesData[Project_Date],"&gt;="&amp;A22,SalesData[Project_Date],"&lt;"&amp;EDATE(A22,1))</f>
        <v>2273800</v>
      </c>
      <c r="C22" s="9">
        <f>SUMIFS(SalesData[Profit],SalesData[Project_Date],"&gt;="&amp;A22,SalesData[Project_Date],"&lt;"&amp;EDATE(A22,1))</f>
        <v>760600</v>
      </c>
      <c r="D22">
        <f>COUNTIFS(SalesData[Project_Date],"&gt;="&amp;A22,SalesData[Project_Date],"&lt;"&amp;EDATE(A22,1))</f>
        <v>50</v>
      </c>
      <c r="E22" s="11">
        <f>IFERROR(AVERAGEIFS(SalesData[Profit_Margin_Pct],SalesData[Project_Date],"&gt;="&amp;A22,SalesData[Project_Date],"&lt;"&amp;EDATE(A22,1)),0)</f>
        <v>32.220800000000004</v>
      </c>
    </row>
    <row r="23" spans="1:5" x14ac:dyDescent="0.3">
      <c r="A23" s="21">
        <v>45901</v>
      </c>
      <c r="B23" s="9">
        <f>SUMIFS(SalesData[Revenue],SalesData[Project_Date],"&gt;="&amp;A23,SalesData[Project_Date],"&lt;"&amp;EDATE(A23,1))</f>
        <v>2213300</v>
      </c>
      <c r="C23" s="9">
        <f>SUMIFS(SalesData[Profit],SalesData[Project_Date],"&gt;="&amp;A23,SalesData[Project_Date],"&lt;"&amp;EDATE(A23,1))</f>
        <v>698200</v>
      </c>
      <c r="D23">
        <f>COUNTIFS(SalesData[Project_Date],"&gt;="&amp;A23,SalesData[Project_Date],"&lt;"&amp;EDATE(A23,1))</f>
        <v>45</v>
      </c>
      <c r="E23" s="11">
        <f>IFERROR(AVERAGEIFS(SalesData[Profit_Margin_Pct],SalesData[Project_Date],"&gt;="&amp;A23,SalesData[Project_Date],"&lt;"&amp;EDATE(A23,1)),0)</f>
        <v>31.446000000000009</v>
      </c>
    </row>
    <row r="24" spans="1:5" x14ac:dyDescent="0.3">
      <c r="A24" s="21">
        <v>45931</v>
      </c>
      <c r="B24" s="9">
        <f>SUMIFS(SalesData[Revenue],SalesData[Project_Date],"&gt;="&amp;A24,SalesData[Project_Date],"&lt;"&amp;EDATE(A24,1))</f>
        <v>3120200</v>
      </c>
      <c r="C24" s="9">
        <f>SUMIFS(SalesData[Profit],SalesData[Project_Date],"&gt;="&amp;A24,SalesData[Project_Date],"&lt;"&amp;EDATE(A24,1))</f>
        <v>914300</v>
      </c>
      <c r="D24">
        <f>COUNTIFS(SalesData[Project_Date],"&gt;="&amp;A24,SalesData[Project_Date],"&lt;"&amp;EDATE(A24,1))</f>
        <v>66</v>
      </c>
      <c r="E24" s="11">
        <f>IFERROR(AVERAGEIFS(SalesData[Profit_Margin_Pct],SalesData[Project_Date],"&gt;="&amp;A24,SalesData[Project_Date],"&lt;"&amp;EDATE(A24,1)),0)</f>
        <v>30.087121212121211</v>
      </c>
    </row>
    <row r="25" spans="1:5" x14ac:dyDescent="0.3">
      <c r="A25" s="21">
        <v>45962</v>
      </c>
      <c r="B25" s="9">
        <f>SUMIFS(SalesData[Revenue],SalesData[Project_Date],"&gt;="&amp;A25,SalesData[Project_Date],"&lt;"&amp;EDATE(A25,1))</f>
        <v>3214200</v>
      </c>
      <c r="C25" s="9">
        <f>SUMIFS(SalesData[Profit],SalesData[Project_Date],"&gt;="&amp;A25,SalesData[Project_Date],"&lt;"&amp;EDATE(A25,1))</f>
        <v>1116100</v>
      </c>
      <c r="D25">
        <f>COUNTIFS(SalesData[Project_Date],"&gt;="&amp;A25,SalesData[Project_Date],"&lt;"&amp;EDATE(A25,1))</f>
        <v>69</v>
      </c>
      <c r="E25" s="11">
        <f>IFERROR(AVERAGEIFS(SalesData[Profit_Margin_Pct],SalesData[Project_Date],"&gt;="&amp;A25,SalesData[Project_Date],"&lt;"&amp;EDATE(A25,1)),0)</f>
        <v>33.118115942028986</v>
      </c>
    </row>
    <row r="26" spans="1:5" x14ac:dyDescent="0.3">
      <c r="A26" s="21">
        <v>45992</v>
      </c>
      <c r="B26" s="9">
        <f>SUMIFS(SalesData[Revenue],SalesData[Project_Date],"&gt;="&amp;A26,SalesData[Project_Date],"&lt;"&amp;EDATE(A26,1))</f>
        <v>2786200</v>
      </c>
      <c r="C26" s="9">
        <f>SUMIFS(SalesData[Profit],SalesData[Project_Date],"&gt;="&amp;A26,SalesData[Project_Date],"&lt;"&amp;EDATE(A26,1))</f>
        <v>917200</v>
      </c>
      <c r="D26">
        <f>COUNTIFS(SalesData[Project_Date],"&gt;="&amp;A26,SalesData[Project_Date],"&lt;"&amp;EDATE(A26,1))</f>
        <v>69</v>
      </c>
      <c r="E26" s="11">
        <f>IFERROR(AVERAGEIFS(SalesData[Profit_Margin_Pct],SalesData[Project_Date],"&gt;="&amp;A26,SalesData[Project_Date],"&lt;"&amp;EDATE(A26,1)),0)</f>
        <v>33.065362318840585</v>
      </c>
    </row>
    <row r="27" spans="1:5" x14ac:dyDescent="0.3">
      <c r="A27" s="21">
        <v>46023</v>
      </c>
      <c r="B27" s="9">
        <f>SUMIFS(SalesData[Revenue],SalesData[Project_Date],"&gt;="&amp;A27,SalesData[Project_Date],"&lt;"&amp;EDATE(A27,1))</f>
        <v>2483900</v>
      </c>
      <c r="C27" s="9">
        <f>SUMIFS(SalesData[Profit],SalesData[Project_Date],"&gt;="&amp;A27,SalesData[Project_Date],"&lt;"&amp;EDATE(A27,1))</f>
        <v>854600</v>
      </c>
      <c r="D27">
        <f>COUNTIFS(SalesData[Project_Date],"&gt;="&amp;A27,SalesData[Project_Date],"&lt;"&amp;EDATE(A27,1))</f>
        <v>57</v>
      </c>
      <c r="E27" s="11">
        <f>IFERROR(AVERAGEIFS(SalesData[Profit_Margin_Pct],SalesData[Project_Date],"&gt;="&amp;A27,SalesData[Project_Date],"&lt;"&amp;EDATE(A27,1)),0)</f>
        <v>32.411754385964912</v>
      </c>
    </row>
    <row r="28" spans="1:5" x14ac:dyDescent="0.3">
      <c r="A28" s="21">
        <v>46054</v>
      </c>
      <c r="B28" s="9">
        <f>SUMIFS(SalesData[Revenue],SalesData[Project_Date],"&gt;="&amp;A28,SalesData[Project_Date],"&lt;"&amp;EDATE(A28,1))</f>
        <v>3022400</v>
      </c>
      <c r="C28" s="9">
        <f>SUMIFS(SalesData[Profit],SalesData[Project_Date],"&gt;="&amp;A28,SalesData[Project_Date],"&lt;"&amp;EDATE(A28,1))</f>
        <v>942000</v>
      </c>
      <c r="D28">
        <f>COUNTIFS(SalesData[Project_Date],"&gt;="&amp;A28,SalesData[Project_Date],"&lt;"&amp;EDATE(A28,1))</f>
        <v>65</v>
      </c>
      <c r="E28" s="11">
        <f>IFERROR(AVERAGEIFS(SalesData[Profit_Margin_Pct],SalesData[Project_Date],"&gt;="&amp;A28,SalesData[Project_Date],"&lt;"&amp;EDATE(A28,1)),0)</f>
        <v>31.859230769230773</v>
      </c>
    </row>
    <row r="29" spans="1:5" x14ac:dyDescent="0.3">
      <c r="A29" s="21">
        <v>46082</v>
      </c>
      <c r="B29" s="9">
        <f>SUMIFS(SalesData[Revenue],SalesData[Project_Date],"&gt;="&amp;A29,SalesData[Project_Date],"&lt;"&amp;EDATE(A29,1))</f>
        <v>2271300</v>
      </c>
      <c r="C29" s="9">
        <f>SUMIFS(SalesData[Profit],SalesData[Project_Date],"&gt;="&amp;A29,SalesData[Project_Date],"&lt;"&amp;EDATE(A29,1))</f>
        <v>753900</v>
      </c>
      <c r="D29">
        <f>COUNTIFS(SalesData[Project_Date],"&gt;="&amp;A29,SalesData[Project_Date],"&lt;"&amp;EDATE(A29,1))</f>
        <v>52</v>
      </c>
      <c r="E29" s="11">
        <f>IFERROR(AVERAGEIFS(SalesData[Profit_Margin_Pct],SalesData[Project_Date],"&gt;="&amp;A29,SalesData[Project_Date],"&lt;"&amp;EDATE(A29,1)),0)</f>
        <v>30.558461538461536</v>
      </c>
    </row>
    <row r="30" spans="1:5" x14ac:dyDescent="0.3">
      <c r="A30" s="21">
        <v>46113</v>
      </c>
      <c r="B30" s="9">
        <f>SUMIFS(SalesData[Revenue],SalesData[Project_Date],"&gt;="&amp;A30,SalesData[Project_Date],"&lt;"&amp;EDATE(A30,1))</f>
        <v>3050000</v>
      </c>
      <c r="C30" s="9">
        <f>SUMIFS(SalesData[Profit],SalesData[Project_Date],"&gt;="&amp;A30,SalesData[Project_Date],"&lt;"&amp;EDATE(A30,1))</f>
        <v>1094200</v>
      </c>
      <c r="D30">
        <f>COUNTIFS(SalesData[Project_Date],"&gt;="&amp;A30,SalesData[Project_Date],"&lt;"&amp;EDATE(A30,1))</f>
        <v>62</v>
      </c>
      <c r="E30" s="11">
        <f>IFERROR(AVERAGEIFS(SalesData[Profit_Margin_Pct],SalesData[Project_Date],"&gt;="&amp;A30,SalesData[Project_Date],"&lt;"&amp;EDATE(A30,1)),0)</f>
        <v>35.157580645161275</v>
      </c>
    </row>
    <row r="31" spans="1:5" x14ac:dyDescent="0.3">
      <c r="A31" s="21">
        <v>46143</v>
      </c>
      <c r="B31" s="9">
        <f>SUMIFS(SalesData[Revenue],SalesData[Project_Date],"&gt;="&amp;A31,SalesData[Project_Date],"&lt;"&amp;EDATE(A31,1))</f>
        <v>2620300</v>
      </c>
      <c r="C31" s="9">
        <f>SUMIFS(SalesData[Profit],SalesData[Project_Date],"&gt;="&amp;A31,SalesData[Project_Date],"&lt;"&amp;EDATE(A31,1))</f>
        <v>905600</v>
      </c>
      <c r="D31">
        <f>COUNTIFS(SalesData[Project_Date],"&gt;="&amp;A31,SalesData[Project_Date],"&lt;"&amp;EDATE(A31,1))</f>
        <v>66</v>
      </c>
      <c r="E31" s="11">
        <f>IFERROR(AVERAGEIFS(SalesData[Profit_Margin_Pct],SalesData[Project_Date],"&gt;="&amp;A31,SalesData[Project_Date],"&lt;"&amp;EDATE(A31,1)),0)</f>
        <v>34.184545454545443</v>
      </c>
    </row>
    <row r="32" spans="1:5" x14ac:dyDescent="0.3">
      <c r="A32" s="21">
        <v>46174</v>
      </c>
      <c r="B32" s="9">
        <f>SUMIFS(SalesData[Revenue],SalesData[Project_Date],"&gt;="&amp;A32,SalesData[Project_Date],"&lt;"&amp;EDATE(A32,1))</f>
        <v>2657700</v>
      </c>
      <c r="C32" s="9">
        <f>SUMIFS(SalesData[Profit],SalesData[Project_Date],"&gt;="&amp;A32,SalesData[Project_Date],"&lt;"&amp;EDATE(A32,1))</f>
        <v>766400</v>
      </c>
      <c r="D32">
        <f>COUNTIFS(SalesData[Project_Date],"&gt;="&amp;A32,SalesData[Project_Date],"&lt;"&amp;EDATE(A32,1))</f>
        <v>57</v>
      </c>
      <c r="E32" s="11">
        <f>IFERROR(AVERAGEIFS(SalesData[Profit_Margin_Pct],SalesData[Project_Date],"&gt;="&amp;A32,SalesData[Project_Date],"&lt;"&amp;EDATE(A32,1)),0)</f>
        <v>29.270350877192989</v>
      </c>
    </row>
    <row r="33" spans="1:6" x14ac:dyDescent="0.3">
      <c r="A33" s="21">
        <v>46204</v>
      </c>
      <c r="B33" s="9">
        <f>SUMIFS(SalesData[Revenue],SalesData[Project_Date],"&gt;="&amp;A33,SalesData[Project_Date],"&lt;"&amp;EDATE(A33,1))</f>
        <v>3359200</v>
      </c>
      <c r="C33" s="9">
        <f>SUMIFS(SalesData[Profit],SalesData[Project_Date],"&gt;="&amp;A33,SalesData[Project_Date],"&lt;"&amp;EDATE(A33,1))</f>
        <v>1061300</v>
      </c>
      <c r="D33">
        <f>COUNTIFS(SalesData[Project_Date],"&gt;="&amp;A33,SalesData[Project_Date],"&lt;"&amp;EDATE(A33,1))</f>
        <v>65</v>
      </c>
      <c r="E33" s="11">
        <f>IFERROR(AVERAGEIFS(SalesData[Profit_Margin_Pct],SalesData[Project_Date],"&gt;="&amp;A33,SalesData[Project_Date],"&lt;"&amp;EDATE(A33,1)),0)</f>
        <v>29.242000000000001</v>
      </c>
    </row>
    <row r="34" spans="1:6" x14ac:dyDescent="0.3">
      <c r="A34" s="21">
        <v>46235</v>
      </c>
      <c r="B34" s="9">
        <f>SUMIFS(SalesData[Revenue],SalesData[Project_Date],"&gt;="&amp;A34,SalesData[Project_Date],"&lt;"&amp;EDATE(A34,1))</f>
        <v>3319500</v>
      </c>
      <c r="C34" s="9">
        <f>SUMIFS(SalesData[Profit],SalesData[Project_Date],"&gt;="&amp;A34,SalesData[Project_Date],"&lt;"&amp;EDATE(A34,1))</f>
        <v>1076900</v>
      </c>
      <c r="D34">
        <f>COUNTIFS(SalesData[Project_Date],"&gt;="&amp;A34,SalesData[Project_Date],"&lt;"&amp;EDATE(A34,1))</f>
        <v>70</v>
      </c>
      <c r="E34" s="11">
        <f>IFERROR(AVERAGEIFS(SalesData[Profit_Margin_Pct],SalesData[Project_Date],"&gt;="&amp;A34,SalesData[Project_Date],"&lt;"&amp;EDATE(A34,1)),0)</f>
        <v>32.952285714285722</v>
      </c>
    </row>
    <row r="35" spans="1:6" x14ac:dyDescent="0.3">
      <c r="A35" s="21">
        <v>46266</v>
      </c>
      <c r="B35" s="9">
        <f>SUMIFS(SalesData[Revenue],SalesData[Project_Date],"&gt;="&amp;A35,SalesData[Project_Date],"&lt;"&amp;EDATE(A35,1))</f>
        <v>2707400</v>
      </c>
      <c r="C35" s="9">
        <f>SUMIFS(SalesData[Profit],SalesData[Project_Date],"&gt;="&amp;A35,SalesData[Project_Date],"&lt;"&amp;EDATE(A35,1))</f>
        <v>921200</v>
      </c>
      <c r="D35">
        <f>COUNTIFS(SalesData[Project_Date],"&gt;="&amp;A35,SalesData[Project_Date],"&lt;"&amp;EDATE(A35,1))</f>
        <v>57</v>
      </c>
      <c r="E35" s="11">
        <f>IFERROR(AVERAGEIFS(SalesData[Profit_Margin_Pct],SalesData[Project_Date],"&gt;="&amp;A35,SalesData[Project_Date],"&lt;"&amp;EDATE(A35,1)),0)</f>
        <v>31.81070175438597</v>
      </c>
    </row>
    <row r="36" spans="1:6" x14ac:dyDescent="0.3">
      <c r="A36" s="21">
        <v>46296</v>
      </c>
      <c r="B36" s="9">
        <f>SUMIFS(SalesData[Revenue],SalesData[Project_Date],"&gt;="&amp;A36,SalesData[Project_Date],"&lt;"&amp;EDATE(A36,1))</f>
        <v>2850000</v>
      </c>
      <c r="C36" s="9">
        <f>SUMIFS(SalesData[Profit],SalesData[Project_Date],"&gt;="&amp;A36,SalesData[Project_Date],"&lt;"&amp;EDATE(A36,1))</f>
        <v>962100</v>
      </c>
      <c r="D36">
        <f>COUNTIFS(SalesData[Project_Date],"&gt;="&amp;A36,SalesData[Project_Date],"&lt;"&amp;EDATE(A36,1))</f>
        <v>59</v>
      </c>
      <c r="E36" s="11">
        <f>IFERROR(AVERAGEIFS(SalesData[Profit_Margin_Pct],SalesData[Project_Date],"&gt;="&amp;A36,SalesData[Project_Date],"&lt;"&amp;EDATE(A36,1)),0)</f>
        <v>32.745593220338989</v>
      </c>
    </row>
    <row r="37" spans="1:6" x14ac:dyDescent="0.3">
      <c r="A37" s="21">
        <v>46327</v>
      </c>
      <c r="B37" s="9">
        <f>SUMIFS(SalesData[Revenue],SalesData[Project_Date],"&gt;="&amp;A37,SalesData[Project_Date],"&lt;"&amp;EDATE(A37,1))</f>
        <v>3187600</v>
      </c>
      <c r="C37" s="9">
        <f>SUMIFS(SalesData[Profit],SalesData[Project_Date],"&gt;="&amp;A37,SalesData[Project_Date],"&lt;"&amp;EDATE(A37,1))</f>
        <v>1139300</v>
      </c>
      <c r="D37">
        <f>COUNTIFS(SalesData[Project_Date],"&gt;="&amp;A37,SalesData[Project_Date],"&lt;"&amp;EDATE(A37,1))</f>
        <v>71</v>
      </c>
      <c r="E37" s="11">
        <f>IFERROR(AVERAGEIFS(SalesData[Profit_Margin_Pct],SalesData[Project_Date],"&gt;="&amp;A37,SalesData[Project_Date],"&lt;"&amp;EDATE(A37,1)),0)</f>
        <v>34.421971830985903</v>
      </c>
    </row>
    <row r="38" spans="1:6" x14ac:dyDescent="0.3">
      <c r="A38" s="21">
        <v>46357</v>
      </c>
      <c r="B38" s="9">
        <f>SUMIFS(SalesData[Revenue],SalesData[Project_Date],"&gt;="&amp;A38,SalesData[Project_Date],"&lt;"&amp;EDATE(A38,1))</f>
        <v>3717700</v>
      </c>
      <c r="C38" s="9">
        <f>SUMIFS(SalesData[Profit],SalesData[Project_Date],"&gt;="&amp;A38,SalesData[Project_Date],"&lt;"&amp;EDATE(A38,1))</f>
        <v>1151500</v>
      </c>
      <c r="D38">
        <f>COUNTIFS(SalesData[Project_Date],"&gt;="&amp;A38,SalesData[Project_Date],"&lt;"&amp;EDATE(A38,1))</f>
        <v>77</v>
      </c>
      <c r="E38" s="11">
        <f>IFERROR(AVERAGEIFS(SalesData[Profit_Margin_Pct],SalesData[Project_Date],"&gt;="&amp;A38,SalesData[Project_Date],"&lt;"&amp;EDATE(A38,1)),0)</f>
        <v>30.094675324675325</v>
      </c>
    </row>
    <row r="40" spans="1:6" ht="17.399999999999999" x14ac:dyDescent="0.35">
      <c r="A40" s="12" t="s">
        <v>5547</v>
      </c>
    </row>
    <row r="41" spans="1:6" x14ac:dyDescent="0.3">
      <c r="A41" s="8" t="s">
        <v>4</v>
      </c>
      <c r="B41" s="8" t="s">
        <v>14</v>
      </c>
      <c r="C41" s="8" t="s">
        <v>16</v>
      </c>
      <c r="D41" s="8" t="s">
        <v>5545</v>
      </c>
      <c r="E41" s="8" t="s">
        <v>5548</v>
      </c>
      <c r="F41" s="8" t="s">
        <v>5549</v>
      </c>
    </row>
    <row r="42" spans="1:6" x14ac:dyDescent="0.3">
      <c r="A42" t="s">
        <v>244</v>
      </c>
      <c r="B42" s="9">
        <f>SUMIF(SalesData[Service],A42,SalesData[Revenue])</f>
        <v>8439000</v>
      </c>
      <c r="C42" s="9">
        <f>SUMIF(SalesData[Service],A42,SalesData[Profit])</f>
        <v>2754600</v>
      </c>
      <c r="D42">
        <f>COUNTIF(SalesData[Service],A42)</f>
        <v>170</v>
      </c>
      <c r="E42" s="11">
        <f>IFERROR(AVERAGEIF(SalesData[Service],A42,SalesData[Profit_Margin_Pct]),0)</f>
        <v>32.062999999999967</v>
      </c>
      <c r="F42" s="14">
        <f t="shared" ref="F42:F49" si="0">IFERROR(B42/$B$4,0)</f>
        <v>0.12076883336934885</v>
      </c>
    </row>
    <row r="43" spans="1:6" x14ac:dyDescent="0.3">
      <c r="A43" t="s">
        <v>26</v>
      </c>
      <c r="B43" s="9">
        <f>SUMIF(SalesData[Service],A43,SalesData[Revenue])</f>
        <v>8645500</v>
      </c>
      <c r="C43" s="9">
        <f>SUMIF(SalesData[Service],A43,SalesData[Profit])</f>
        <v>2735400</v>
      </c>
      <c r="D43">
        <f>COUNTIF(SalesData[Service],A43)</f>
        <v>188</v>
      </c>
      <c r="E43" s="11">
        <f>IFERROR(AVERAGEIF(SalesData[Service],A43,SalesData[Profit_Margin_Pct]),0)</f>
        <v>31.681755319148941</v>
      </c>
      <c r="F43" s="14">
        <f t="shared" si="0"/>
        <v>0.12372401337773498</v>
      </c>
    </row>
    <row r="44" spans="1:6" x14ac:dyDescent="0.3">
      <c r="A44" t="s">
        <v>228</v>
      </c>
      <c r="B44" s="9">
        <f>SUMIF(SalesData[Service],A44,SalesData[Revenue])</f>
        <v>8576500</v>
      </c>
      <c r="C44" s="9">
        <f>SUMIF(SalesData[Service],A44,SalesData[Profit])</f>
        <v>2898700</v>
      </c>
      <c r="D44">
        <f>COUNTIF(SalesData[Service],A44)</f>
        <v>174</v>
      </c>
      <c r="E44" s="11">
        <f>IFERROR(AVERAGEIF(SalesData[Service],A44,SalesData[Profit_Margin_Pct]),0)</f>
        <v>32.972758620689675</v>
      </c>
      <c r="F44" s="14">
        <f t="shared" si="0"/>
        <v>0.12273656824176092</v>
      </c>
    </row>
    <row r="45" spans="1:6" x14ac:dyDescent="0.3">
      <c r="A45" t="s">
        <v>134</v>
      </c>
      <c r="B45" s="9">
        <f>SUMIF(SalesData[Service],A45,SalesData[Revenue])</f>
        <v>9287200</v>
      </c>
      <c r="C45" s="9">
        <f>SUMIF(SalesData[Service],A45,SalesData[Profit])</f>
        <v>3033500</v>
      </c>
      <c r="D45">
        <f>COUNTIF(SalesData[Service],A45)</f>
        <v>202</v>
      </c>
      <c r="E45" s="11">
        <f>IFERROR(AVERAGEIF(SalesData[Service],A45,SalesData[Profit_Margin_Pct]),0)</f>
        <v>32.251584158415852</v>
      </c>
      <c r="F45" s="14">
        <f t="shared" si="0"/>
        <v>0.13290725314229371</v>
      </c>
    </row>
    <row r="46" spans="1:6" x14ac:dyDescent="0.3">
      <c r="A46" t="s">
        <v>66</v>
      </c>
      <c r="B46" s="9">
        <f>SUMIF(SalesData[Service],A46,SalesData[Revenue])</f>
        <v>8179100</v>
      </c>
      <c r="C46" s="9">
        <f>SUMIF(SalesData[Service],A46,SalesData[Profit])</f>
        <v>2639800</v>
      </c>
      <c r="D46">
        <f>COUNTIF(SalesData[Service],A46)</f>
        <v>186</v>
      </c>
      <c r="E46" s="11">
        <f>IFERROR(AVERAGEIF(SalesData[Service],A46,SalesData[Profit_Margin_Pct]),0)</f>
        <v>31.601129032258072</v>
      </c>
      <c r="F46" s="14">
        <f t="shared" si="0"/>
        <v>0.11704945669051323</v>
      </c>
    </row>
    <row r="47" spans="1:6" x14ac:dyDescent="0.3">
      <c r="A47" t="s">
        <v>188</v>
      </c>
      <c r="B47" s="9">
        <f>SUMIF(SalesData[Service],A47,SalesData[Revenue])</f>
        <v>8826000</v>
      </c>
      <c r="C47" s="9">
        <f>SUMIF(SalesData[Service],A47,SalesData[Profit])</f>
        <v>2830200</v>
      </c>
      <c r="D47">
        <f>COUNTIF(SalesData[Service],A47)</f>
        <v>188</v>
      </c>
      <c r="E47" s="11">
        <f>IFERROR(AVERAGEIF(SalesData[Service],A47,SalesData[Profit_Margin_Pct]),0)</f>
        <v>31.170053191489362</v>
      </c>
      <c r="F47" s="14">
        <f t="shared" si="0"/>
        <v>0.12630711261024682</v>
      </c>
    </row>
    <row r="48" spans="1:6" x14ac:dyDescent="0.3">
      <c r="A48" t="s">
        <v>161</v>
      </c>
      <c r="B48" s="9">
        <f>SUMIF(SalesData[Service],A48,SalesData[Revenue])</f>
        <v>8592300</v>
      </c>
      <c r="C48" s="9">
        <f>SUMIF(SalesData[Service],A48,SalesData[Profit])</f>
        <v>2910100</v>
      </c>
      <c r="D48">
        <f>COUNTIF(SalesData[Service],A48)</f>
        <v>184</v>
      </c>
      <c r="E48" s="11">
        <f>IFERROR(AVERAGEIF(SalesData[Service],A48,SalesData[Profit_Margin_Pct]),0)</f>
        <v>33.065108695652164</v>
      </c>
      <c r="F48" s="14">
        <f t="shared" si="0"/>
        <v>0.1229626788670999</v>
      </c>
    </row>
    <row r="49" spans="1:6" x14ac:dyDescent="0.3">
      <c r="A49" t="s">
        <v>282</v>
      </c>
      <c r="B49" s="9">
        <f>SUMIF(SalesData[Service],A49,SalesData[Revenue])</f>
        <v>9331700</v>
      </c>
      <c r="C49" s="9">
        <f>SUMIF(SalesData[Service],A49,SalesData[Profit])</f>
        <v>2932000</v>
      </c>
      <c r="D49">
        <f>COUNTIF(SalesData[Service],A49)</f>
        <v>209</v>
      </c>
      <c r="E49" s="11">
        <f>IFERROR(AVERAGEIF(SalesData[Service],A49,SalesData[Profit_Margin_Pct]),0)</f>
        <v>30.218133971291866</v>
      </c>
      <c r="F49" s="14">
        <f t="shared" si="0"/>
        <v>0.13354408370100163</v>
      </c>
    </row>
    <row r="52" spans="1:6" ht="17.399999999999999" x14ac:dyDescent="0.35">
      <c r="A52" s="12" t="s">
        <v>5550</v>
      </c>
    </row>
    <row r="53" spans="1:6" x14ac:dyDescent="0.3">
      <c r="A53" s="8" t="s">
        <v>7</v>
      </c>
      <c r="B53" s="8" t="s">
        <v>14</v>
      </c>
      <c r="C53" s="8" t="s">
        <v>16</v>
      </c>
      <c r="D53" s="8" t="s">
        <v>5545</v>
      </c>
      <c r="E53" s="8" t="s">
        <v>5548</v>
      </c>
    </row>
    <row r="54" spans="1:6" x14ac:dyDescent="0.3">
      <c r="A54" t="s">
        <v>88</v>
      </c>
      <c r="B54" s="9">
        <f>SUMIF(SalesData[Region],A54,SalesData[Revenue])</f>
        <v>7313200</v>
      </c>
      <c r="C54" s="9">
        <f>SUMIF(SalesData[Region],A54,SalesData[Profit])</f>
        <v>2329000</v>
      </c>
      <c r="D54">
        <f>COUNTIF(SalesData[Region],A54)</f>
        <v>158</v>
      </c>
      <c r="E54" s="11">
        <f>IFERROR(AVERAGEIF(SalesData[Region],A54,SalesData[Profit_Margin_Pct]),0)</f>
        <v>31.625379746835456</v>
      </c>
    </row>
    <row r="55" spans="1:6" x14ac:dyDescent="0.3">
      <c r="A55" t="s">
        <v>5470</v>
      </c>
      <c r="B55" s="9">
        <f>SUMIF(SalesData[Region],A55,SalesData[Revenue])</f>
        <v>8293700</v>
      </c>
      <c r="C55" s="9">
        <f>SUMIF(SalesData[Region],A55,SalesData[Profit])</f>
        <v>2646400</v>
      </c>
      <c r="D55">
        <f>COUNTIF(SalesData[Region],A55)</f>
        <v>194</v>
      </c>
      <c r="E55" s="11">
        <f>IFERROR(AVERAGEIF(SalesData[Region],A55,SalesData[Profit_Margin_Pct]),0)</f>
        <v>31.055773195876291</v>
      </c>
    </row>
    <row r="56" spans="1:6" x14ac:dyDescent="0.3">
      <c r="A56" t="s">
        <v>68</v>
      </c>
      <c r="B56" s="9">
        <f>SUMIF(SalesData[Region],A56,SalesData[Revenue])</f>
        <v>10792000</v>
      </c>
      <c r="C56" s="9">
        <f>SUMIF(SalesData[Region],A56,SalesData[Profit])</f>
        <v>3605300</v>
      </c>
      <c r="D56">
        <f>COUNTIF(SalesData[Region],A56)</f>
        <v>212</v>
      </c>
      <c r="E56" s="11">
        <f>IFERROR(AVERAGEIF(SalesData[Region],A56,SalesData[Profit_Margin_Pct]),0)</f>
        <v>32.61353773584905</v>
      </c>
    </row>
    <row r="57" spans="1:6" x14ac:dyDescent="0.3">
      <c r="A57" t="s">
        <v>49</v>
      </c>
      <c r="B57" s="9">
        <f>SUMIF(SalesData[Region],A57,SalesData[Revenue])</f>
        <v>8568000</v>
      </c>
      <c r="C57" s="9">
        <f>SUMIF(SalesData[Region],A57,SalesData[Profit])</f>
        <v>2745200</v>
      </c>
      <c r="D57">
        <f>COUNTIF(SalesData[Region],A57)</f>
        <v>180</v>
      </c>
      <c r="E57" s="11">
        <f>IFERROR(AVERAGEIF(SalesData[Region],A57,SalesData[Profit_Margin_Pct]),0)</f>
        <v>31.332166666666662</v>
      </c>
    </row>
    <row r="58" spans="1:6" x14ac:dyDescent="0.3">
      <c r="A58" t="s">
        <v>268</v>
      </c>
      <c r="B58" s="9">
        <f>SUMIF(SalesData[Region],A58,SalesData[Revenue])</f>
        <v>8958900</v>
      </c>
      <c r="C58" s="9">
        <f>SUMIF(SalesData[Region],A58,SalesData[Profit])</f>
        <v>2991200</v>
      </c>
      <c r="D58">
        <f>COUNTIF(SalesData[Region],A58)</f>
        <v>180</v>
      </c>
      <c r="E58" s="11">
        <f>IFERROR(AVERAGEIF(SalesData[Region],A58,SalesData[Profit_Margin_Pct]),0)</f>
        <v>32.479555555555542</v>
      </c>
    </row>
    <row r="59" spans="1:6" x14ac:dyDescent="0.3">
      <c r="A59" t="s">
        <v>229</v>
      </c>
      <c r="B59" s="9">
        <f>SUMIF(SalesData[Region],A59,SalesData[Revenue])</f>
        <v>8515900</v>
      </c>
      <c r="C59" s="9">
        <f>SUMIF(SalesData[Region],A59,SalesData[Profit])</f>
        <v>2889000</v>
      </c>
      <c r="D59">
        <f>COUNTIF(SalesData[Region],A59)</f>
        <v>186</v>
      </c>
      <c r="E59" s="11">
        <f>IFERROR(AVERAGEIF(SalesData[Region],A59,SalesData[Profit_Margin_Pct]),0)</f>
        <v>33.119838709677396</v>
      </c>
    </row>
    <row r="60" spans="1:6" x14ac:dyDescent="0.3">
      <c r="A60" t="s">
        <v>28</v>
      </c>
      <c r="B60" s="9">
        <f>SUMIF(SalesData[Region],A60,SalesData[Revenue])</f>
        <v>8194700</v>
      </c>
      <c r="C60" s="9">
        <f>SUMIF(SalesData[Region],A60,SalesData[Profit])</f>
        <v>2474200</v>
      </c>
      <c r="D60">
        <f>COUNTIF(SalesData[Region],A60)</f>
        <v>190</v>
      </c>
      <c r="E60" s="11">
        <f>IFERROR(AVERAGEIF(SalesData[Region],A60,SalesData[Profit_Margin_Pct]),0)</f>
        <v>29.765052631578964</v>
      </c>
    </row>
    <row r="61" spans="1:6" x14ac:dyDescent="0.3">
      <c r="A61" t="s">
        <v>214</v>
      </c>
      <c r="B61" s="9">
        <f>SUMIF(SalesData[Region],A61,SalesData[Revenue])</f>
        <v>8336200</v>
      </c>
      <c r="C61" s="9">
        <f>SUMIF(SalesData[Region],A61,SalesData[Profit])</f>
        <v>2701300</v>
      </c>
      <c r="D61">
        <f>COUNTIF(SalesData[Region],A61)</f>
        <v>183</v>
      </c>
      <c r="E61" s="11">
        <f>IFERROR(AVERAGEIF(SalesData[Region],A61,SalesData[Profit_Margin_Pct]),0)</f>
        <v>32.33469945355192</v>
      </c>
    </row>
    <row r="62" spans="1:6" x14ac:dyDescent="0.3">
      <c r="A62" t="s">
        <v>5471</v>
      </c>
      <c r="B62" s="9">
        <f>SUMIF(SalesData[Region],A62,SalesData[Revenue])</f>
        <v>904700</v>
      </c>
      <c r="C62" s="9">
        <f>SUMIF(SalesData[Region],A62,SalesData[Profit])</f>
        <v>352700</v>
      </c>
      <c r="D62">
        <f>COUNTIF(SalesData[Region],A62)</f>
        <v>18</v>
      </c>
      <c r="E62" s="11">
        <f>IFERROR(AVERAGEIF(SalesData[Region],A62,SalesData[Profit_Margin_Pct]),0)</f>
        <v>35.644444444444446</v>
      </c>
    </row>
    <row r="64" spans="1:6" ht="17.399999999999999" x14ac:dyDescent="0.35">
      <c r="A64" s="12" t="s">
        <v>5551</v>
      </c>
    </row>
    <row r="65" spans="1:7" x14ac:dyDescent="0.3">
      <c r="A65" s="8" t="s">
        <v>5552</v>
      </c>
      <c r="B65" s="8" t="s">
        <v>14</v>
      </c>
      <c r="C65" s="8" t="s">
        <v>16</v>
      </c>
      <c r="D65" s="8" t="s">
        <v>5545</v>
      </c>
    </row>
    <row r="66" spans="1:7" x14ac:dyDescent="0.3">
      <c r="A66" t="s">
        <v>69</v>
      </c>
      <c r="B66" s="9">
        <f>SUMIF(SalesData[Client_Type],A66,SalesData[Revenue])</f>
        <v>43076600</v>
      </c>
      <c r="C66" s="9">
        <f>SUMIF(SalesData[Client_Type],A66,SalesData[Profit])</f>
        <v>13795100</v>
      </c>
      <c r="D66">
        <f>COUNTIF(SalesData[Client_Type],A66)</f>
        <v>929</v>
      </c>
    </row>
    <row r="67" spans="1:7" x14ac:dyDescent="0.3">
      <c r="A67" t="s">
        <v>29</v>
      </c>
      <c r="B67" s="9">
        <f>SUMIF(SalesData[Client_Type],A67,SalesData[Revenue])</f>
        <v>26800700</v>
      </c>
      <c r="C67" s="9">
        <f>SUMIF(SalesData[Client_Type],A67,SalesData[Profit])</f>
        <v>8939200</v>
      </c>
      <c r="D67">
        <f>COUNTIF(SalesData[Client_Type],A67)</f>
        <v>572</v>
      </c>
    </row>
    <row r="69" spans="1:7" ht="17.399999999999999" x14ac:dyDescent="0.35">
      <c r="A69" s="12" t="s">
        <v>5553</v>
      </c>
    </row>
    <row r="70" spans="1:7" x14ac:dyDescent="0.3">
      <c r="A70" s="8" t="s">
        <v>5554</v>
      </c>
      <c r="B70" s="8" t="s">
        <v>14</v>
      </c>
      <c r="C70" s="8" t="s">
        <v>16</v>
      </c>
      <c r="D70" s="8" t="s">
        <v>5545</v>
      </c>
      <c r="E70" s="8" t="s">
        <v>5555</v>
      </c>
      <c r="F70" s="8" t="s">
        <v>5556</v>
      </c>
    </row>
    <row r="71" spans="1:7" x14ac:dyDescent="0.3">
      <c r="A71" t="s">
        <v>58</v>
      </c>
      <c r="B71" s="9">
        <f>SUMIF(SalesData[Lead_Source],A71,SalesData[Revenue])</f>
        <v>13274500</v>
      </c>
      <c r="C71" s="9">
        <f>SUMIF(SalesData[Lead_Source],A71,SalesData[Profit])</f>
        <v>4361600</v>
      </c>
      <c r="D71">
        <f>COUNTIF(SalesData[Lead_Source],A71)</f>
        <v>268</v>
      </c>
      <c r="E71" s="9">
        <f>SUMIF(SalesData[Lead_Source],A71,SalesData[Marketing_Spend])</f>
        <v>1428400</v>
      </c>
      <c r="F71" s="11">
        <f t="shared" ref="F71:F77" si="1">IFERROR((B71-E71)/E71,0)</f>
        <v>8.2932651918230196</v>
      </c>
    </row>
    <row r="72" spans="1:7" x14ac:dyDescent="0.3">
      <c r="A72" t="s">
        <v>182</v>
      </c>
      <c r="B72" s="9">
        <f>SUMIF(SalesData[Lead_Source],A72,SalesData[Revenue])</f>
        <v>10926800</v>
      </c>
      <c r="C72" s="9">
        <f>SUMIF(SalesData[Lead_Source],A72,SalesData[Profit])</f>
        <v>3566100</v>
      </c>
      <c r="D72">
        <f>COUNTIF(SalesData[Lead_Source],A72)</f>
        <v>246</v>
      </c>
      <c r="E72" s="9">
        <f>SUMIF(SalesData[Lead_Source],A72,SalesData[Marketing_Spend])</f>
        <v>1151100</v>
      </c>
      <c r="F72" s="11">
        <f t="shared" si="1"/>
        <v>8.4924854487012418</v>
      </c>
    </row>
    <row r="73" spans="1:7" x14ac:dyDescent="0.3">
      <c r="A73" t="s">
        <v>39</v>
      </c>
      <c r="B73" s="9">
        <f>SUMIF(SalesData[Lead_Source],A73,SalesData[Revenue])</f>
        <v>11135800</v>
      </c>
      <c r="C73" s="9">
        <f>SUMIF(SalesData[Lead_Source],A73,SalesData[Profit])</f>
        <v>3613100</v>
      </c>
      <c r="D73">
        <f>COUNTIF(SalesData[Lead_Source],A73)</f>
        <v>232</v>
      </c>
      <c r="E73" s="9">
        <f>SUMIF(SalesData[Lead_Source],A73,SalesData[Marketing_Spend])</f>
        <v>1206300</v>
      </c>
      <c r="F73" s="11">
        <f t="shared" si="1"/>
        <v>8.2313686479316921</v>
      </c>
    </row>
    <row r="74" spans="1:7" x14ac:dyDescent="0.3">
      <c r="A74" t="s">
        <v>97</v>
      </c>
      <c r="B74" s="9">
        <f>SUMIF(SalesData[Lead_Source],A74,SalesData[Revenue])</f>
        <v>11973600</v>
      </c>
      <c r="C74" s="9">
        <f>SUMIF(SalesData[Lead_Source],A74,SalesData[Profit])</f>
        <v>3837800</v>
      </c>
      <c r="D74">
        <f>COUNTIF(SalesData[Lead_Source],A74)</f>
        <v>262</v>
      </c>
      <c r="E74" s="9">
        <f>SUMIF(SalesData[Lead_Source],A74,SalesData[Marketing_Spend])</f>
        <v>1352800</v>
      </c>
      <c r="F74" s="11">
        <f t="shared" si="1"/>
        <v>7.8509757539917207</v>
      </c>
    </row>
    <row r="75" spans="1:7" x14ac:dyDescent="0.3">
      <c r="A75" t="s">
        <v>79</v>
      </c>
      <c r="B75" s="9">
        <f>SUMIF(SalesData[Lead_Source],A75,SalesData[Revenue])</f>
        <v>10488100</v>
      </c>
      <c r="C75" s="9">
        <f>SUMIF(SalesData[Lead_Source],A75,SalesData[Profit])</f>
        <v>3312400</v>
      </c>
      <c r="D75">
        <f>COUNTIF(SalesData[Lead_Source],A75)</f>
        <v>233</v>
      </c>
      <c r="E75" s="9">
        <f>SUMIF(SalesData[Lead_Source],A75,SalesData[Marketing_Spend])</f>
        <v>1170800</v>
      </c>
      <c r="F75" s="11">
        <f t="shared" si="1"/>
        <v>7.9580628629996584</v>
      </c>
    </row>
    <row r="76" spans="1:7" x14ac:dyDescent="0.3">
      <c r="A76" t="s">
        <v>126</v>
      </c>
      <c r="B76" s="9">
        <f>SUMIF(SalesData[Lead_Source],A76,SalesData[Revenue])</f>
        <v>11726200</v>
      </c>
      <c r="C76" s="9">
        <f>SUMIF(SalesData[Lead_Source],A76,SalesData[Profit])</f>
        <v>3951200</v>
      </c>
      <c r="D76">
        <f>COUNTIF(SalesData[Lead_Source],A76)</f>
        <v>248</v>
      </c>
      <c r="E76" s="9">
        <f>SUMIF(SalesData[Lead_Source],A76,SalesData[Marketing_Spend])</f>
        <v>1319900</v>
      </c>
      <c r="F76" s="11">
        <f t="shared" si="1"/>
        <v>7.8841578907492993</v>
      </c>
    </row>
    <row r="77" spans="1:7" x14ac:dyDescent="0.3">
      <c r="A77" t="s">
        <v>5471</v>
      </c>
      <c r="B77" s="9">
        <f>SUMIF(SalesData[Lead_Source],A77,SalesData[Revenue])</f>
        <v>352300</v>
      </c>
      <c r="C77" s="9">
        <f>SUMIF(SalesData[Lead_Source],A77,SalesData[Profit])</f>
        <v>92100</v>
      </c>
      <c r="D77">
        <f>COUNTIF(SalesData[Lead_Source],A77)</f>
        <v>12</v>
      </c>
      <c r="E77" s="9">
        <f>SUMIF(SalesData[Lead_Source],A77,SalesData[Marketing_Spend])</f>
        <v>31000</v>
      </c>
      <c r="F77" s="11">
        <f t="shared" si="1"/>
        <v>10.364516129032259</v>
      </c>
    </row>
    <row r="79" spans="1:7" ht="17.399999999999999" x14ac:dyDescent="0.35">
      <c r="A79" s="12" t="s">
        <v>5557</v>
      </c>
    </row>
    <row r="80" spans="1:7" x14ac:dyDescent="0.3">
      <c r="A80" s="8" t="s">
        <v>5558</v>
      </c>
      <c r="B80" s="8" t="s">
        <v>5559</v>
      </c>
      <c r="C80" s="8" t="s">
        <v>5560</v>
      </c>
      <c r="D80" s="8" t="s">
        <v>5545</v>
      </c>
      <c r="E80" s="8" t="s">
        <v>14</v>
      </c>
      <c r="F80" s="8" t="s">
        <v>16</v>
      </c>
      <c r="G80" s="8" t="s">
        <v>5561</v>
      </c>
    </row>
    <row r="81" spans="1:7" x14ac:dyDescent="0.3">
      <c r="A81">
        <v>1</v>
      </c>
      <c r="B81" t="s">
        <v>1546</v>
      </c>
      <c r="C81" t="str">
        <f>INDEX(SalesData[Client_Name],MATCH(B81,SalesData[Client_ID],0))</f>
        <v>Client 0050</v>
      </c>
      <c r="D81">
        <f>COUNTIF(SalesData[Client_ID],B81)</f>
        <v>9</v>
      </c>
      <c r="E81" s="9">
        <f>SUMIF(SalesData[Client_ID],B81,SalesData[Revenue])</f>
        <v>528400</v>
      </c>
      <c r="F81" s="9">
        <f>SUMIF(SalesData[Client_ID],B81,SalesData[Profit])</f>
        <v>166900</v>
      </c>
      <c r="G81" s="11">
        <f>IFERROR(AVERAGEIF(SalesData[Client_ID],B81,SalesData[Customer_Rating]),0)</f>
        <v>4.5888888888888886</v>
      </c>
    </row>
    <row r="82" spans="1:7" x14ac:dyDescent="0.3">
      <c r="A82">
        <v>2</v>
      </c>
      <c r="B82" t="s">
        <v>130</v>
      </c>
      <c r="C82" t="str">
        <f>INDEX(SalesData[Client_Name],MATCH(B82,SalesData[Client_ID],0))</f>
        <v>Client 0344</v>
      </c>
      <c r="D82">
        <f>COUNTIF(SalesData[Client_ID],B82)</f>
        <v>9</v>
      </c>
      <c r="E82" s="9">
        <f>SUMIF(SalesData[Client_ID],B82,SalesData[Revenue])</f>
        <v>509600</v>
      </c>
      <c r="F82" s="9">
        <f>SUMIF(SalesData[Client_ID],B82,SalesData[Profit])</f>
        <v>178900</v>
      </c>
      <c r="G82" s="11">
        <f>IFERROR(AVERAGEIF(SalesData[Client_ID],B82,SalesData[Customer_Rating]),0)</f>
        <v>3.9333333333333331</v>
      </c>
    </row>
    <row r="83" spans="1:7" x14ac:dyDescent="0.3">
      <c r="A83">
        <v>3</v>
      </c>
      <c r="B83" t="s">
        <v>2277</v>
      </c>
      <c r="C83" t="str">
        <f>INDEX(SalesData[Client_Name],MATCH(B83,SalesData[Client_ID],0))</f>
        <v>Client 0086</v>
      </c>
      <c r="D83">
        <f>COUNTIF(SalesData[Client_ID],B83)</f>
        <v>9</v>
      </c>
      <c r="E83" s="9">
        <f>SUMIF(SalesData[Client_ID],B83,SalesData[Revenue])</f>
        <v>445000</v>
      </c>
      <c r="F83" s="9">
        <f>SUMIF(SalesData[Client_ID],B83,SalesData[Profit])</f>
        <v>120100</v>
      </c>
      <c r="G83" s="11">
        <f>IFERROR(AVERAGEIF(SalesData[Client_ID],B83,SalesData[Customer_Rating]),0)</f>
        <v>3.7555555555555551</v>
      </c>
    </row>
    <row r="84" spans="1:7" x14ac:dyDescent="0.3">
      <c r="A84">
        <v>4</v>
      </c>
      <c r="B84" t="s">
        <v>688</v>
      </c>
      <c r="C84" t="str">
        <f>INDEX(SalesData[Client_Name],MATCH(B84,SalesData[Client_ID],0))</f>
        <v>Client 0241</v>
      </c>
      <c r="D84">
        <f>COUNTIF(SalesData[Client_ID],B84)</f>
        <v>8</v>
      </c>
      <c r="E84" s="9">
        <f>SUMIF(SalesData[Client_ID],B84,SalesData[Revenue])</f>
        <v>440400</v>
      </c>
      <c r="F84" s="9">
        <f>SUMIF(SalesData[Client_ID],B84,SalesData[Profit])</f>
        <v>107700</v>
      </c>
      <c r="G84" s="11">
        <f>IFERROR(AVERAGEIF(SalesData[Client_ID],B84,SalesData[Customer_Rating]),0)</f>
        <v>3.9750000000000001</v>
      </c>
    </row>
    <row r="85" spans="1:7" x14ac:dyDescent="0.3">
      <c r="A85">
        <v>5</v>
      </c>
      <c r="B85" t="s">
        <v>1701</v>
      </c>
      <c r="C85" t="str">
        <f>INDEX(SalesData[Client_Name],MATCH(B85,SalesData[Client_ID],0))</f>
        <v>Client 0047</v>
      </c>
      <c r="D85">
        <f>COUNTIF(SalesData[Client_ID],B85)</f>
        <v>8</v>
      </c>
      <c r="E85" s="9">
        <f>SUMIF(SalesData[Client_ID],B85,SalesData[Revenue])</f>
        <v>432300</v>
      </c>
      <c r="F85" s="9">
        <f>SUMIF(SalesData[Client_ID],B85,SalesData[Profit])</f>
        <v>118800</v>
      </c>
      <c r="G85" s="11">
        <f>IFERROR(AVERAGEIF(SalesData[Client_ID],B85,SalesData[Customer_Rating]),0)</f>
        <v>3.9124999999999996</v>
      </c>
    </row>
    <row r="90" spans="1:7" ht="17.399999999999999" x14ac:dyDescent="0.35">
      <c r="A90" s="12" t="s">
        <v>5562</v>
      </c>
    </row>
    <row r="92" spans="1:7" ht="31.95" customHeight="1" x14ac:dyDescent="0.3">
      <c r="A92" s="7" t="s">
        <v>5563</v>
      </c>
    </row>
    <row r="93" spans="1:7" ht="31.95" customHeight="1" x14ac:dyDescent="0.3">
      <c r="A93" s="7" t="s">
        <v>5564</v>
      </c>
    </row>
    <row r="94" spans="1:7" ht="31.95" customHeight="1" x14ac:dyDescent="0.3">
      <c r="A94" s="7" t="s">
        <v>5565</v>
      </c>
    </row>
    <row r="95" spans="1:7" ht="31.95" customHeight="1" x14ac:dyDescent="0.3">
      <c r="A95" s="7" t="s">
        <v>5566</v>
      </c>
    </row>
    <row r="96" spans="1:7" ht="31.95" customHeight="1" x14ac:dyDescent="0.3">
      <c r="A96" s="7" t="s">
        <v>5567</v>
      </c>
    </row>
    <row r="97" spans="1:1" ht="31.95" customHeight="1" x14ac:dyDescent="0.3">
      <c r="A97" s="7" t="s">
        <v>5568</v>
      </c>
    </row>
    <row r="98" spans="1:1" ht="31.95" customHeight="1" x14ac:dyDescent="0.3">
      <c r="A98" s="7" t="s">
        <v>5569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5"/>
  <sheetViews>
    <sheetView tabSelected="1" workbookViewId="0">
      <pane ySplit="3" topLeftCell="A4" activePane="bottomLeft" state="frozen"/>
      <selection pane="bottomLeft" activeCell="A2" sqref="A2"/>
    </sheetView>
  </sheetViews>
  <sheetFormatPr defaultRowHeight="14.4" x14ac:dyDescent="0.3"/>
  <cols>
    <col min="1" max="1" width="32" customWidth="1"/>
    <col min="2" max="3" width="26" customWidth="1"/>
    <col min="4" max="4" width="25" customWidth="1"/>
    <col min="5" max="5" width="12" customWidth="1"/>
    <col min="6" max="8" width="26" customWidth="1"/>
    <col min="9" max="9" width="12" customWidth="1"/>
    <col min="10" max="10" width="25" customWidth="1"/>
  </cols>
  <sheetData>
    <row r="1" spans="1:10" ht="25.8" x14ac:dyDescent="0.5">
      <c r="A1" s="15" t="s">
        <v>5599</v>
      </c>
    </row>
    <row r="2" spans="1:10" ht="17.399999999999999" x14ac:dyDescent="0.35">
      <c r="A2" s="16" t="s">
        <v>5570</v>
      </c>
    </row>
    <row r="4" spans="1:10" x14ac:dyDescent="0.3">
      <c r="A4" s="17" t="s">
        <v>5537</v>
      </c>
      <c r="D4" s="17" t="s">
        <v>5538</v>
      </c>
      <c r="G4" s="17" t="s">
        <v>5545</v>
      </c>
      <c r="J4" s="17" t="s">
        <v>5571</v>
      </c>
    </row>
    <row r="5" spans="1:10" ht="21" x14ac:dyDescent="0.4">
      <c r="A5" s="18">
        <f>Beginner_Analysis!B4</f>
        <v>69877300</v>
      </c>
      <c r="D5" s="18">
        <f>Beginner_Analysis!B5</f>
        <v>22734300</v>
      </c>
      <c r="G5" s="19">
        <f>Beginner_Analysis!B6</f>
        <v>1501</v>
      </c>
      <c r="J5" s="19">
        <f>Beginner_Analysis!B7</f>
        <v>404.99999999999829</v>
      </c>
    </row>
    <row r="7" spans="1:10" x14ac:dyDescent="0.3">
      <c r="A7" s="17" t="s">
        <v>5572</v>
      </c>
      <c r="D7" s="17" t="s">
        <v>5548</v>
      </c>
      <c r="G7" s="17" t="s">
        <v>5561</v>
      </c>
    </row>
    <row r="8" spans="1:10" ht="21" x14ac:dyDescent="0.4">
      <c r="A8" s="18">
        <f>Beginner_Analysis!B8</f>
        <v>50758.094603597601</v>
      </c>
      <c r="D8" s="20">
        <f>Beginner_Analysis!B9</f>
        <v>31.842978014656893</v>
      </c>
      <c r="G8" s="20">
        <f>Beginner_Analysis!B10</f>
        <v>4.0634459459459435</v>
      </c>
    </row>
    <row r="11" spans="1:10" x14ac:dyDescent="0.3">
      <c r="A11" s="8" t="s">
        <v>5523</v>
      </c>
      <c r="B11" s="8" t="s">
        <v>14</v>
      </c>
      <c r="C11" s="8" t="s">
        <v>16</v>
      </c>
      <c r="F11" s="8" t="s">
        <v>4</v>
      </c>
      <c r="G11" s="8" t="s">
        <v>14</v>
      </c>
      <c r="H11" s="8" t="s">
        <v>16</v>
      </c>
    </row>
    <row r="12" spans="1:10" x14ac:dyDescent="0.3">
      <c r="A12" s="13">
        <f>Beginner_Analysis!A15</f>
        <v>45658</v>
      </c>
      <c r="B12" s="9">
        <f>Beginner_Analysis!B15</f>
        <v>2823200</v>
      </c>
      <c r="C12" s="9">
        <f>Beginner_Analysis!C15</f>
        <v>901400</v>
      </c>
      <c r="F12" t="str">
        <f>Beginner_Analysis!A42</f>
        <v>SEO</v>
      </c>
      <c r="G12" s="9">
        <f>Beginner_Analysis!B42</f>
        <v>8439000</v>
      </c>
      <c r="H12" s="9">
        <f>Beginner_Analysis!C42</f>
        <v>2754600</v>
      </c>
    </row>
    <row r="13" spans="1:10" x14ac:dyDescent="0.3">
      <c r="A13" s="13">
        <f>Beginner_Analysis!A16</f>
        <v>45689</v>
      </c>
      <c r="B13" s="9">
        <f>Beginner_Analysis!B16</f>
        <v>2622300</v>
      </c>
      <c r="C13" s="9">
        <f>Beginner_Analysis!C16</f>
        <v>847800</v>
      </c>
      <c r="F13" t="str">
        <f>Beginner_Analysis!A43</f>
        <v>Social Media Marketing</v>
      </c>
      <c r="G13" s="9">
        <f>Beginner_Analysis!B43</f>
        <v>8645500</v>
      </c>
      <c r="H13" s="9">
        <f>Beginner_Analysis!C43</f>
        <v>2735400</v>
      </c>
    </row>
    <row r="14" spans="1:10" x14ac:dyDescent="0.3">
      <c r="A14" s="13">
        <f>Beginner_Analysis!A17</f>
        <v>45717</v>
      </c>
      <c r="B14" s="9">
        <f>Beginner_Analysis!B17</f>
        <v>2921200</v>
      </c>
      <c r="C14" s="9">
        <f>Beginner_Analysis!C17</f>
        <v>957800</v>
      </c>
      <c r="F14" t="str">
        <f>Beginner_Analysis!A44</f>
        <v>Web Design</v>
      </c>
      <c r="G14" s="9">
        <f>Beginner_Analysis!B44</f>
        <v>8576500</v>
      </c>
      <c r="H14" s="9">
        <f>Beginner_Analysis!C44</f>
        <v>2898700</v>
      </c>
    </row>
    <row r="15" spans="1:10" x14ac:dyDescent="0.3">
      <c r="A15" s="13">
        <f>Beginner_Analysis!A18</f>
        <v>45748</v>
      </c>
      <c r="B15" s="9">
        <f>Beginner_Analysis!B18</f>
        <v>3502500</v>
      </c>
      <c r="C15" s="9">
        <f>Beginner_Analysis!C18</f>
        <v>1139800</v>
      </c>
      <c r="F15" t="str">
        <f>Beginner_Analysis!A45</f>
        <v>Web Development</v>
      </c>
      <c r="G15" s="9">
        <f>Beginner_Analysis!B45</f>
        <v>9287200</v>
      </c>
      <c r="H15" s="9">
        <f>Beginner_Analysis!C45</f>
        <v>3033500</v>
      </c>
    </row>
    <row r="16" spans="1:10" x14ac:dyDescent="0.3">
      <c r="A16" s="13">
        <f>Beginner_Analysis!A19</f>
        <v>45778</v>
      </c>
      <c r="B16" s="9">
        <f>Beginner_Analysis!B19</f>
        <v>3582200</v>
      </c>
      <c r="C16" s="9">
        <f>Beginner_Analysis!C19</f>
        <v>1056200</v>
      </c>
      <c r="F16" t="str">
        <f>Beginner_Analysis!A46</f>
        <v>Content Marketing</v>
      </c>
      <c r="G16" s="9">
        <f>Beginner_Analysis!B46</f>
        <v>8179100</v>
      </c>
      <c r="H16" s="9">
        <f>Beginner_Analysis!C46</f>
        <v>2639800</v>
      </c>
    </row>
    <row r="17" spans="1:8" x14ac:dyDescent="0.3">
      <c r="A17" s="13">
        <f>Beginner_Analysis!A20</f>
        <v>45809</v>
      </c>
      <c r="B17" s="9">
        <f>Beginner_Analysis!B20</f>
        <v>2628000</v>
      </c>
      <c r="C17" s="9">
        <f>Beginner_Analysis!C20</f>
        <v>851300</v>
      </c>
      <c r="F17" t="str">
        <f>Beginner_Analysis!A47</f>
        <v>PPC</v>
      </c>
      <c r="G17" s="9">
        <f>Beginner_Analysis!B47</f>
        <v>8826000</v>
      </c>
      <c r="H17" s="9">
        <f>Beginner_Analysis!C47</f>
        <v>2830200</v>
      </c>
    </row>
    <row r="18" spans="1:8" x14ac:dyDescent="0.3">
      <c r="A18" s="13">
        <f>Beginner_Analysis!A21</f>
        <v>45839</v>
      </c>
      <c r="B18" s="9">
        <f>Beginner_Analysis!B21</f>
        <v>2943200</v>
      </c>
      <c r="C18" s="9">
        <f>Beginner_Analysis!C21</f>
        <v>944600</v>
      </c>
      <c r="F18" t="str">
        <f>Beginner_Analysis!A48</f>
        <v>Online Reputation Management</v>
      </c>
      <c r="G18" s="9">
        <f>Beginner_Analysis!B48</f>
        <v>8592300</v>
      </c>
      <c r="H18" s="9">
        <f>Beginner_Analysis!C48</f>
        <v>2910100</v>
      </c>
    </row>
    <row r="19" spans="1:8" x14ac:dyDescent="0.3">
      <c r="A19" s="13">
        <f>Beginner_Analysis!A22</f>
        <v>45870</v>
      </c>
      <c r="B19" s="9">
        <f>Beginner_Analysis!B22</f>
        <v>2273800</v>
      </c>
      <c r="C19" s="9">
        <f>Beginner_Analysis!C22</f>
        <v>760600</v>
      </c>
      <c r="F19" t="str">
        <f>Beginner_Analysis!A49</f>
        <v>Mobile App Development</v>
      </c>
      <c r="G19" s="9">
        <f>Beginner_Analysis!B49</f>
        <v>9331700</v>
      </c>
      <c r="H19" s="9">
        <f>Beginner_Analysis!C49</f>
        <v>2932000</v>
      </c>
    </row>
    <row r="20" spans="1:8" x14ac:dyDescent="0.3">
      <c r="A20" s="13">
        <f>Beginner_Analysis!A23</f>
        <v>45901</v>
      </c>
      <c r="B20" s="9">
        <f>Beginner_Analysis!B23</f>
        <v>2213300</v>
      </c>
      <c r="C20" s="9">
        <f>Beginner_Analysis!C23</f>
        <v>698200</v>
      </c>
    </row>
    <row r="21" spans="1:8" x14ac:dyDescent="0.3">
      <c r="A21" s="13">
        <f>Beginner_Analysis!A24</f>
        <v>45931</v>
      </c>
      <c r="B21" s="9">
        <f>Beginner_Analysis!B24</f>
        <v>3120200</v>
      </c>
      <c r="C21" s="9">
        <f>Beginner_Analysis!C24</f>
        <v>914300</v>
      </c>
    </row>
    <row r="22" spans="1:8" x14ac:dyDescent="0.3">
      <c r="A22" s="13">
        <f>Beginner_Analysis!A25</f>
        <v>45962</v>
      </c>
      <c r="B22" s="9">
        <f>Beginner_Analysis!B25</f>
        <v>3214200</v>
      </c>
      <c r="C22" s="9">
        <f>Beginner_Analysis!C25</f>
        <v>1116100</v>
      </c>
    </row>
    <row r="23" spans="1:8" x14ac:dyDescent="0.3">
      <c r="A23" s="13">
        <f>Beginner_Analysis!A26</f>
        <v>45992</v>
      </c>
      <c r="B23" s="9">
        <f>Beginner_Analysis!B26</f>
        <v>2786200</v>
      </c>
      <c r="C23" s="9">
        <f>Beginner_Analysis!C26</f>
        <v>917200</v>
      </c>
    </row>
    <row r="24" spans="1:8" x14ac:dyDescent="0.3">
      <c r="A24" s="13">
        <f>Beginner_Analysis!A27</f>
        <v>46023</v>
      </c>
      <c r="B24" s="9">
        <f>Beginner_Analysis!B27</f>
        <v>2483900</v>
      </c>
      <c r="C24" s="9">
        <f>Beginner_Analysis!C27</f>
        <v>854600</v>
      </c>
    </row>
    <row r="25" spans="1:8" x14ac:dyDescent="0.3">
      <c r="A25" s="13">
        <f>Beginner_Analysis!A28</f>
        <v>46054</v>
      </c>
      <c r="B25" s="9">
        <f>Beginner_Analysis!B28</f>
        <v>3022400</v>
      </c>
      <c r="C25" s="9">
        <f>Beginner_Analysis!C28</f>
        <v>942000</v>
      </c>
    </row>
    <row r="26" spans="1:8" x14ac:dyDescent="0.3">
      <c r="A26" s="13">
        <f>Beginner_Analysis!A29</f>
        <v>46082</v>
      </c>
      <c r="B26" s="9">
        <f>Beginner_Analysis!B29</f>
        <v>2271300</v>
      </c>
      <c r="C26" s="9">
        <f>Beginner_Analysis!C29</f>
        <v>753900</v>
      </c>
    </row>
    <row r="27" spans="1:8" x14ac:dyDescent="0.3">
      <c r="A27" s="13">
        <f>Beginner_Analysis!A30</f>
        <v>46113</v>
      </c>
      <c r="B27" s="9">
        <f>Beginner_Analysis!B30</f>
        <v>3050000</v>
      </c>
      <c r="C27" s="9">
        <f>Beginner_Analysis!C30</f>
        <v>1094200</v>
      </c>
    </row>
    <row r="28" spans="1:8" x14ac:dyDescent="0.3">
      <c r="A28" s="13">
        <f>Beginner_Analysis!A31</f>
        <v>46143</v>
      </c>
      <c r="B28" s="9">
        <f>Beginner_Analysis!B31</f>
        <v>2620300</v>
      </c>
      <c r="C28" s="9">
        <f>Beginner_Analysis!C31</f>
        <v>905600</v>
      </c>
    </row>
    <row r="29" spans="1:8" x14ac:dyDescent="0.3">
      <c r="A29" s="13">
        <f>Beginner_Analysis!A32</f>
        <v>46174</v>
      </c>
      <c r="B29" s="9">
        <f>Beginner_Analysis!B32</f>
        <v>2657700</v>
      </c>
      <c r="C29" s="9">
        <f>Beginner_Analysis!C32</f>
        <v>766400</v>
      </c>
    </row>
    <row r="30" spans="1:8" x14ac:dyDescent="0.3">
      <c r="A30" s="13">
        <f>Beginner_Analysis!A33</f>
        <v>46204</v>
      </c>
      <c r="B30" s="9">
        <f>Beginner_Analysis!B33</f>
        <v>3359200</v>
      </c>
      <c r="C30" s="9">
        <f>Beginner_Analysis!C33</f>
        <v>1061300</v>
      </c>
    </row>
    <row r="31" spans="1:8" x14ac:dyDescent="0.3">
      <c r="A31" s="13">
        <f>Beginner_Analysis!A34</f>
        <v>46235</v>
      </c>
      <c r="B31" s="9">
        <f>Beginner_Analysis!B34</f>
        <v>3319500</v>
      </c>
      <c r="C31" s="9">
        <f>Beginner_Analysis!C34</f>
        <v>1076900</v>
      </c>
    </row>
    <row r="32" spans="1:8" x14ac:dyDescent="0.3">
      <c r="A32" s="13">
        <f>Beginner_Analysis!A35</f>
        <v>46266</v>
      </c>
      <c r="B32" s="9">
        <f>Beginner_Analysis!B35</f>
        <v>2707400</v>
      </c>
      <c r="C32" s="9">
        <f>Beginner_Analysis!C35</f>
        <v>921200</v>
      </c>
    </row>
    <row r="33" spans="1:3" x14ac:dyDescent="0.3">
      <c r="A33" s="13">
        <f>Beginner_Analysis!A36</f>
        <v>46296</v>
      </c>
      <c r="B33" s="9">
        <f>Beginner_Analysis!B36</f>
        <v>2850000</v>
      </c>
      <c r="C33" s="9">
        <f>Beginner_Analysis!C36</f>
        <v>962100</v>
      </c>
    </row>
    <row r="34" spans="1:3" x14ac:dyDescent="0.3">
      <c r="A34" s="13">
        <f>Beginner_Analysis!A37</f>
        <v>46327</v>
      </c>
      <c r="B34" s="9">
        <f>Beginner_Analysis!B37</f>
        <v>3187600</v>
      </c>
      <c r="C34" s="9">
        <f>Beginner_Analysis!C37</f>
        <v>1139300</v>
      </c>
    </row>
    <row r="35" spans="1:3" x14ac:dyDescent="0.3">
      <c r="A35" s="13">
        <f>Beginner_Analysis!A38</f>
        <v>46357</v>
      </c>
      <c r="B35" s="9">
        <f>Beginner_Analysis!B38</f>
        <v>3717700</v>
      </c>
      <c r="C35" s="9">
        <f>Beginner_Analysis!C38</f>
        <v>1151500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9"/>
  <sheetViews>
    <sheetView workbookViewId="0">
      <pane ySplit="3" topLeftCell="A4" activePane="bottomLeft" state="frozen"/>
      <selection pane="bottomLeft" activeCell="C65" sqref="C65"/>
    </sheetView>
  </sheetViews>
  <sheetFormatPr defaultRowHeight="14.4" x14ac:dyDescent="0.3"/>
  <cols>
    <col min="1" max="7" width="32" customWidth="1"/>
  </cols>
  <sheetData>
    <row r="1" spans="1:6" ht="21" x14ac:dyDescent="0.4">
      <c r="A1" s="5" t="s">
        <v>5573</v>
      </c>
    </row>
    <row r="3" spans="1:6" x14ac:dyDescent="0.3">
      <c r="A3" s="8" t="s">
        <v>5574</v>
      </c>
      <c r="B3" s="8" t="s">
        <v>5536</v>
      </c>
    </row>
    <row r="4" spans="1:6" x14ac:dyDescent="0.3">
      <c r="A4" s="6" t="s">
        <v>5575</v>
      </c>
      <c r="B4" s="10">
        <f>SUMPRODUCT(1/COUNTIF(SalesData[Client_ID],SalesData[Client_ID]))</f>
        <v>404.99999999999829</v>
      </c>
    </row>
    <row r="5" spans="1:6" x14ac:dyDescent="0.3">
      <c r="A5" s="6" t="s">
        <v>5576</v>
      </c>
      <c r="B5" s="10">
        <f>SUMPRODUCT((COUNTIF(SalesData[Client_ID],SalesData[Client_ID])&gt;1)/COUNTIF(SalesData[Client_ID],SalesData[Client_ID]))</f>
        <v>357.99999999999852</v>
      </c>
    </row>
    <row r="6" spans="1:6" x14ac:dyDescent="0.3">
      <c r="A6" s="6" t="s">
        <v>5577</v>
      </c>
      <c r="B6" s="14">
        <f>IFERROR(B5/B4,0)</f>
        <v>0.88395061728395063</v>
      </c>
    </row>
    <row r="7" spans="1:6" x14ac:dyDescent="0.3">
      <c r="A7" s="6" t="s">
        <v>5578</v>
      </c>
      <c r="B7" s="9">
        <f>SUMIF(SalesData[Client_Type],"New",SalesData[Revenue])</f>
        <v>43076600</v>
      </c>
    </row>
    <row r="8" spans="1:6" x14ac:dyDescent="0.3">
      <c r="A8" s="6" t="s">
        <v>5579</v>
      </c>
      <c r="B8" s="9">
        <f>SUMIF(SalesData[Client_Type],"Returning",SalesData[Revenue])</f>
        <v>26800700</v>
      </c>
    </row>
    <row r="9" spans="1:6" x14ac:dyDescent="0.3">
      <c r="A9" s="6" t="s">
        <v>5580</v>
      </c>
      <c r="B9" s="9">
        <f>IFERROR(SUM(SalesData[Revenue])/B4,0)</f>
        <v>172536.54320987727</v>
      </c>
    </row>
    <row r="13" spans="1:6" ht="17.399999999999999" x14ac:dyDescent="0.35">
      <c r="A13" s="12" t="s">
        <v>5581</v>
      </c>
    </row>
    <row r="14" spans="1:6" x14ac:dyDescent="0.3">
      <c r="A14" s="8" t="s">
        <v>4</v>
      </c>
      <c r="B14" s="8" t="s">
        <v>14</v>
      </c>
      <c r="C14" s="8" t="s">
        <v>16</v>
      </c>
      <c r="D14" s="8" t="s">
        <v>5545</v>
      </c>
      <c r="E14" s="8" t="s">
        <v>5548</v>
      </c>
      <c r="F14" s="8" t="s">
        <v>5549</v>
      </c>
    </row>
    <row r="15" spans="1:6" x14ac:dyDescent="0.3">
      <c r="A15" t="s">
        <v>244</v>
      </c>
      <c r="B15" s="9">
        <f>SUMIF(SalesData[Service],A15,SalesData[Revenue])</f>
        <v>8439000</v>
      </c>
      <c r="C15" s="9">
        <f>SUMIF(SalesData[Service],A15,SalesData[Profit])</f>
        <v>2754600</v>
      </c>
      <c r="D15">
        <f>COUNTIF(SalesData[Service],A15)</f>
        <v>170</v>
      </c>
      <c r="E15" s="11">
        <f>IFERROR(AVERAGEIF(SalesData[Service],A15,SalesData[Profit_Margin_Pct]),0)</f>
        <v>32.062999999999967</v>
      </c>
      <c r="F15" s="14">
        <f>IFERROR(B15/SUM(SalesData[Revenue]),0)</f>
        <v>0.12076883336934885</v>
      </c>
    </row>
    <row r="16" spans="1:6" x14ac:dyDescent="0.3">
      <c r="A16" t="s">
        <v>26</v>
      </c>
      <c r="B16" s="9">
        <f>SUMIF(SalesData[Service],A16,SalesData[Revenue])</f>
        <v>8645500</v>
      </c>
      <c r="C16" s="9">
        <f>SUMIF(SalesData[Service],A16,SalesData[Profit])</f>
        <v>2735400</v>
      </c>
      <c r="D16">
        <f>COUNTIF(SalesData[Service],A16)</f>
        <v>188</v>
      </c>
      <c r="E16" s="11">
        <f>IFERROR(AVERAGEIF(SalesData[Service],A16,SalesData[Profit_Margin_Pct]),0)</f>
        <v>31.681755319148941</v>
      </c>
      <c r="F16" s="14">
        <f>IFERROR(B16/SUM(SalesData[Revenue]),0)</f>
        <v>0.12372401337773498</v>
      </c>
    </row>
    <row r="17" spans="1:6" x14ac:dyDescent="0.3">
      <c r="A17" t="s">
        <v>228</v>
      </c>
      <c r="B17" s="9">
        <f>SUMIF(SalesData[Service],A17,SalesData[Revenue])</f>
        <v>8576500</v>
      </c>
      <c r="C17" s="9">
        <f>SUMIF(SalesData[Service],A17,SalesData[Profit])</f>
        <v>2898700</v>
      </c>
      <c r="D17">
        <f>COUNTIF(SalesData[Service],A17)</f>
        <v>174</v>
      </c>
      <c r="E17" s="11">
        <f>IFERROR(AVERAGEIF(SalesData[Service],A17,SalesData[Profit_Margin_Pct]),0)</f>
        <v>32.972758620689675</v>
      </c>
      <c r="F17" s="14">
        <f>IFERROR(B17/SUM(SalesData[Revenue]),0)</f>
        <v>0.12273656824176092</v>
      </c>
    </row>
    <row r="18" spans="1:6" x14ac:dyDescent="0.3">
      <c r="A18" t="s">
        <v>134</v>
      </c>
      <c r="B18" s="9">
        <f>SUMIF(SalesData[Service],A18,SalesData[Revenue])</f>
        <v>9287200</v>
      </c>
      <c r="C18" s="9">
        <f>SUMIF(SalesData[Service],A18,SalesData[Profit])</f>
        <v>3033500</v>
      </c>
      <c r="D18">
        <f>COUNTIF(SalesData[Service],A18)</f>
        <v>202</v>
      </c>
      <c r="E18" s="11">
        <f>IFERROR(AVERAGEIF(SalesData[Service],A18,SalesData[Profit_Margin_Pct]),0)</f>
        <v>32.251584158415852</v>
      </c>
      <c r="F18" s="14">
        <f>IFERROR(B18/SUM(SalesData[Revenue]),0)</f>
        <v>0.13290725314229371</v>
      </c>
    </row>
    <row r="19" spans="1:6" x14ac:dyDescent="0.3">
      <c r="A19" t="s">
        <v>66</v>
      </c>
      <c r="B19" s="9">
        <f>SUMIF(SalesData[Service],A19,SalesData[Revenue])</f>
        <v>8179100</v>
      </c>
      <c r="C19" s="9">
        <f>SUMIF(SalesData[Service],A19,SalesData[Profit])</f>
        <v>2639800</v>
      </c>
      <c r="D19">
        <f>COUNTIF(SalesData[Service],A19)</f>
        <v>186</v>
      </c>
      <c r="E19" s="11">
        <f>IFERROR(AVERAGEIF(SalesData[Service],A19,SalesData[Profit_Margin_Pct]),0)</f>
        <v>31.601129032258072</v>
      </c>
      <c r="F19" s="14">
        <f>IFERROR(B19/SUM(SalesData[Revenue]),0)</f>
        <v>0.11704945669051323</v>
      </c>
    </row>
    <row r="20" spans="1:6" x14ac:dyDescent="0.3">
      <c r="A20" t="s">
        <v>188</v>
      </c>
      <c r="B20" s="9">
        <f>SUMIF(SalesData[Service],A20,SalesData[Revenue])</f>
        <v>8826000</v>
      </c>
      <c r="C20" s="9">
        <f>SUMIF(SalesData[Service],A20,SalesData[Profit])</f>
        <v>2830200</v>
      </c>
      <c r="D20">
        <f>COUNTIF(SalesData[Service],A20)</f>
        <v>188</v>
      </c>
      <c r="E20" s="11">
        <f>IFERROR(AVERAGEIF(SalesData[Service],A20,SalesData[Profit_Margin_Pct]),0)</f>
        <v>31.170053191489362</v>
      </c>
      <c r="F20" s="14">
        <f>IFERROR(B20/SUM(SalesData[Revenue]),0)</f>
        <v>0.12630711261024682</v>
      </c>
    </row>
    <row r="21" spans="1:6" x14ac:dyDescent="0.3">
      <c r="A21" t="s">
        <v>161</v>
      </c>
      <c r="B21" s="9">
        <f>SUMIF(SalesData[Service],A21,SalesData[Revenue])</f>
        <v>8592300</v>
      </c>
      <c r="C21" s="9">
        <f>SUMIF(SalesData[Service],A21,SalesData[Profit])</f>
        <v>2910100</v>
      </c>
      <c r="D21">
        <f>COUNTIF(SalesData[Service],A21)</f>
        <v>184</v>
      </c>
      <c r="E21" s="11">
        <f>IFERROR(AVERAGEIF(SalesData[Service],A21,SalesData[Profit_Margin_Pct]),0)</f>
        <v>33.065108695652164</v>
      </c>
      <c r="F21" s="14">
        <f>IFERROR(B21/SUM(SalesData[Revenue]),0)</f>
        <v>0.1229626788670999</v>
      </c>
    </row>
    <row r="22" spans="1:6" x14ac:dyDescent="0.3">
      <c r="A22" t="s">
        <v>282</v>
      </c>
      <c r="B22" s="9">
        <f>SUMIF(SalesData[Service],A22,SalesData[Revenue])</f>
        <v>9331700</v>
      </c>
      <c r="C22" s="9">
        <f>SUMIF(SalesData[Service],A22,SalesData[Profit])</f>
        <v>2932000</v>
      </c>
      <c r="D22">
        <f>COUNTIF(SalesData[Service],A22)</f>
        <v>209</v>
      </c>
      <c r="E22" s="11">
        <f>IFERROR(AVERAGEIF(SalesData[Service],A22,SalesData[Profit_Margin_Pct]),0)</f>
        <v>30.218133971291866</v>
      </c>
      <c r="F22" s="14">
        <f>IFERROR(B22/SUM(SalesData[Revenue]),0)</f>
        <v>0.13354408370100163</v>
      </c>
    </row>
    <row r="26" spans="1:6" ht="17.399999999999999" x14ac:dyDescent="0.35">
      <c r="A26" s="12" t="s">
        <v>5582</v>
      </c>
    </row>
    <row r="27" spans="1:6" x14ac:dyDescent="0.3">
      <c r="A27" s="8" t="s">
        <v>5558</v>
      </c>
      <c r="B27" s="8" t="s">
        <v>5559</v>
      </c>
      <c r="C27" s="8" t="s">
        <v>5545</v>
      </c>
      <c r="D27" s="8" t="s">
        <v>14</v>
      </c>
      <c r="E27" s="8" t="s">
        <v>16</v>
      </c>
      <c r="F27" s="8" t="s">
        <v>5561</v>
      </c>
    </row>
    <row r="28" spans="1:6" x14ac:dyDescent="0.3">
      <c r="A28">
        <v>1</v>
      </c>
      <c r="B28" t="s">
        <v>1546</v>
      </c>
      <c r="C28">
        <f>COUNTIF(SalesData[Client_ID],B28)</f>
        <v>9</v>
      </c>
      <c r="D28" s="9">
        <f>SUMIF(SalesData[Client_ID],B28,SalesData[Revenue])</f>
        <v>528400</v>
      </c>
      <c r="E28" s="9">
        <f>SUMIF(SalesData[Client_ID],B28,SalesData[Profit])</f>
        <v>166900</v>
      </c>
      <c r="F28" s="11">
        <f>IFERROR(AVERAGEIF(SalesData[Client_ID],B28,SalesData[Customer_Rating]),0)</f>
        <v>4.5888888888888886</v>
      </c>
    </row>
    <row r="29" spans="1:6" x14ac:dyDescent="0.3">
      <c r="A29">
        <v>2</v>
      </c>
      <c r="B29" t="s">
        <v>130</v>
      </c>
      <c r="C29">
        <f>COUNTIF(SalesData[Client_ID],B29)</f>
        <v>9</v>
      </c>
      <c r="D29" s="9">
        <f>SUMIF(SalesData[Client_ID],B29,SalesData[Revenue])</f>
        <v>509600</v>
      </c>
      <c r="E29" s="9">
        <f>SUMIF(SalesData[Client_ID],B29,SalesData[Profit])</f>
        <v>178900</v>
      </c>
      <c r="F29" s="11">
        <f>IFERROR(AVERAGEIF(SalesData[Client_ID],B29,SalesData[Customer_Rating]),0)</f>
        <v>3.9333333333333331</v>
      </c>
    </row>
    <row r="30" spans="1:6" x14ac:dyDescent="0.3">
      <c r="A30">
        <v>3</v>
      </c>
      <c r="B30" t="s">
        <v>2277</v>
      </c>
      <c r="C30">
        <f>COUNTIF(SalesData[Client_ID],B30)</f>
        <v>9</v>
      </c>
      <c r="D30" s="9">
        <f>SUMIF(SalesData[Client_ID],B30,SalesData[Revenue])</f>
        <v>445000</v>
      </c>
      <c r="E30" s="9">
        <f>SUMIF(SalesData[Client_ID],B30,SalesData[Profit])</f>
        <v>120100</v>
      </c>
      <c r="F30" s="11">
        <f>IFERROR(AVERAGEIF(SalesData[Client_ID],B30,SalesData[Customer_Rating]),0)</f>
        <v>3.7555555555555551</v>
      </c>
    </row>
    <row r="31" spans="1:6" x14ac:dyDescent="0.3">
      <c r="A31">
        <v>4</v>
      </c>
      <c r="B31" t="s">
        <v>688</v>
      </c>
      <c r="C31">
        <f>COUNTIF(SalesData[Client_ID],B31)</f>
        <v>8</v>
      </c>
      <c r="D31" s="9">
        <f>SUMIF(SalesData[Client_ID],B31,SalesData[Revenue])</f>
        <v>440400</v>
      </c>
      <c r="E31" s="9">
        <f>SUMIF(SalesData[Client_ID],B31,SalesData[Profit])</f>
        <v>107700</v>
      </c>
      <c r="F31" s="11">
        <f>IFERROR(AVERAGEIF(SalesData[Client_ID],B31,SalesData[Customer_Rating]),0)</f>
        <v>3.9750000000000001</v>
      </c>
    </row>
    <row r="32" spans="1:6" x14ac:dyDescent="0.3">
      <c r="A32">
        <v>5</v>
      </c>
      <c r="B32" t="s">
        <v>1701</v>
      </c>
      <c r="C32">
        <f>COUNTIF(SalesData[Client_ID],B32)</f>
        <v>8</v>
      </c>
      <c r="D32" s="9">
        <f>SUMIF(SalesData[Client_ID],B32,SalesData[Revenue])</f>
        <v>432300</v>
      </c>
      <c r="E32" s="9">
        <f>SUMIF(SalesData[Client_ID],B32,SalesData[Profit])</f>
        <v>118800</v>
      </c>
      <c r="F32" s="11">
        <f>IFERROR(AVERAGEIF(SalesData[Client_ID],B32,SalesData[Customer_Rating]),0)</f>
        <v>3.9124999999999996</v>
      </c>
    </row>
    <row r="33" spans="1:6" x14ac:dyDescent="0.3">
      <c r="A33">
        <v>6</v>
      </c>
      <c r="B33" t="s">
        <v>1263</v>
      </c>
      <c r="C33">
        <f>COUNTIF(SalesData[Client_ID],B33)</f>
        <v>5</v>
      </c>
      <c r="D33" s="9">
        <f>SUMIF(SalesData[Client_ID],B33,SalesData[Revenue])</f>
        <v>407000</v>
      </c>
      <c r="E33" s="9">
        <f>SUMIF(SalesData[Client_ID],B33,SalesData[Profit])</f>
        <v>176800</v>
      </c>
      <c r="F33" s="11">
        <f>IFERROR(AVERAGEIF(SalesData[Client_ID],B33,SalesData[Customer_Rating]),0)</f>
        <v>4.4000000000000004</v>
      </c>
    </row>
    <row r="34" spans="1:6" x14ac:dyDescent="0.3">
      <c r="A34">
        <v>7</v>
      </c>
      <c r="B34" t="s">
        <v>1251</v>
      </c>
      <c r="C34">
        <f>COUNTIF(SalesData[Client_ID],B34)</f>
        <v>7</v>
      </c>
      <c r="D34" s="9">
        <f>SUMIF(SalesData[Client_ID],B34,SalesData[Revenue])</f>
        <v>383000</v>
      </c>
      <c r="E34" s="9">
        <f>SUMIF(SalesData[Client_ID],B34,SalesData[Profit])</f>
        <v>120000</v>
      </c>
      <c r="F34" s="11">
        <f>IFERROR(AVERAGEIF(SalesData[Client_ID],B34,SalesData[Customer_Rating]),0)</f>
        <v>4.2571428571428571</v>
      </c>
    </row>
    <row r="35" spans="1:6" x14ac:dyDescent="0.3">
      <c r="A35">
        <v>8</v>
      </c>
      <c r="B35" t="s">
        <v>1468</v>
      </c>
      <c r="C35">
        <f>COUNTIF(SalesData[Client_ID],B35)</f>
        <v>8</v>
      </c>
      <c r="D35" s="9">
        <f>SUMIF(SalesData[Client_ID],B35,SalesData[Revenue])</f>
        <v>378200</v>
      </c>
      <c r="E35" s="9">
        <f>SUMIF(SalesData[Client_ID],B35,SalesData[Profit])</f>
        <v>106300</v>
      </c>
      <c r="F35" s="11">
        <f>IFERROR(AVERAGEIF(SalesData[Client_ID],B35,SalesData[Customer_Rating]),0)</f>
        <v>4.1374999999999993</v>
      </c>
    </row>
    <row r="36" spans="1:6" x14ac:dyDescent="0.3">
      <c r="A36">
        <v>9</v>
      </c>
      <c r="B36" t="s">
        <v>3448</v>
      </c>
      <c r="C36">
        <f>COUNTIF(SalesData[Client_ID],B36)</f>
        <v>7</v>
      </c>
      <c r="D36" s="9">
        <f>SUMIF(SalesData[Client_ID],B36,SalesData[Revenue])</f>
        <v>376900</v>
      </c>
      <c r="E36" s="9">
        <f>SUMIF(SalesData[Client_ID],B36,SalesData[Profit])</f>
        <v>122100</v>
      </c>
      <c r="F36" s="11">
        <f>IFERROR(AVERAGEIF(SalesData[Client_ID],B36,SalesData[Customer_Rating]),0)</f>
        <v>3.7571428571428571</v>
      </c>
    </row>
    <row r="37" spans="1:6" x14ac:dyDescent="0.3">
      <c r="A37">
        <v>10</v>
      </c>
      <c r="B37" t="s">
        <v>2000</v>
      </c>
      <c r="C37">
        <f>COUNTIF(SalesData[Client_ID],B37)</f>
        <v>6</v>
      </c>
      <c r="D37" s="9">
        <f>SUMIF(SalesData[Client_ID],B37,SalesData[Revenue])</f>
        <v>374200</v>
      </c>
      <c r="E37" s="9">
        <f>SUMIF(SalesData[Client_ID],B37,SalesData[Profit])</f>
        <v>123800</v>
      </c>
      <c r="F37" s="11">
        <f>IFERROR(AVERAGEIF(SalesData[Client_ID],B37,SalesData[Customer_Rating]),0)</f>
        <v>3.8666666666666658</v>
      </c>
    </row>
    <row r="38" spans="1:6" x14ac:dyDescent="0.3">
      <c r="A38">
        <v>11</v>
      </c>
      <c r="B38" t="s">
        <v>510</v>
      </c>
      <c r="C38">
        <f>COUNTIF(SalesData[Client_ID],B38)</f>
        <v>7</v>
      </c>
      <c r="D38" s="9">
        <f>SUMIF(SalesData[Client_ID],B38,SalesData[Revenue])</f>
        <v>372700</v>
      </c>
      <c r="E38" s="9">
        <f>SUMIF(SalesData[Client_ID],B38,SalesData[Profit])</f>
        <v>93700</v>
      </c>
      <c r="F38" s="11">
        <f>IFERROR(AVERAGEIF(SalesData[Client_ID],B38,SalesData[Customer_Rating]),0)</f>
        <v>4.3</v>
      </c>
    </row>
    <row r="39" spans="1:6" x14ac:dyDescent="0.3">
      <c r="A39">
        <v>12</v>
      </c>
      <c r="B39" t="s">
        <v>2330</v>
      </c>
      <c r="C39">
        <f>COUNTIF(SalesData[Client_ID],B39)</f>
        <v>6</v>
      </c>
      <c r="D39" s="9">
        <f>SUMIF(SalesData[Client_ID],B39,SalesData[Revenue])</f>
        <v>365700</v>
      </c>
      <c r="E39" s="9">
        <f>SUMIF(SalesData[Client_ID],B39,SalesData[Profit])</f>
        <v>102000</v>
      </c>
      <c r="F39" s="11">
        <f>IFERROR(AVERAGEIF(SalesData[Client_ID],B39,SalesData[Customer_Rating]),0)</f>
        <v>4.2833333333333332</v>
      </c>
    </row>
    <row r="40" spans="1:6" x14ac:dyDescent="0.3">
      <c r="A40">
        <v>13</v>
      </c>
      <c r="B40" t="s">
        <v>746</v>
      </c>
      <c r="C40">
        <f>COUNTIF(SalesData[Client_ID],B40)</f>
        <v>7</v>
      </c>
      <c r="D40" s="9">
        <f>SUMIF(SalesData[Client_ID],B40,SalesData[Revenue])</f>
        <v>365600</v>
      </c>
      <c r="E40" s="9">
        <f>SUMIF(SalesData[Client_ID],B40,SalesData[Profit])</f>
        <v>121400</v>
      </c>
      <c r="F40" s="11">
        <f>IFERROR(AVERAGEIF(SalesData[Client_ID],B40,SalesData[Customer_Rating]),0)</f>
        <v>4.0142857142857142</v>
      </c>
    </row>
    <row r="41" spans="1:6" x14ac:dyDescent="0.3">
      <c r="A41">
        <v>14</v>
      </c>
      <c r="B41" t="s">
        <v>1245</v>
      </c>
      <c r="C41">
        <f>COUNTIF(SalesData[Client_ID],B41)</f>
        <v>6</v>
      </c>
      <c r="D41" s="9">
        <f>SUMIF(SalesData[Client_ID],B41,SalesData[Revenue])</f>
        <v>362900</v>
      </c>
      <c r="E41" s="9">
        <f>SUMIF(SalesData[Client_ID],B41,SalesData[Profit])</f>
        <v>90300</v>
      </c>
      <c r="F41" s="11">
        <f>IFERROR(AVERAGEIF(SalesData[Client_ID],B41,SalesData[Customer_Rating]),0)</f>
        <v>4.3999999999999995</v>
      </c>
    </row>
    <row r="42" spans="1:6" x14ac:dyDescent="0.3">
      <c r="A42">
        <v>15</v>
      </c>
      <c r="B42" t="s">
        <v>1101</v>
      </c>
      <c r="C42">
        <f>COUNTIF(SalesData[Client_ID],B42)</f>
        <v>7</v>
      </c>
      <c r="D42" s="9">
        <f>SUMIF(SalesData[Client_ID],B42,SalesData[Revenue])</f>
        <v>362700</v>
      </c>
      <c r="E42" s="9">
        <f>SUMIF(SalesData[Client_ID],B42,SalesData[Profit])</f>
        <v>116400</v>
      </c>
      <c r="F42" s="11">
        <f>IFERROR(AVERAGEIF(SalesData[Client_ID],B42,SalesData[Customer_Rating]),0)</f>
        <v>3.8</v>
      </c>
    </row>
    <row r="45" spans="1:6" ht="17.399999999999999" x14ac:dyDescent="0.35">
      <c r="A45" s="12" t="s">
        <v>5583</v>
      </c>
    </row>
    <row r="46" spans="1:6" x14ac:dyDescent="0.3">
      <c r="A46" s="8" t="s">
        <v>5554</v>
      </c>
      <c r="B46" s="8" t="s">
        <v>14</v>
      </c>
      <c r="C46" s="8" t="s">
        <v>16</v>
      </c>
      <c r="D46" s="8" t="s">
        <v>5545</v>
      </c>
      <c r="E46" s="8" t="s">
        <v>5555</v>
      </c>
      <c r="F46" s="8" t="s">
        <v>5556</v>
      </c>
    </row>
    <row r="47" spans="1:6" x14ac:dyDescent="0.3">
      <c r="A47" t="s">
        <v>58</v>
      </c>
      <c r="B47" s="9">
        <f>SUMIF(SalesData[Lead_Source],A47,SalesData[Revenue])</f>
        <v>13274500</v>
      </c>
      <c r="C47" s="9">
        <f>SUMIF(SalesData[Lead_Source],A47,SalesData[Profit])</f>
        <v>4361600</v>
      </c>
      <c r="D47">
        <f>COUNTIF(SalesData[Lead_Source],A47)</f>
        <v>268</v>
      </c>
      <c r="E47" s="9">
        <f>SUMIF(SalesData[Lead_Source],A47,SalesData[Marketing_Spend])</f>
        <v>1428400</v>
      </c>
      <c r="F47" s="11">
        <f t="shared" ref="F47:F53" si="0">IFERROR((B47-E47)/E47,0)</f>
        <v>8.2932651918230196</v>
      </c>
    </row>
    <row r="48" spans="1:6" x14ac:dyDescent="0.3">
      <c r="A48" t="s">
        <v>182</v>
      </c>
      <c r="B48" s="9">
        <f>SUMIF(SalesData[Lead_Source],A48,SalesData[Revenue])</f>
        <v>10926800</v>
      </c>
      <c r="C48" s="9">
        <f>SUMIF(SalesData[Lead_Source],A48,SalesData[Profit])</f>
        <v>3566100</v>
      </c>
      <c r="D48">
        <f>COUNTIF(SalesData[Lead_Source],A48)</f>
        <v>246</v>
      </c>
      <c r="E48" s="9">
        <f>SUMIF(SalesData[Lead_Source],A48,SalesData[Marketing_Spend])</f>
        <v>1151100</v>
      </c>
      <c r="F48" s="11">
        <f t="shared" si="0"/>
        <v>8.4924854487012418</v>
      </c>
    </row>
    <row r="49" spans="1:6" x14ac:dyDescent="0.3">
      <c r="A49" t="s">
        <v>39</v>
      </c>
      <c r="B49" s="9">
        <f>SUMIF(SalesData[Lead_Source],A49,SalesData[Revenue])</f>
        <v>11135800</v>
      </c>
      <c r="C49" s="9">
        <f>SUMIF(SalesData[Lead_Source],A49,SalesData[Profit])</f>
        <v>3613100</v>
      </c>
      <c r="D49">
        <f>COUNTIF(SalesData[Lead_Source],A49)</f>
        <v>232</v>
      </c>
      <c r="E49" s="9">
        <f>SUMIF(SalesData[Lead_Source],A49,SalesData[Marketing_Spend])</f>
        <v>1206300</v>
      </c>
      <c r="F49" s="11">
        <f t="shared" si="0"/>
        <v>8.2313686479316921</v>
      </c>
    </row>
    <row r="50" spans="1:6" x14ac:dyDescent="0.3">
      <c r="A50" t="s">
        <v>97</v>
      </c>
      <c r="B50" s="9">
        <f>SUMIF(SalesData[Lead_Source],A50,SalesData[Revenue])</f>
        <v>11973600</v>
      </c>
      <c r="C50" s="9">
        <f>SUMIF(SalesData[Lead_Source],A50,SalesData[Profit])</f>
        <v>3837800</v>
      </c>
      <c r="D50">
        <f>COUNTIF(SalesData[Lead_Source],A50)</f>
        <v>262</v>
      </c>
      <c r="E50" s="9">
        <f>SUMIF(SalesData[Lead_Source],A50,SalesData[Marketing_Spend])</f>
        <v>1352800</v>
      </c>
      <c r="F50" s="11">
        <f t="shared" si="0"/>
        <v>7.8509757539917207</v>
      </c>
    </row>
    <row r="51" spans="1:6" x14ac:dyDescent="0.3">
      <c r="A51" t="s">
        <v>79</v>
      </c>
      <c r="B51" s="9">
        <f>SUMIF(SalesData[Lead_Source],A51,SalesData[Revenue])</f>
        <v>10488100</v>
      </c>
      <c r="C51" s="9">
        <f>SUMIF(SalesData[Lead_Source],A51,SalesData[Profit])</f>
        <v>3312400</v>
      </c>
      <c r="D51">
        <f>COUNTIF(SalesData[Lead_Source],A51)</f>
        <v>233</v>
      </c>
      <c r="E51" s="9">
        <f>SUMIF(SalesData[Lead_Source],A51,SalesData[Marketing_Spend])</f>
        <v>1170800</v>
      </c>
      <c r="F51" s="11">
        <f t="shared" si="0"/>
        <v>7.9580628629996584</v>
      </c>
    </row>
    <row r="52" spans="1:6" x14ac:dyDescent="0.3">
      <c r="A52" t="s">
        <v>126</v>
      </c>
      <c r="B52" s="9">
        <f>SUMIF(SalesData[Lead_Source],A52,SalesData[Revenue])</f>
        <v>11726200</v>
      </c>
      <c r="C52" s="9">
        <f>SUMIF(SalesData[Lead_Source],A52,SalesData[Profit])</f>
        <v>3951200</v>
      </c>
      <c r="D52">
        <f>COUNTIF(SalesData[Lead_Source],A52)</f>
        <v>248</v>
      </c>
      <c r="E52" s="9">
        <f>SUMIF(SalesData[Lead_Source],A52,SalesData[Marketing_Spend])</f>
        <v>1319900</v>
      </c>
      <c r="F52" s="11">
        <f t="shared" si="0"/>
        <v>7.8841578907492993</v>
      </c>
    </row>
    <row r="53" spans="1:6" x14ac:dyDescent="0.3">
      <c r="A53" t="s">
        <v>5471</v>
      </c>
      <c r="B53" s="9">
        <f>SUMIF(SalesData[Lead_Source],A53,SalesData[Revenue])</f>
        <v>352300</v>
      </c>
      <c r="C53" s="9">
        <f>SUMIF(SalesData[Lead_Source],A53,SalesData[Profit])</f>
        <v>92100</v>
      </c>
      <c r="D53">
        <f>COUNTIF(SalesData[Lead_Source],A53)</f>
        <v>12</v>
      </c>
      <c r="E53" s="9">
        <f>SUMIF(SalesData[Lead_Source],A53,SalesData[Marketing_Spend])</f>
        <v>31000</v>
      </c>
      <c r="F53" s="11">
        <f t="shared" si="0"/>
        <v>10.364516129032259</v>
      </c>
    </row>
    <row r="60" spans="1:6" ht="17.399999999999999" x14ac:dyDescent="0.35">
      <c r="A60" s="12" t="s">
        <v>5584</v>
      </c>
    </row>
    <row r="61" spans="1:6" x14ac:dyDescent="0.3">
      <c r="A61" s="17" t="s">
        <v>4</v>
      </c>
      <c r="B61" s="17" t="s">
        <v>14</v>
      </c>
      <c r="C61" s="17" t="s">
        <v>16</v>
      </c>
      <c r="D61" s="17" t="s">
        <v>5585</v>
      </c>
    </row>
    <row r="62" spans="1:6" x14ac:dyDescent="0.3">
      <c r="A62" t="s">
        <v>282</v>
      </c>
      <c r="B62" s="9">
        <f>SUMIF(SalesData[Service],A62,SalesData[Revenue])</f>
        <v>9331700</v>
      </c>
      <c r="C62" s="9">
        <f>SUMIF(SalesData[Service],A62,SalesData[Profit])</f>
        <v>2932000</v>
      </c>
      <c r="D62" s="11">
        <f>IFERROR(AVERAGEIF(SalesData[Service],A62,SalesData[Profit_Margin_Pct]),0)</f>
        <v>30.218133971291866</v>
      </c>
    </row>
    <row r="63" spans="1:6" x14ac:dyDescent="0.3">
      <c r="A63" t="s">
        <v>134</v>
      </c>
      <c r="B63" s="9">
        <f>SUMIF(SalesData[Service],A63,SalesData[Revenue])</f>
        <v>9287200</v>
      </c>
      <c r="C63" s="9">
        <f>SUMIF(SalesData[Service],A63,SalesData[Profit])</f>
        <v>3033500</v>
      </c>
      <c r="D63" s="11">
        <f>IFERROR(AVERAGEIF(SalesData[Service],A63,SalesData[Profit_Margin_Pct]),0)</f>
        <v>32.251584158415852</v>
      </c>
    </row>
    <row r="64" spans="1:6" x14ac:dyDescent="0.3">
      <c r="A64" t="s">
        <v>188</v>
      </c>
      <c r="B64" s="9">
        <f>SUMIF(SalesData[Service],A64,SalesData[Revenue])</f>
        <v>8826000</v>
      </c>
      <c r="C64" s="9">
        <f>SUMIF(SalesData[Service],A64,SalesData[Profit])</f>
        <v>2830200</v>
      </c>
      <c r="D64" s="11">
        <f>IFERROR(AVERAGEIF(SalesData[Service],A64,SalesData[Profit_Margin_Pct]),0)</f>
        <v>31.170053191489362</v>
      </c>
    </row>
    <row r="65" spans="1:4" x14ac:dyDescent="0.3">
      <c r="A65" t="s">
        <v>26</v>
      </c>
      <c r="B65" s="9">
        <f>SUMIF(SalesData[Service],A65,SalesData[Revenue])</f>
        <v>8645500</v>
      </c>
      <c r="C65" s="9">
        <f>SUMIF(SalesData[Service],A65,SalesData[Profit])</f>
        <v>2735400</v>
      </c>
      <c r="D65" s="11">
        <f>IFERROR(AVERAGEIF(SalesData[Service],A65,SalesData[Profit_Margin_Pct]),0)</f>
        <v>31.681755319148941</v>
      </c>
    </row>
    <row r="66" spans="1:4" x14ac:dyDescent="0.3">
      <c r="A66" t="s">
        <v>161</v>
      </c>
      <c r="B66" s="9">
        <f>SUMIF(SalesData[Service],A66,SalesData[Revenue])</f>
        <v>8592300</v>
      </c>
      <c r="C66" s="9">
        <f>SUMIF(SalesData[Service],A66,SalesData[Profit])</f>
        <v>2910100</v>
      </c>
      <c r="D66" s="11">
        <f>IFERROR(AVERAGEIF(SalesData[Service],A66,SalesData[Profit_Margin_Pct]),0)</f>
        <v>33.065108695652164</v>
      </c>
    </row>
    <row r="67" spans="1:4" x14ac:dyDescent="0.3">
      <c r="A67" t="s">
        <v>228</v>
      </c>
      <c r="B67" s="9">
        <f>SUMIF(SalesData[Service],A67,SalesData[Revenue])</f>
        <v>8576500</v>
      </c>
      <c r="C67" s="9">
        <f>SUMIF(SalesData[Service],A67,SalesData[Profit])</f>
        <v>2898700</v>
      </c>
      <c r="D67" s="11">
        <f>IFERROR(AVERAGEIF(SalesData[Service],A67,SalesData[Profit_Margin_Pct]),0)</f>
        <v>32.972758620689675</v>
      </c>
    </row>
    <row r="68" spans="1:4" x14ac:dyDescent="0.3">
      <c r="A68" t="s">
        <v>244</v>
      </c>
      <c r="B68" s="9">
        <f>SUMIF(SalesData[Service],A68,SalesData[Revenue])</f>
        <v>8439000</v>
      </c>
      <c r="C68" s="9">
        <f>SUMIF(SalesData[Service],A68,SalesData[Profit])</f>
        <v>2754600</v>
      </c>
      <c r="D68" s="11">
        <f>IFERROR(AVERAGEIF(SalesData[Service],A68,SalesData[Profit_Margin_Pct]),0)</f>
        <v>32.062999999999967</v>
      </c>
    </row>
    <row r="69" spans="1:4" x14ac:dyDescent="0.3">
      <c r="A69" t="s">
        <v>66</v>
      </c>
      <c r="B69" s="9">
        <f>SUMIF(SalesData[Service],A69,SalesData[Revenue])</f>
        <v>8179100</v>
      </c>
      <c r="C69" s="9">
        <f>SUMIF(SalesData[Service],A69,SalesData[Profit])</f>
        <v>2639800</v>
      </c>
      <c r="D69" s="11">
        <f>IFERROR(AVERAGEIF(SalesData[Service],A69,SalesData[Profit_Margin_Pct]),0)</f>
        <v>31.601129032258072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4:A19"/>
  <sheetViews>
    <sheetView workbookViewId="0">
      <selection activeCell="A7" sqref="A7"/>
    </sheetView>
  </sheetViews>
  <sheetFormatPr defaultRowHeight="14.4" x14ac:dyDescent="0.3"/>
  <cols>
    <col min="1" max="1" width="110" customWidth="1"/>
  </cols>
  <sheetData>
    <row r="4" spans="1:1" ht="17.399999999999999" x14ac:dyDescent="0.35">
      <c r="A4" s="12" t="s">
        <v>5586</v>
      </c>
    </row>
    <row r="6" spans="1:1" ht="36" customHeight="1" x14ac:dyDescent="0.3">
      <c r="A6" s="7" t="s">
        <v>5587</v>
      </c>
    </row>
    <row r="7" spans="1:1" ht="36" customHeight="1" x14ac:dyDescent="0.3">
      <c r="A7" s="7" t="s">
        <v>5588</v>
      </c>
    </row>
    <row r="8" spans="1:1" ht="36" customHeight="1" x14ac:dyDescent="0.3">
      <c r="A8" s="7" t="s">
        <v>5589</v>
      </c>
    </row>
    <row r="9" spans="1:1" ht="36" customHeight="1" x14ac:dyDescent="0.3">
      <c r="A9" s="7" t="s">
        <v>5590</v>
      </c>
    </row>
    <row r="10" spans="1:1" ht="36" customHeight="1" x14ac:dyDescent="0.3">
      <c r="A10" s="7" t="s">
        <v>5591</v>
      </c>
    </row>
    <row r="13" spans="1:1" ht="17.399999999999999" x14ac:dyDescent="0.35">
      <c r="A13" s="12" t="s">
        <v>5592</v>
      </c>
    </row>
    <row r="15" spans="1:1" ht="31.95" customHeight="1" x14ac:dyDescent="0.3">
      <c r="A15" s="7" t="s">
        <v>5593</v>
      </c>
    </row>
    <row r="16" spans="1:1" ht="31.95" customHeight="1" x14ac:dyDescent="0.3">
      <c r="A16" s="7" t="s">
        <v>5594</v>
      </c>
    </row>
    <row r="17" spans="1:1" ht="31.95" customHeight="1" x14ac:dyDescent="0.3">
      <c r="A17" s="7" t="s">
        <v>5595</v>
      </c>
    </row>
    <row r="18" spans="1:1" ht="31.95" customHeight="1" x14ac:dyDescent="0.3">
      <c r="A18" s="7" t="s">
        <v>5596</v>
      </c>
    </row>
    <row r="19" spans="1:1" ht="31.95" customHeight="1" x14ac:dyDescent="0.3">
      <c r="A19" s="7" t="s">
        <v>5597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Cleaned_Data</vt:lpstr>
      <vt:lpstr>Cleaning_Log</vt:lpstr>
      <vt:lpstr>Data_Dictionary</vt:lpstr>
      <vt:lpstr>Beginner_Analysis</vt:lpstr>
      <vt:lpstr>Beginner_Dashboard</vt:lpstr>
      <vt:lpstr>Intermediate_Analysis</vt:lpstr>
      <vt:lpstr>Intermediate_Insights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ghare</cp:lastModifiedBy>
  <dcterms:created xsi:type="dcterms:W3CDTF">2026-09-19T05:13:12Z</dcterms:created>
  <dcterms:modified xsi:type="dcterms:W3CDTF">2026-09-21T15:36:08Z</dcterms:modified>
</cp:coreProperties>
</file>